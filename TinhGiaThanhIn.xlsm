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Sô_la_mviê_cNa_y"/>
  <xr:revisionPtr revIDLastSave="652" documentId="6_{43D18246-17C3-4459-9C99-FEDC04D0D183}" xr6:coauthVersionLast="41" xr6:coauthVersionMax="41" xr10:uidLastSave="{E154253E-46D7-44D1-9C3A-22DBB36EBD83}"/>
  <bookViews>
    <workbookView xWindow="-120" yWindow="-120" windowWidth="29040" windowHeight="15990" activeTab="8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4" l="1"/>
  <c r="B18" i="5"/>
  <c r="B7" i="9"/>
  <c r="B8" i="8"/>
  <c r="B11" i="8"/>
  <c r="B14" i="9"/>
  <c r="B21" i="5"/>
  <c r="B7" i="5"/>
  <c r="B6" i="9"/>
  <c r="B31" i="8"/>
  <c r="B24" i="8"/>
  <c r="B32" i="8"/>
  <c r="B16" i="5"/>
  <c r="B15" i="9"/>
  <c r="B33" i="8"/>
  <c r="B12" i="8"/>
  <c r="B12" i="5"/>
  <c r="B30" i="8"/>
  <c r="B20" i="4"/>
  <c r="B17" i="4"/>
  <c r="B16" i="4"/>
  <c r="B16" i="7"/>
  <c r="B17" i="6"/>
  <c r="B22" i="4"/>
  <c r="B11" i="6"/>
  <c r="B7" i="7"/>
  <c r="B14" i="7"/>
  <c r="B25" i="4"/>
  <c r="B9" i="4"/>
  <c r="B23" i="4"/>
  <c r="B21" i="6"/>
  <c r="B36" i="8"/>
  <c r="B6" i="3"/>
  <c r="B18" i="8"/>
  <c r="B17" i="5"/>
  <c r="B15" i="8"/>
  <c r="B12" i="7"/>
  <c r="B19" i="6"/>
  <c r="B21" i="7"/>
  <c r="B10" i="6"/>
  <c r="B15" i="4"/>
  <c r="B25" i="5"/>
  <c r="B11" i="5"/>
  <c r="B10" i="9"/>
  <c r="B16" i="8"/>
  <c r="B9" i="8"/>
  <c r="B17" i="8"/>
  <c r="B8" i="5"/>
  <c r="B16" i="9"/>
  <c r="B20" i="8"/>
  <c r="B29" i="8"/>
  <c r="B10" i="5"/>
  <c r="B27" i="8"/>
  <c r="B19" i="5"/>
  <c r="B18" i="9"/>
  <c r="B6" i="8"/>
  <c r="B10" i="8"/>
  <c r="B15" i="5"/>
  <c r="B25" i="8"/>
  <c r="B13" i="6"/>
  <c r="B16" i="6"/>
  <c r="B12" i="4"/>
  <c r="B12" i="6"/>
  <c r="B10" i="7"/>
  <c r="B8" i="4"/>
  <c r="B18" i="4"/>
  <c r="B21" i="4"/>
  <c r="B13" i="4"/>
  <c r="B10" i="4"/>
  <c r="B22" i="7"/>
  <c r="B6" i="4"/>
  <c r="B13" i="7"/>
  <c r="B20" i="9"/>
  <c r="B23" i="8"/>
  <c r="B20" i="5"/>
  <c r="B19" i="9"/>
  <c r="B28" i="8"/>
  <c r="B22" i="5"/>
  <c r="B22" i="8"/>
  <c r="B8" i="6"/>
  <c r="B15" i="7"/>
  <c r="B6" i="6"/>
  <c r="B9" i="6"/>
  <c r="B7" i="4"/>
  <c r="B9" i="5"/>
  <c r="B24" i="5"/>
  <c r="B17" i="9"/>
  <c r="B34" i="8"/>
  <c r="B5" i="8"/>
  <c r="B8" i="9"/>
  <c r="B21" i="8"/>
  <c r="B23" i="5"/>
  <c r="B13" i="9"/>
  <c r="B7" i="8"/>
  <c r="B26" i="8"/>
  <c r="B19" i="8"/>
  <c r="B14" i="5"/>
  <c r="B12" i="9"/>
  <c r="B35" i="8"/>
  <c r="B13" i="8"/>
  <c r="B13" i="5"/>
  <c r="B5" i="9"/>
  <c r="B20" i="6"/>
  <c r="B8" i="7"/>
  <c r="B22" i="6"/>
  <c r="B14" i="6"/>
  <c r="B17" i="7"/>
  <c r="B15" i="6"/>
  <c r="B11" i="7"/>
  <c r="B7" i="6"/>
  <c r="B14" i="4"/>
  <c r="B6" i="7"/>
  <c r="B9" i="7"/>
  <c r="B18" i="6"/>
  <c r="B19" i="4"/>
  <c r="B18" i="7"/>
  <c r="B14" i="8"/>
  <c r="B11" i="9"/>
  <c r="B9" i="9"/>
  <c r="B6" i="5"/>
  <c r="B19" i="7"/>
  <c r="B11" i="4"/>
  <c r="B24" i="4"/>
  <c r="B20" i="7"/>
  <c r="E25" i="8" l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E19" i="8"/>
  <c r="F19" i="8" s="1"/>
  <c r="G19" i="8" s="1"/>
  <c r="E11" i="9"/>
  <c r="I11" i="9" s="1"/>
  <c r="E24" i="8"/>
  <c r="I24" i="8" s="1"/>
  <c r="E26" i="8"/>
  <c r="E28" i="8"/>
  <c r="E29" i="8"/>
  <c r="F29" i="8" s="1"/>
  <c r="G29" i="8" s="1"/>
  <c r="E31" i="8"/>
  <c r="I31" i="8" s="1"/>
  <c r="E7" i="8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E14" i="9"/>
  <c r="I14" i="9" s="1"/>
  <c r="E8" i="9"/>
  <c r="I8" i="9" s="1"/>
  <c r="E9" i="8"/>
  <c r="E11" i="8"/>
  <c r="I11" i="8" s="1"/>
  <c r="E5" i="8"/>
  <c r="E14" i="8"/>
  <c r="F14" i="8" s="1"/>
  <c r="G14" i="8" s="1"/>
  <c r="E16" i="8"/>
  <c r="E8" i="8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J15" i="9"/>
  <c r="K15" i="9" s="1"/>
  <c r="F18" i="9"/>
  <c r="G18" i="9" s="1"/>
  <c r="F10" i="9"/>
  <c r="G10" i="9" s="1"/>
  <c r="F15" i="9"/>
  <c r="G15" i="9" s="1"/>
  <c r="F12" i="9"/>
  <c r="G12" i="9" s="1"/>
  <c r="F13" i="9"/>
  <c r="G13" i="9" s="1"/>
  <c r="F34" i="8"/>
  <c r="G34" i="8" s="1"/>
  <c r="I33" i="8"/>
  <c r="I16" i="8"/>
  <c r="F16" i="8"/>
  <c r="G16" i="8" s="1"/>
  <c r="I28" i="8"/>
  <c r="F28" i="8"/>
  <c r="G28" i="8" s="1"/>
  <c r="F12" i="8"/>
  <c r="G12" i="8" s="1"/>
  <c r="F11" i="8"/>
  <c r="G11" i="8" s="1"/>
  <c r="F26" i="8"/>
  <c r="G26" i="8" s="1"/>
  <c r="I26" i="8"/>
  <c r="F10" i="8"/>
  <c r="G10" i="8" s="1"/>
  <c r="I10" i="8"/>
  <c r="F25" i="8"/>
  <c r="G25" i="8" s="1"/>
  <c r="I25" i="8"/>
  <c r="F9" i="8"/>
  <c r="G9" i="8" s="1"/>
  <c r="I9" i="8"/>
  <c r="I19" i="8"/>
  <c r="I18" i="8"/>
  <c r="F17" i="8"/>
  <c r="G17" i="8" s="1"/>
  <c r="I17" i="8"/>
  <c r="I32" i="8"/>
  <c r="F32" i="8"/>
  <c r="G32" i="8" s="1"/>
  <c r="I30" i="8"/>
  <c r="I8" i="8"/>
  <c r="F8" i="8"/>
  <c r="G8" i="8" s="1"/>
  <c r="I23" i="8"/>
  <c r="F23" i="8"/>
  <c r="G23" i="8" s="1"/>
  <c r="I7" i="8"/>
  <c r="F7" i="8"/>
  <c r="G7" i="8" s="1"/>
  <c r="F6" i="8"/>
  <c r="G6" i="8" s="1"/>
  <c r="I6" i="8"/>
  <c r="F5" i="8"/>
  <c r="G5" i="8" s="1"/>
  <c r="I5" i="8"/>
  <c r="E10" i="5"/>
  <c r="E16" i="5"/>
  <c r="E20" i="6"/>
  <c r="E19" i="6"/>
  <c r="E18" i="7"/>
  <c r="E22" i="5"/>
  <c r="F22" i="5" s="1"/>
  <c r="G22" i="5" s="1"/>
  <c r="E19" i="5"/>
  <c r="E8" i="5"/>
  <c r="E24" i="5"/>
  <c r="I24" i="5" s="1"/>
  <c r="E21" i="5"/>
  <c r="E12" i="6"/>
  <c r="F12" i="6" s="1"/>
  <c r="G12" i="6" s="1"/>
  <c r="E13" i="6"/>
  <c r="E14" i="6"/>
  <c r="E11" i="6"/>
  <c r="I11" i="6" s="1"/>
  <c r="E9" i="7"/>
  <c r="E10" i="7"/>
  <c r="E7" i="7"/>
  <c r="E8" i="7"/>
  <c r="I8" i="7" s="1"/>
  <c r="E6" i="5"/>
  <c r="I6" i="5" s="1"/>
  <c r="E6" i="6"/>
  <c r="F6" i="6" s="1"/>
  <c r="G6" i="6" s="1"/>
  <c r="E22" i="6"/>
  <c r="F22" i="6" s="1"/>
  <c r="G22" i="6" s="1"/>
  <c r="E15" i="7"/>
  <c r="E7" i="5"/>
  <c r="E23" i="5"/>
  <c r="F23" i="5" s="1"/>
  <c r="G23" i="5" s="1"/>
  <c r="E12" i="5"/>
  <c r="E9" i="5"/>
  <c r="E25" i="5"/>
  <c r="I25" i="5" s="1"/>
  <c r="E16" i="6"/>
  <c r="E17" i="6"/>
  <c r="E18" i="6"/>
  <c r="F18" i="6" s="1"/>
  <c r="G18" i="6" s="1"/>
  <c r="E15" i="6"/>
  <c r="I15" i="6" s="1"/>
  <c r="E13" i="7"/>
  <c r="E14" i="7"/>
  <c r="E11" i="7"/>
  <c r="E12" i="7"/>
  <c r="J12" i="7" s="1"/>
  <c r="K12" i="7" s="1"/>
  <c r="E16" i="7"/>
  <c r="F16" i="7" s="1"/>
  <c r="G16" i="7" s="1"/>
  <c r="E11" i="5"/>
  <c r="E13" i="5"/>
  <c r="E21" i="6"/>
  <c r="E17" i="7"/>
  <c r="E14" i="5"/>
  <c r="E15" i="5"/>
  <c r="E18" i="5"/>
  <c r="E20" i="5"/>
  <c r="E17" i="5"/>
  <c r="E8" i="6"/>
  <c r="E9" i="6"/>
  <c r="E10" i="6"/>
  <c r="E7" i="6"/>
  <c r="E6" i="7"/>
  <c r="F6" i="7" s="1"/>
  <c r="G6" i="7" s="1"/>
  <c r="E21" i="7"/>
  <c r="I21" i="7" s="1"/>
  <c r="E22" i="7"/>
  <c r="I22" i="7" s="1"/>
  <c r="E19" i="7"/>
  <c r="E20" i="7"/>
  <c r="F20" i="7" s="1"/>
  <c r="G20" i="7" s="1"/>
  <c r="I7" i="7"/>
  <c r="I7" i="6"/>
  <c r="F14" i="6"/>
  <c r="G14" i="6" s="1"/>
  <c r="I22" i="5"/>
  <c r="F14" i="5"/>
  <c r="G14" i="5" s="1"/>
  <c r="F16" i="5"/>
  <c r="G16" i="5" s="1"/>
  <c r="F10" i="5"/>
  <c r="G10" i="5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F31" i="8" l="1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I18" i="6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I12" i="7"/>
  <c r="I10" i="6"/>
  <c r="J10" i="6"/>
  <c r="K10" i="6" s="1"/>
  <c r="F17" i="7"/>
  <c r="G17" i="7" s="1"/>
  <c r="J17" i="7"/>
  <c r="K17" i="7" s="1"/>
  <c r="I16" i="7"/>
  <c r="J16" i="7"/>
  <c r="K16" i="7" s="1"/>
  <c r="I13" i="7"/>
  <c r="J13" i="7"/>
  <c r="K13" i="7" s="1"/>
  <c r="I16" i="6"/>
  <c r="J16" i="6"/>
  <c r="K16" i="6" s="1"/>
  <c r="F10" i="7"/>
  <c r="G10" i="7" s="1"/>
  <c r="J10" i="7"/>
  <c r="K10" i="7" s="1"/>
  <c r="F13" i="6"/>
  <c r="G13" i="6" s="1"/>
  <c r="J13" i="6"/>
  <c r="K13" i="6" s="1"/>
  <c r="F19" i="6"/>
  <c r="G19" i="6" s="1"/>
  <c r="J19" i="6"/>
  <c r="K19" i="6" s="1"/>
  <c r="F21" i="7"/>
  <c r="G21" i="7" s="1"/>
  <c r="J21" i="7"/>
  <c r="K21" i="7" s="1"/>
  <c r="F9" i="6"/>
  <c r="G9" i="6" s="1"/>
  <c r="J9" i="6"/>
  <c r="K9" i="6" s="1"/>
  <c r="F21" i="6"/>
  <c r="G21" i="6" s="1"/>
  <c r="J21" i="6"/>
  <c r="K21" i="6" s="1"/>
  <c r="F15" i="6"/>
  <c r="G15" i="6" s="1"/>
  <c r="J15" i="6"/>
  <c r="K15" i="6" s="1"/>
  <c r="F9" i="7"/>
  <c r="G9" i="7" s="1"/>
  <c r="J9" i="7"/>
  <c r="K9" i="7" s="1"/>
  <c r="J12" i="6"/>
  <c r="K12" i="6" s="1"/>
  <c r="I20" i="6"/>
  <c r="J20" i="6"/>
  <c r="K20" i="6" s="1"/>
  <c r="I12" i="6"/>
  <c r="I9" i="7"/>
  <c r="F12" i="7"/>
  <c r="G12" i="7" s="1"/>
  <c r="I20" i="7"/>
  <c r="J20" i="7"/>
  <c r="K20" i="7" s="1"/>
  <c r="F8" i="6"/>
  <c r="G8" i="6" s="1"/>
  <c r="J8" i="6"/>
  <c r="K8" i="6" s="1"/>
  <c r="I11" i="7"/>
  <c r="J11" i="7"/>
  <c r="K11" i="7" s="1"/>
  <c r="J18" i="6"/>
  <c r="K18" i="6" s="1"/>
  <c r="F15" i="7"/>
  <c r="G15" i="7" s="1"/>
  <c r="J15" i="7"/>
  <c r="K15" i="7" s="1"/>
  <c r="F8" i="7"/>
  <c r="G8" i="7" s="1"/>
  <c r="J8" i="7"/>
  <c r="K8" i="7" s="1"/>
  <c r="J11" i="6"/>
  <c r="K11" i="6" s="1"/>
  <c r="F11" i="6"/>
  <c r="G11" i="6" s="1"/>
  <c r="I8" i="6"/>
  <c r="I6" i="7"/>
  <c r="I15" i="7"/>
  <c r="I19" i="7"/>
  <c r="J19" i="7"/>
  <c r="K19" i="7" s="1"/>
  <c r="F7" i="6"/>
  <c r="G7" i="6" s="1"/>
  <c r="J7" i="6"/>
  <c r="K7" i="6" s="1"/>
  <c r="I14" i="7"/>
  <c r="J14" i="7"/>
  <c r="K14" i="7" s="1"/>
  <c r="I17" i="6"/>
  <c r="J17" i="6"/>
  <c r="K17" i="6" s="1"/>
  <c r="F7" i="7"/>
  <c r="G7" i="7" s="1"/>
  <c r="J7" i="7"/>
  <c r="K7" i="7" s="1"/>
  <c r="I14" i="6"/>
  <c r="J14" i="6"/>
  <c r="K14" i="6" s="1"/>
  <c r="I18" i="7"/>
  <c r="J18" i="7"/>
  <c r="K18" i="7" s="1"/>
  <c r="I9" i="6"/>
  <c r="F6" i="5"/>
  <c r="G6" i="5" s="1"/>
  <c r="I20" i="5"/>
  <c r="I19" i="5"/>
  <c r="F20" i="6"/>
  <c r="G20" i="6" s="1"/>
  <c r="F11" i="7"/>
  <c r="G11" i="7" s="1"/>
  <c r="F25" i="5"/>
  <c r="G25" i="5" s="1"/>
  <c r="I21" i="6"/>
  <c r="F18" i="5"/>
  <c r="G18" i="5" s="1"/>
  <c r="F10" i="6"/>
  <c r="G10" i="6" s="1"/>
  <c r="I19" i="6"/>
  <c r="I11" i="5"/>
  <c r="F18" i="7"/>
  <c r="G18" i="7" s="1"/>
  <c r="F19" i="7"/>
  <c r="G19" i="7" s="1"/>
  <c r="F17" i="5"/>
  <c r="G17" i="5" s="1"/>
  <c r="F24" i="5"/>
  <c r="G24" i="5" s="1"/>
  <c r="F12" i="5"/>
  <c r="G12" i="5" s="1"/>
  <c r="I13" i="6"/>
  <c r="F17" i="6"/>
  <c r="G17" i="6" s="1"/>
  <c r="I22" i="6"/>
  <c r="I10" i="7"/>
  <c r="F14" i="7"/>
  <c r="G14" i="7" s="1"/>
  <c r="I17" i="7"/>
  <c r="I23" i="5"/>
  <c r="F8" i="5"/>
  <c r="G8" i="5" s="1"/>
  <c r="F16" i="6"/>
  <c r="G16" i="6" s="1"/>
  <c r="I6" i="6"/>
  <c r="F22" i="7"/>
  <c r="G22" i="7" s="1"/>
  <c r="F13" i="7"/>
  <c r="G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3" i="3"/>
  <c r="B14" i="1"/>
  <c r="B18" i="1"/>
  <c r="B29" i="2"/>
  <c r="B20" i="1"/>
  <c r="B33" i="2"/>
  <c r="B8" i="3"/>
  <c r="B43" i="2"/>
  <c r="B19" i="1"/>
  <c r="B25" i="3"/>
  <c r="B5" i="1"/>
  <c r="B9" i="3"/>
  <c r="B34" i="1"/>
  <c r="B25" i="1"/>
  <c r="B7" i="3"/>
  <c r="B27" i="1"/>
  <c r="B63" i="2"/>
  <c r="B18" i="2"/>
  <c r="B21" i="1"/>
  <c r="B12" i="3"/>
  <c r="B67" i="2"/>
  <c r="B61" i="2"/>
  <c r="B33" i="1"/>
  <c r="B30" i="1"/>
  <c r="B72" i="2"/>
  <c r="B17" i="1"/>
  <c r="B16" i="3"/>
  <c r="B13" i="1"/>
  <c r="B11" i="1"/>
  <c r="B69" i="2"/>
  <c r="B11" i="3"/>
  <c r="B26" i="1"/>
  <c r="B8" i="2"/>
  <c r="B49" i="2"/>
  <c r="B26" i="2"/>
  <c r="B70" i="2"/>
  <c r="B28" i="1"/>
  <c r="B6" i="2"/>
  <c r="B50" i="2"/>
  <c r="B23" i="1"/>
  <c r="B22" i="2"/>
  <c r="B5" i="2"/>
  <c r="B46" i="2"/>
  <c r="B31" i="2"/>
  <c r="B60" i="2"/>
  <c r="B53" i="2"/>
  <c r="B22" i="1"/>
  <c r="B24" i="1"/>
  <c r="B12" i="1"/>
  <c r="B23" i="2"/>
  <c r="B47" i="2"/>
  <c r="B16" i="2"/>
  <c r="B55" i="2"/>
  <c r="B7" i="1"/>
  <c r="B28" i="2"/>
  <c r="B24" i="3"/>
  <c r="B29" i="1"/>
  <c r="B31" i="1"/>
  <c r="B17" i="2"/>
  <c r="B62" i="2"/>
  <c r="B58" i="2"/>
  <c r="B45" i="2"/>
  <c r="B18" i="3"/>
  <c r="B36" i="1"/>
  <c r="B7" i="2"/>
  <c r="B24" i="2"/>
  <c r="B64" i="2"/>
  <c r="B57" i="2"/>
  <c r="B19" i="2"/>
  <c r="B35" i="2"/>
  <c r="B51" i="2"/>
  <c r="B21" i="2"/>
  <c r="B14" i="2"/>
  <c r="B14" i="3"/>
  <c r="B21" i="3"/>
  <c r="B15" i="3"/>
  <c r="B27" i="2"/>
  <c r="B25" i="2"/>
  <c r="B32" i="1"/>
  <c r="B59" i="2"/>
  <c r="B42" i="2"/>
  <c r="B48" i="2"/>
  <c r="B10" i="3"/>
  <c r="B6" i="1"/>
  <c r="B9" i="2"/>
  <c r="B10" i="2"/>
  <c r="B34" i="2"/>
  <c r="B20" i="2"/>
  <c r="B41" i="2"/>
  <c r="B65" i="2"/>
  <c r="B56" i="2"/>
  <c r="B35" i="1"/>
  <c r="B17" i="3"/>
  <c r="B10" i="1"/>
  <c r="B23" i="3"/>
  <c r="B8" i="1"/>
  <c r="B52" i="2"/>
  <c r="B44" i="2"/>
  <c r="B12" i="2"/>
  <c r="B16" i="1"/>
  <c r="B30" i="2"/>
  <c r="B71" i="2"/>
  <c r="B66" i="2"/>
  <c r="B15" i="2"/>
  <c r="B36" i="2"/>
  <c r="B19" i="3"/>
  <c r="B20" i="3"/>
  <c r="B22" i="3"/>
  <c r="B68" i="2"/>
  <c r="B15" i="1"/>
  <c r="B9" i="1"/>
  <c r="B54" i="2"/>
  <c r="B13" i="2"/>
  <c r="B11" i="2"/>
  <c r="B32" i="2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I16" i="2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4D6A9CB-FC5D-42FD-8C3A-22D5FF3DD07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<sst xmlns="http://schemas.openxmlformats.org/spreadsheetml/2006/main" count="260" uniqueCount="111">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</sst>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* #,##0.00\ [$₫-42A]_-;\-* #,##0.00\ [$₫-42A]_-;_-* &quot;-&quot;??\ [$₫-42A]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</cellXfs>
  <cellStyles count="3">
    <cellStyle name="Bình thường" xfId="0" builtinId="0"/>
    <cellStyle name="Phần trăm" xfId="2" builtinId="5"/>
    <cellStyle name="Tiền tệ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C25"/>
  <sheetViews>
    <sheetView workbookViewId="0">
      <selection activeCell="X11" sqref="X11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12" max="21" width="0" hidden="1" customWidth="1"/>
    <col min="27" max="27" width="19.140625" customWidth="1"/>
    <col min="28" max="28" width="11" customWidth="1"/>
  </cols>
  <sheetData>
    <row r="1" spans="1:29" x14ac:dyDescent="0.25">
      <c r="A1" s="1" t="s">
        <v>0</v>
      </c>
    </row>
    <row r="2" spans="1:29" x14ac:dyDescent="0.25">
      <c r="A2" t="s">
        <v>76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79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PhiDongCuonKeoPUR(A6)</f>
        <v>178571.42860000001</v>
      </c>
      <c r="D6" s="4">
        <v>0.9</v>
      </c>
      <c r="E6" s="7">
        <f>B6*(1+D6)</f>
        <v>339285.71434000001</v>
      </c>
      <c r="F6" s="7">
        <f>E6-B6</f>
        <v>160714.28573999999</v>
      </c>
      <c r="G6" s="4">
        <f>F6/E6</f>
        <v>0.47368421052631576</v>
      </c>
      <c r="I6" s="7">
        <f t="shared" ref="I6:I22" si="0">E6/A6</f>
        <v>339285.71434000001</v>
      </c>
      <c r="AA6" t="s">
        <v>82</v>
      </c>
      <c r="AB6" s="5">
        <v>350000</v>
      </c>
    </row>
    <row r="7" spans="1:29" x14ac:dyDescent="0.25">
      <c r="A7">
        <v>5</v>
      </c>
      <c r="B7" s="6">
        <f t="shared" ref="B7:B22" si="1">PhiDongCuonKeoPUR(A7)</f>
        <v>192857.14290000001</v>
      </c>
      <c r="D7" s="4">
        <v>0.9</v>
      </c>
      <c r="E7" s="7">
        <f t="shared" ref="E7:E22" si="2">B7*(1+D7)</f>
        <v>366428.57150999998</v>
      </c>
      <c r="F7" s="7">
        <f t="shared" ref="F7:F22" si="3">E7-B7</f>
        <v>173571.42860999997</v>
      </c>
      <c r="G7" s="4">
        <f t="shared" ref="G7:G22" si="4">F7/E7</f>
        <v>0.47368421052631576</v>
      </c>
      <c r="I7" s="7">
        <f t="shared" si="0"/>
        <v>73285.714301999993</v>
      </c>
      <c r="J7" s="7">
        <f>(E7-$E$6)</f>
        <v>27142.857169999974</v>
      </c>
      <c r="K7" s="7">
        <f>J7/A7</f>
        <v>5428.571433999995</v>
      </c>
      <c r="AA7" t="s">
        <v>83</v>
      </c>
      <c r="AB7">
        <v>0</v>
      </c>
      <c r="AC7" t="s">
        <v>80</v>
      </c>
    </row>
    <row r="8" spans="1:29" x14ac:dyDescent="0.25">
      <c r="A8">
        <v>10</v>
      </c>
      <c r="B8" s="6">
        <f t="shared" si="1"/>
        <v>210714.28570000001</v>
      </c>
      <c r="D8" s="4">
        <v>0.9</v>
      </c>
      <c r="E8" s="7">
        <f t="shared" si="2"/>
        <v>400357.14282999997</v>
      </c>
      <c r="F8" s="7">
        <f t="shared" si="3"/>
        <v>189642.85712999996</v>
      </c>
      <c r="G8" s="4">
        <f t="shared" si="4"/>
        <v>0.47368421052631571</v>
      </c>
      <c r="I8" s="7">
        <f t="shared" si="0"/>
        <v>40035.714282999994</v>
      </c>
      <c r="J8" s="7">
        <f t="shared" ref="J8:J21" si="5">(E8-$E$6)</f>
        <v>61071.428489999962</v>
      </c>
      <c r="K8" s="7">
        <f t="shared" ref="K8:K21" si="6">J8/A8</f>
        <v>6107.1428489999962</v>
      </c>
      <c r="AA8" t="s">
        <v>96</v>
      </c>
      <c r="AB8" s="5">
        <v>8000</v>
      </c>
      <c r="AC8" t="s">
        <v>80</v>
      </c>
    </row>
    <row r="9" spans="1:29" x14ac:dyDescent="0.25">
      <c r="A9">
        <v>20</v>
      </c>
      <c r="B9" s="6">
        <f t="shared" si="1"/>
        <v>246428.57139999999</v>
      </c>
      <c r="D9" s="4">
        <v>0.9</v>
      </c>
      <c r="E9" s="7">
        <f t="shared" si="2"/>
        <v>468214.28565999994</v>
      </c>
      <c r="F9" s="7">
        <f t="shared" si="3"/>
        <v>221785.71425999995</v>
      </c>
      <c r="G9" s="4">
        <f t="shared" si="4"/>
        <v>0.47368421052631576</v>
      </c>
      <c r="I9" s="7">
        <f t="shared" si="0"/>
        <v>23410.714282999998</v>
      </c>
      <c r="J9" s="7">
        <f t="shared" si="5"/>
        <v>128928.57131999993</v>
      </c>
      <c r="K9" s="7">
        <f t="shared" si="6"/>
        <v>6446.4285659999969</v>
      </c>
      <c r="AB9" s="5"/>
    </row>
    <row r="10" spans="1:29" x14ac:dyDescent="0.25">
      <c r="A10">
        <v>30</v>
      </c>
      <c r="B10" s="6">
        <f t="shared" si="1"/>
        <v>282142.85710000002</v>
      </c>
      <c r="D10" s="4">
        <v>0.9</v>
      </c>
      <c r="E10" s="7">
        <f t="shared" si="2"/>
        <v>536071.42848999996</v>
      </c>
      <c r="F10" s="7">
        <f t="shared" si="3"/>
        <v>253928.57138999994</v>
      </c>
      <c r="G10" s="4">
        <f t="shared" si="4"/>
        <v>0.47368421052631571</v>
      </c>
      <c r="I10" s="7">
        <f t="shared" si="0"/>
        <v>17869.047616333333</v>
      </c>
      <c r="J10" s="7">
        <f t="shared" si="5"/>
        <v>196785.71414999996</v>
      </c>
      <c r="K10" s="7">
        <f t="shared" si="6"/>
        <v>6559.5238049999989</v>
      </c>
      <c r="AB10" s="5"/>
    </row>
    <row r="11" spans="1:29" x14ac:dyDescent="0.25">
      <c r="A11">
        <v>40</v>
      </c>
      <c r="B11" s="6">
        <f t="shared" si="1"/>
        <v>317857.14289999998</v>
      </c>
      <c r="D11" s="4">
        <v>0.9</v>
      </c>
      <c r="E11" s="7">
        <f t="shared" si="2"/>
        <v>603928.57150999992</v>
      </c>
      <c r="F11" s="7">
        <f t="shared" si="3"/>
        <v>286071.42860999994</v>
      </c>
      <c r="G11" s="4">
        <f t="shared" si="4"/>
        <v>0.47368421052631576</v>
      </c>
      <c r="I11" s="7">
        <f t="shared" si="0"/>
        <v>15098.214287749997</v>
      </c>
      <c r="J11" s="7">
        <f t="shared" si="5"/>
        <v>264642.85716999992</v>
      </c>
      <c r="K11" s="7">
        <f t="shared" si="6"/>
        <v>6616.0714292499979</v>
      </c>
      <c r="AA11" t="s">
        <v>77</v>
      </c>
      <c r="AB11" s="5"/>
    </row>
    <row r="12" spans="1:29" x14ac:dyDescent="0.25">
      <c r="A12">
        <v>50</v>
      </c>
      <c r="B12" s="6">
        <f t="shared" si="1"/>
        <v>353571.42859999998</v>
      </c>
      <c r="D12" s="4">
        <v>0.9</v>
      </c>
      <c r="E12" s="7">
        <f t="shared" si="2"/>
        <v>671785.71433999995</v>
      </c>
      <c r="F12" s="7">
        <f t="shared" si="3"/>
        <v>318214.28573999996</v>
      </c>
      <c r="G12" s="4">
        <f t="shared" si="4"/>
        <v>0.47368421052631576</v>
      </c>
      <c r="I12" s="7">
        <f t="shared" si="0"/>
        <v>13435.714286799999</v>
      </c>
      <c r="J12" s="7">
        <f t="shared" si="5"/>
        <v>332499.99999999994</v>
      </c>
      <c r="K12" s="7">
        <f t="shared" si="6"/>
        <v>6649.9999999999991</v>
      </c>
      <c r="AA12" t="s">
        <v>78</v>
      </c>
    </row>
    <row r="13" spans="1:29" x14ac:dyDescent="0.25">
      <c r="A13">
        <v>60</v>
      </c>
      <c r="B13" s="6">
        <f t="shared" si="1"/>
        <v>389285.71429999999</v>
      </c>
      <c r="D13" s="4">
        <v>0.9</v>
      </c>
      <c r="E13" s="7">
        <f t="shared" si="2"/>
        <v>739642.85716999997</v>
      </c>
      <c r="F13" s="7">
        <f t="shared" si="3"/>
        <v>350357.14286999998</v>
      </c>
      <c r="G13" s="4">
        <f t="shared" si="4"/>
        <v>0.47368421052631576</v>
      </c>
      <c r="I13" s="7">
        <f t="shared" si="0"/>
        <v>12327.380952833333</v>
      </c>
      <c r="J13" s="7">
        <f t="shared" si="5"/>
        <v>400357.14282999997</v>
      </c>
      <c r="K13" s="7">
        <f t="shared" si="6"/>
        <v>6672.619047166666</v>
      </c>
    </row>
    <row r="14" spans="1:29" x14ac:dyDescent="0.25">
      <c r="A14">
        <v>70</v>
      </c>
      <c r="B14" s="6">
        <f t="shared" si="1"/>
        <v>425000</v>
      </c>
      <c r="D14" s="4">
        <v>0.9</v>
      </c>
      <c r="E14" s="7">
        <f t="shared" si="2"/>
        <v>807500</v>
      </c>
      <c r="F14" s="7">
        <f t="shared" si="3"/>
        <v>382500</v>
      </c>
      <c r="G14" s="4">
        <f t="shared" si="4"/>
        <v>0.47368421052631576</v>
      </c>
      <c r="I14" s="7">
        <f t="shared" si="0"/>
        <v>11535.714285714286</v>
      </c>
      <c r="J14" s="7">
        <f t="shared" si="5"/>
        <v>468214.28565999999</v>
      </c>
      <c r="K14" s="7">
        <f t="shared" si="6"/>
        <v>6688.7755094285712</v>
      </c>
    </row>
    <row r="15" spans="1:29" x14ac:dyDescent="0.25">
      <c r="A15">
        <v>80</v>
      </c>
      <c r="B15" s="6">
        <f t="shared" si="1"/>
        <v>460714.28570000001</v>
      </c>
      <c r="D15" s="4">
        <v>0.9</v>
      </c>
      <c r="E15" s="7">
        <f t="shared" si="2"/>
        <v>875357.14283000003</v>
      </c>
      <c r="F15" s="7">
        <f t="shared" si="3"/>
        <v>414642.85713000002</v>
      </c>
      <c r="G15" s="4">
        <f t="shared" si="4"/>
        <v>0.47368421052631582</v>
      </c>
      <c r="I15" s="7">
        <f t="shared" si="0"/>
        <v>10941.964285375001</v>
      </c>
      <c r="J15" s="7">
        <f t="shared" si="5"/>
        <v>536071.42849000008</v>
      </c>
      <c r="K15" s="7">
        <f t="shared" si="6"/>
        <v>6700.8928561250013</v>
      </c>
    </row>
    <row r="16" spans="1:29" x14ac:dyDescent="0.25">
      <c r="A16">
        <v>90</v>
      </c>
      <c r="B16" s="6">
        <f t="shared" si="1"/>
        <v>496428.57140000002</v>
      </c>
      <c r="D16" s="4">
        <v>0.9</v>
      </c>
      <c r="E16" s="7">
        <f t="shared" si="2"/>
        <v>943214.28565999994</v>
      </c>
      <c r="F16" s="7">
        <f t="shared" si="3"/>
        <v>446785.71425999992</v>
      </c>
      <c r="G16" s="4">
        <f t="shared" si="4"/>
        <v>0.47368421052631576</v>
      </c>
      <c r="I16" s="7">
        <f t="shared" si="0"/>
        <v>10480.158729555555</v>
      </c>
      <c r="J16" s="7">
        <f t="shared" si="5"/>
        <v>603928.57131999987</v>
      </c>
      <c r="K16" s="7">
        <f t="shared" si="6"/>
        <v>6710.3174591111101</v>
      </c>
    </row>
    <row r="17" spans="1:11" x14ac:dyDescent="0.25">
      <c r="A17">
        <v>100</v>
      </c>
      <c r="B17" s="6">
        <f t="shared" si="1"/>
        <v>532142.85710000002</v>
      </c>
      <c r="D17" s="4">
        <v>0.9</v>
      </c>
      <c r="E17" s="7">
        <f t="shared" si="2"/>
        <v>1011071.42849</v>
      </c>
      <c r="F17" s="7">
        <f t="shared" si="3"/>
        <v>478928.57138999994</v>
      </c>
      <c r="G17" s="4">
        <f t="shared" si="4"/>
        <v>0.47368421052631576</v>
      </c>
      <c r="I17" s="7">
        <f t="shared" si="0"/>
        <v>10110.714284899999</v>
      </c>
      <c r="J17" s="7">
        <f t="shared" si="5"/>
        <v>671785.7141499999</v>
      </c>
      <c r="K17" s="7">
        <f t="shared" si="6"/>
        <v>6717.8571414999988</v>
      </c>
    </row>
    <row r="18" spans="1:11" x14ac:dyDescent="0.25">
      <c r="A18">
        <v>150</v>
      </c>
      <c r="B18" s="6">
        <f t="shared" si="1"/>
        <v>710714.28570000001</v>
      </c>
      <c r="D18" s="4">
        <v>0.9</v>
      </c>
      <c r="E18" s="7">
        <f t="shared" si="2"/>
        <v>1350357.14283</v>
      </c>
      <c r="F18" s="7">
        <f t="shared" si="3"/>
        <v>639642.85713000002</v>
      </c>
      <c r="G18" s="4">
        <f t="shared" si="4"/>
        <v>0.47368421052631582</v>
      </c>
      <c r="I18" s="7">
        <f t="shared" si="0"/>
        <v>9002.380952200001</v>
      </c>
      <c r="J18" s="7">
        <f t="shared" si="5"/>
        <v>1011071.4284900001</v>
      </c>
      <c r="K18" s="7">
        <f t="shared" si="6"/>
        <v>6740.4761899333334</v>
      </c>
    </row>
    <row r="19" spans="1:11" x14ac:dyDescent="0.25">
      <c r="A19">
        <v>200</v>
      </c>
      <c r="B19" s="6">
        <f t="shared" si="1"/>
        <v>889285.71429999999</v>
      </c>
      <c r="D19" s="4">
        <v>0.9</v>
      </c>
      <c r="E19" s="7">
        <f t="shared" si="2"/>
        <v>1689642.85717</v>
      </c>
      <c r="F19" s="7">
        <f t="shared" si="3"/>
        <v>800357.14286999998</v>
      </c>
      <c r="G19" s="4">
        <f t="shared" si="4"/>
        <v>0.47368421052631576</v>
      </c>
      <c r="I19" s="7">
        <f t="shared" si="0"/>
        <v>8448.2142858499992</v>
      </c>
      <c r="J19" s="7">
        <f t="shared" si="5"/>
        <v>1350357.14283</v>
      </c>
      <c r="K19" s="7">
        <f t="shared" si="6"/>
        <v>6751.7857141499999</v>
      </c>
    </row>
    <row r="20" spans="1:11" x14ac:dyDescent="0.25">
      <c r="A20">
        <v>300</v>
      </c>
      <c r="B20" s="6">
        <f t="shared" si="1"/>
        <v>1246428.5714</v>
      </c>
      <c r="D20" s="4">
        <v>0.9</v>
      </c>
      <c r="E20" s="7">
        <f t="shared" si="2"/>
        <v>2368214.2856600001</v>
      </c>
      <c r="F20" s="7">
        <f t="shared" si="3"/>
        <v>1121785.71426</v>
      </c>
      <c r="G20" s="4">
        <f t="shared" si="4"/>
        <v>0.47368421052631582</v>
      </c>
      <c r="I20" s="7">
        <f t="shared" si="0"/>
        <v>7894.0476188666671</v>
      </c>
      <c r="J20" s="7">
        <f t="shared" si="5"/>
        <v>2028928.5713200001</v>
      </c>
      <c r="K20" s="7">
        <f t="shared" si="6"/>
        <v>6763.0952377333333</v>
      </c>
    </row>
    <row r="21" spans="1:11" x14ac:dyDescent="0.25">
      <c r="A21">
        <v>400</v>
      </c>
      <c r="B21" s="6">
        <f t="shared" si="1"/>
        <v>1603571.4286</v>
      </c>
      <c r="D21" s="4">
        <v>0.9</v>
      </c>
      <c r="E21" s="7">
        <f t="shared" si="2"/>
        <v>3046785.7143399999</v>
      </c>
      <c r="F21" s="7">
        <f t="shared" si="3"/>
        <v>1443214.28574</v>
      </c>
      <c r="G21" s="4">
        <f t="shared" si="4"/>
        <v>0.47368421052631576</v>
      </c>
      <c r="I21" s="7">
        <f t="shared" si="0"/>
        <v>7616.9642858500001</v>
      </c>
      <c r="J21" s="7">
        <f t="shared" si="5"/>
        <v>2707500</v>
      </c>
      <c r="K21" s="7">
        <f t="shared" si="6"/>
        <v>6768.75</v>
      </c>
    </row>
    <row r="22" spans="1:11" x14ac:dyDescent="0.25">
      <c r="A22">
        <v>500</v>
      </c>
      <c r="B22" s="6">
        <f t="shared" si="1"/>
        <v>1960714.2856999999</v>
      </c>
      <c r="D22" s="4">
        <v>0.9</v>
      </c>
      <c r="E22" s="7">
        <f t="shared" si="2"/>
        <v>3725357.1428299998</v>
      </c>
      <c r="F22" s="7">
        <f t="shared" si="3"/>
        <v>1764642.8571299999</v>
      </c>
      <c r="G22" s="4">
        <f t="shared" si="4"/>
        <v>0.47368421052631576</v>
      </c>
      <c r="I22" s="7">
        <f t="shared" si="0"/>
        <v>7450.7142856599994</v>
      </c>
      <c r="J22" s="7"/>
    </row>
    <row r="23" spans="1:11" x14ac:dyDescent="0.25">
      <c r="B23" s="6"/>
      <c r="D23" s="4"/>
      <c r="E23" s="7"/>
      <c r="F23" s="7"/>
      <c r="G23" s="4"/>
      <c r="I23" s="7"/>
      <c r="J23" s="7"/>
    </row>
    <row r="24" spans="1:11" x14ac:dyDescent="0.25">
      <c r="B24" s="6"/>
      <c r="D24" s="4"/>
      <c r="E24" s="7"/>
      <c r="F24" s="7"/>
      <c r="G24" s="4"/>
      <c r="I24" s="7"/>
      <c r="J24" s="7"/>
    </row>
    <row r="25" spans="1:11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AA6" sqref="AA6:AC8"/>
    </sheetView>
  </sheetViews>
  <sheetFormatPr defaultRowHeight="15" x14ac:dyDescent="0.25"/>
  <cols>
    <col min="2" max="2" width="14.85546875" bestFit="1" customWidth="1"/>
    <col min="5" max="5" width="14.85546875" bestFit="1" customWidth="1"/>
    <col min="6" max="6" width="13.28515625" bestFit="1" customWidth="1"/>
    <col min="7" max="7" width="8.4257812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73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74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101250</v>
      </c>
      <c r="D6" s="4">
        <v>0.9</v>
      </c>
      <c r="E6" s="7">
        <f>B6*(1+D6)</f>
        <v>192375</v>
      </c>
      <c r="F6" s="7">
        <f>E6-B6</f>
        <v>91125</v>
      </c>
      <c r="G6" s="4">
        <f>F6/E6</f>
        <v>0.47368421052631576</v>
      </c>
      <c r="I6" s="7">
        <f t="shared" ref="I6:I22" si="0">E6/A6</f>
        <v>192375</v>
      </c>
      <c r="AA6" t="s">
        <v>82</v>
      </c>
      <c r="AB6" s="5">
        <v>200000</v>
      </c>
    </row>
    <row r="7" spans="1:29" x14ac:dyDescent="0.25">
      <c r="A7">
        <v>5</v>
      </c>
      <c r="B7" s="6">
        <f t="shared" ref="B7:B22" si="1">PhiDongCuonKeoEVA(A7)</f>
        <v>106250</v>
      </c>
      <c r="D7" s="4">
        <v>0.9</v>
      </c>
      <c r="E7" s="7">
        <f t="shared" ref="E7:E22" si="2">B7*(1+D7)</f>
        <v>201875</v>
      </c>
      <c r="F7" s="7">
        <f t="shared" ref="F7:F22" si="3">E7-B7</f>
        <v>95625</v>
      </c>
      <c r="G7" s="4">
        <f t="shared" ref="G7:G22" si="4">F7/E7</f>
        <v>0.47368421052631576</v>
      </c>
      <c r="I7" s="7">
        <f t="shared" si="0"/>
        <v>40375</v>
      </c>
      <c r="J7" s="7">
        <f>(E7-$E$6)</f>
        <v>9500</v>
      </c>
      <c r="K7" s="7">
        <f>J7/A7</f>
        <v>1900</v>
      </c>
      <c r="AA7" t="s">
        <v>83</v>
      </c>
      <c r="AB7">
        <v>0</v>
      </c>
      <c r="AC7" t="s">
        <v>67</v>
      </c>
    </row>
    <row r="8" spans="1:29" x14ac:dyDescent="0.25">
      <c r="A8">
        <v>10</v>
      </c>
      <c r="B8" s="6">
        <f t="shared" si="1"/>
        <v>112500</v>
      </c>
      <c r="D8" s="4">
        <v>0.9</v>
      </c>
      <c r="E8" s="7">
        <f t="shared" si="2"/>
        <v>213750</v>
      </c>
      <c r="F8" s="7">
        <f t="shared" si="3"/>
        <v>101250</v>
      </c>
      <c r="G8" s="4">
        <f t="shared" si="4"/>
        <v>0.47368421052631576</v>
      </c>
      <c r="I8" s="7">
        <f t="shared" si="0"/>
        <v>21375</v>
      </c>
      <c r="J8" s="7">
        <f t="shared" ref="J8:J21" si="5">(E8-$E$6)</f>
        <v>21375</v>
      </c>
      <c r="K8" s="7">
        <f t="shared" ref="K8:K21" si="6">J8/A8</f>
        <v>2137.5</v>
      </c>
      <c r="AA8" t="s">
        <v>95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1"/>
        <v>125000</v>
      </c>
      <c r="D9" s="4">
        <v>0.9</v>
      </c>
      <c r="E9" s="7">
        <f t="shared" si="2"/>
        <v>237500</v>
      </c>
      <c r="F9" s="7">
        <f t="shared" si="3"/>
        <v>112500</v>
      </c>
      <c r="G9" s="4">
        <f t="shared" si="4"/>
        <v>0.47368421052631576</v>
      </c>
      <c r="I9" s="7">
        <f t="shared" si="0"/>
        <v>11875</v>
      </c>
      <c r="J9" s="7">
        <f t="shared" si="5"/>
        <v>45125</v>
      </c>
      <c r="K9" s="7">
        <f t="shared" si="6"/>
        <v>2256.25</v>
      </c>
      <c r="AB9" s="5"/>
    </row>
    <row r="10" spans="1:29" x14ac:dyDescent="0.25">
      <c r="A10">
        <v>30</v>
      </c>
      <c r="B10" s="6">
        <f t="shared" si="1"/>
        <v>137500</v>
      </c>
      <c r="D10" s="4">
        <v>0.9</v>
      </c>
      <c r="E10" s="7">
        <f t="shared" si="2"/>
        <v>261250</v>
      </c>
      <c r="F10" s="7">
        <f t="shared" si="3"/>
        <v>123750</v>
      </c>
      <c r="G10" s="4">
        <f t="shared" si="4"/>
        <v>0.47368421052631576</v>
      </c>
      <c r="I10" s="7">
        <f t="shared" si="0"/>
        <v>8708.3333333333339</v>
      </c>
      <c r="J10" s="7">
        <f t="shared" si="5"/>
        <v>68875</v>
      </c>
      <c r="K10" s="7">
        <f t="shared" si="6"/>
        <v>2295.8333333333335</v>
      </c>
      <c r="AB10" s="5"/>
    </row>
    <row r="11" spans="1:29" x14ac:dyDescent="0.25">
      <c r="A11">
        <v>40</v>
      </c>
      <c r="B11" s="6">
        <f t="shared" si="1"/>
        <v>150000</v>
      </c>
      <c r="D11" s="4">
        <v>0.9</v>
      </c>
      <c r="E11" s="7">
        <f t="shared" si="2"/>
        <v>285000</v>
      </c>
      <c r="F11" s="7">
        <f t="shared" si="3"/>
        <v>135000</v>
      </c>
      <c r="G11" s="4">
        <f t="shared" si="4"/>
        <v>0.47368421052631576</v>
      </c>
      <c r="I11" s="7">
        <f t="shared" si="0"/>
        <v>7125</v>
      </c>
      <c r="J11" s="7">
        <f t="shared" si="5"/>
        <v>92625</v>
      </c>
      <c r="K11" s="7">
        <f t="shared" si="6"/>
        <v>2315.625</v>
      </c>
      <c r="AA11" t="s">
        <v>97</v>
      </c>
      <c r="AB11" s="5"/>
    </row>
    <row r="12" spans="1:29" x14ac:dyDescent="0.25">
      <c r="A12">
        <v>50</v>
      </c>
      <c r="B12" s="6">
        <f t="shared" si="1"/>
        <v>162500</v>
      </c>
      <c r="D12" s="4">
        <v>0.9</v>
      </c>
      <c r="E12" s="7">
        <f t="shared" si="2"/>
        <v>308750</v>
      </c>
      <c r="F12" s="7">
        <f t="shared" si="3"/>
        <v>146250</v>
      </c>
      <c r="G12" s="4">
        <f t="shared" si="4"/>
        <v>0.47368421052631576</v>
      </c>
      <c r="I12" s="7">
        <f t="shared" si="0"/>
        <v>6175</v>
      </c>
      <c r="J12" s="7">
        <f t="shared" si="5"/>
        <v>116375</v>
      </c>
      <c r="K12" s="7">
        <f t="shared" si="6"/>
        <v>2327.5</v>
      </c>
      <c r="AA12" t="s">
        <v>98</v>
      </c>
    </row>
    <row r="13" spans="1:29" x14ac:dyDescent="0.25">
      <c r="A13">
        <v>60</v>
      </c>
      <c r="B13" s="6">
        <f t="shared" si="1"/>
        <v>175000</v>
      </c>
      <c r="D13" s="4">
        <v>0.9</v>
      </c>
      <c r="E13" s="7">
        <f t="shared" si="2"/>
        <v>332500</v>
      </c>
      <c r="F13" s="7">
        <f t="shared" si="3"/>
        <v>157500</v>
      </c>
      <c r="G13" s="4">
        <f t="shared" si="4"/>
        <v>0.47368421052631576</v>
      </c>
      <c r="I13" s="7">
        <f t="shared" si="0"/>
        <v>5541.666666666667</v>
      </c>
      <c r="J13" s="7">
        <f t="shared" si="5"/>
        <v>140125</v>
      </c>
      <c r="K13" s="7">
        <f t="shared" si="6"/>
        <v>2335.4166666666665</v>
      </c>
    </row>
    <row r="14" spans="1:29" x14ac:dyDescent="0.25">
      <c r="A14">
        <v>70</v>
      </c>
      <c r="B14" s="6">
        <f t="shared" si="1"/>
        <v>187500</v>
      </c>
      <c r="D14" s="4">
        <v>0.9</v>
      </c>
      <c r="E14" s="7">
        <f t="shared" si="2"/>
        <v>356250</v>
      </c>
      <c r="F14" s="7">
        <f t="shared" si="3"/>
        <v>168750</v>
      </c>
      <c r="G14" s="4">
        <f t="shared" si="4"/>
        <v>0.47368421052631576</v>
      </c>
      <c r="I14" s="7">
        <f t="shared" si="0"/>
        <v>5089.2857142857147</v>
      </c>
      <c r="J14" s="7">
        <f t="shared" si="5"/>
        <v>163875</v>
      </c>
      <c r="K14" s="7">
        <f t="shared" si="6"/>
        <v>2341.0714285714284</v>
      </c>
    </row>
    <row r="15" spans="1:29" x14ac:dyDescent="0.25">
      <c r="A15">
        <v>80</v>
      </c>
      <c r="B15" s="6">
        <f t="shared" si="1"/>
        <v>200000</v>
      </c>
      <c r="D15" s="4">
        <v>0.9</v>
      </c>
      <c r="E15" s="7">
        <f t="shared" si="2"/>
        <v>380000</v>
      </c>
      <c r="F15" s="7">
        <f t="shared" si="3"/>
        <v>180000</v>
      </c>
      <c r="G15" s="4">
        <f t="shared" si="4"/>
        <v>0.47368421052631576</v>
      </c>
      <c r="I15" s="7">
        <f t="shared" si="0"/>
        <v>4750</v>
      </c>
      <c r="J15" s="7">
        <f t="shared" si="5"/>
        <v>187625</v>
      </c>
      <c r="K15" s="7">
        <f t="shared" si="6"/>
        <v>2345.3125</v>
      </c>
    </row>
    <row r="16" spans="1:29" x14ac:dyDescent="0.25">
      <c r="A16">
        <v>90</v>
      </c>
      <c r="B16" s="6">
        <f t="shared" si="1"/>
        <v>212500</v>
      </c>
      <c r="D16" s="4">
        <v>0.9</v>
      </c>
      <c r="E16" s="7">
        <f t="shared" si="2"/>
        <v>403750</v>
      </c>
      <c r="F16" s="7">
        <f t="shared" si="3"/>
        <v>191250</v>
      </c>
      <c r="G16" s="4">
        <f t="shared" si="4"/>
        <v>0.47368421052631576</v>
      </c>
      <c r="I16" s="7">
        <f t="shared" si="0"/>
        <v>4486.1111111111113</v>
      </c>
      <c r="J16" s="7">
        <f t="shared" si="5"/>
        <v>211375</v>
      </c>
      <c r="K16" s="7">
        <f t="shared" si="6"/>
        <v>2348.6111111111113</v>
      </c>
    </row>
    <row r="17" spans="1:11" x14ac:dyDescent="0.25">
      <c r="A17">
        <v>100</v>
      </c>
      <c r="B17" s="6">
        <f t="shared" si="1"/>
        <v>225000</v>
      </c>
      <c r="D17" s="4">
        <v>0.9</v>
      </c>
      <c r="E17" s="7">
        <f t="shared" si="2"/>
        <v>427500</v>
      </c>
      <c r="F17" s="7">
        <f t="shared" si="3"/>
        <v>202500</v>
      </c>
      <c r="G17" s="4">
        <f t="shared" si="4"/>
        <v>0.47368421052631576</v>
      </c>
      <c r="I17" s="7">
        <f t="shared" si="0"/>
        <v>4275</v>
      </c>
      <c r="J17" s="7">
        <f t="shared" si="5"/>
        <v>235125</v>
      </c>
      <c r="K17" s="7">
        <f t="shared" si="6"/>
        <v>2351.25</v>
      </c>
    </row>
    <row r="18" spans="1:11" x14ac:dyDescent="0.25">
      <c r="A18">
        <v>150</v>
      </c>
      <c r="B18" s="6">
        <f t="shared" si="1"/>
        <v>287500</v>
      </c>
      <c r="D18" s="4">
        <v>0.9</v>
      </c>
      <c r="E18" s="7">
        <f t="shared" si="2"/>
        <v>546250</v>
      </c>
      <c r="F18" s="7">
        <f t="shared" si="3"/>
        <v>258750</v>
      </c>
      <c r="G18" s="4">
        <f t="shared" si="4"/>
        <v>0.47368421052631576</v>
      </c>
      <c r="I18" s="7">
        <f t="shared" si="0"/>
        <v>3641.6666666666665</v>
      </c>
      <c r="J18" s="7">
        <f t="shared" si="5"/>
        <v>353875</v>
      </c>
      <c r="K18" s="7">
        <f t="shared" si="6"/>
        <v>2359.1666666666665</v>
      </c>
    </row>
    <row r="19" spans="1:11" x14ac:dyDescent="0.25">
      <c r="A19">
        <v>200</v>
      </c>
      <c r="B19" s="6">
        <f t="shared" si="1"/>
        <v>350000</v>
      </c>
      <c r="D19" s="4">
        <v>0.9</v>
      </c>
      <c r="E19" s="7">
        <f t="shared" si="2"/>
        <v>665000</v>
      </c>
      <c r="F19" s="7">
        <f t="shared" si="3"/>
        <v>315000</v>
      </c>
      <c r="G19" s="4">
        <f t="shared" si="4"/>
        <v>0.47368421052631576</v>
      </c>
      <c r="I19" s="7">
        <f t="shared" si="0"/>
        <v>3325</v>
      </c>
      <c r="J19" s="7">
        <f t="shared" si="5"/>
        <v>472625</v>
      </c>
      <c r="K19" s="7">
        <f t="shared" si="6"/>
        <v>2363.125</v>
      </c>
    </row>
    <row r="20" spans="1:11" x14ac:dyDescent="0.25">
      <c r="A20">
        <v>300</v>
      </c>
      <c r="B20" s="6">
        <f t="shared" si="1"/>
        <v>475000</v>
      </c>
      <c r="D20" s="4">
        <v>0.9</v>
      </c>
      <c r="E20" s="7">
        <f t="shared" si="2"/>
        <v>902500</v>
      </c>
      <c r="F20" s="7">
        <f t="shared" si="3"/>
        <v>427500</v>
      </c>
      <c r="G20" s="4">
        <f t="shared" si="4"/>
        <v>0.47368421052631576</v>
      </c>
      <c r="I20" s="7">
        <f t="shared" si="0"/>
        <v>3008.3333333333335</v>
      </c>
      <c r="J20" s="7">
        <f t="shared" si="5"/>
        <v>710125</v>
      </c>
      <c r="K20" s="7">
        <f t="shared" si="6"/>
        <v>2367.0833333333335</v>
      </c>
    </row>
    <row r="21" spans="1:11" x14ac:dyDescent="0.25">
      <c r="A21">
        <v>400</v>
      </c>
      <c r="B21" s="6">
        <f t="shared" si="1"/>
        <v>600000</v>
      </c>
      <c r="D21" s="4">
        <v>0.9</v>
      </c>
      <c r="E21" s="7">
        <f t="shared" si="2"/>
        <v>1140000</v>
      </c>
      <c r="F21" s="7">
        <f t="shared" si="3"/>
        <v>540000</v>
      </c>
      <c r="G21" s="4">
        <f t="shared" si="4"/>
        <v>0.47368421052631576</v>
      </c>
      <c r="I21" s="7">
        <f t="shared" si="0"/>
        <v>2850</v>
      </c>
      <c r="J21" s="7">
        <f t="shared" si="5"/>
        <v>947625</v>
      </c>
      <c r="K21" s="7">
        <f t="shared" si="6"/>
        <v>2369.0625</v>
      </c>
    </row>
    <row r="22" spans="1:11" x14ac:dyDescent="0.25">
      <c r="A22">
        <v>500</v>
      </c>
      <c r="B22" s="6">
        <f t="shared" si="1"/>
        <v>725000</v>
      </c>
      <c r="D22" s="4">
        <v>0.9</v>
      </c>
      <c r="E22" s="7">
        <f t="shared" si="2"/>
        <v>1377500</v>
      </c>
      <c r="F22" s="7">
        <f t="shared" si="3"/>
        <v>652500</v>
      </c>
      <c r="G22" s="4">
        <f t="shared" si="4"/>
        <v>0.47368421052631576</v>
      </c>
      <c r="I22" s="7">
        <f t="shared" si="0"/>
        <v>2755</v>
      </c>
      <c r="J22" s="7"/>
    </row>
    <row r="23" spans="1:11" x14ac:dyDescent="0.25">
      <c r="B23" s="6"/>
      <c r="D23" s="4"/>
      <c r="E23" s="7"/>
      <c r="F23" s="7"/>
      <c r="G23" s="4"/>
      <c r="I23" s="7"/>
      <c r="J23" s="7"/>
    </row>
    <row r="24" spans="1:11" x14ac:dyDescent="0.25">
      <c r="B24" s="6"/>
      <c r="D24" s="4"/>
      <c r="E24" s="7"/>
      <c r="F24" s="7"/>
      <c r="G24" s="4"/>
      <c r="I24" s="7"/>
      <c r="J24" s="7"/>
    </row>
    <row r="25" spans="1:11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99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64083.333299999998</v>
      </c>
      <c r="D6" s="4">
        <v>0.9</v>
      </c>
      <c r="E6" s="7">
        <f>B6*(1+D6)</f>
        <v>121758.33326999999</v>
      </c>
      <c r="F6" s="7">
        <f>E6-B6</f>
        <v>57674.99996999999</v>
      </c>
      <c r="G6" s="4">
        <f>F6/E6</f>
        <v>0.47368421052631576</v>
      </c>
      <c r="I6" s="7">
        <f t="shared" ref="I6:I25" si="0">E6/A6</f>
        <v>121758.33326999999</v>
      </c>
      <c r="AA6" t="s">
        <v>82</v>
      </c>
      <c r="AB6" s="5">
        <v>150000</v>
      </c>
      <c r="AC6" t="s">
        <v>75</v>
      </c>
    </row>
    <row r="7" spans="1:29" x14ac:dyDescent="0.25">
      <c r="A7">
        <v>50</v>
      </c>
      <c r="B7" s="6">
        <f t="shared" ref="B7:B25" si="1">PhiDongKimLong(A7)</f>
        <v>141666.6667</v>
      </c>
      <c r="D7" s="4">
        <v>0.9</v>
      </c>
      <c r="E7" s="7">
        <f t="shared" ref="E7:E25" si="2">B7*(1+D7)</f>
        <v>269166.66673</v>
      </c>
      <c r="F7" s="7">
        <f t="shared" ref="F7:F25" si="3">E7-B7</f>
        <v>127500.00003</v>
      </c>
      <c r="G7" s="4">
        <f t="shared" ref="G7:G25" si="4">F7/E7</f>
        <v>0.47368421052631576</v>
      </c>
      <c r="I7" s="7">
        <f t="shared" si="0"/>
        <v>5383.3333345999999</v>
      </c>
      <c r="J7" s="7">
        <f>(E7-$E$6)</f>
        <v>147408.33345999999</v>
      </c>
      <c r="K7" s="7">
        <f>J7/A7</f>
        <v>2948.1666691999999</v>
      </c>
      <c r="AA7" t="s">
        <v>81</v>
      </c>
      <c r="AB7">
        <v>0</v>
      </c>
      <c r="AC7" t="s">
        <v>80</v>
      </c>
    </row>
    <row r="8" spans="1:29" x14ac:dyDescent="0.25">
      <c r="A8">
        <v>100</v>
      </c>
      <c r="B8" s="6">
        <f t="shared" si="1"/>
        <v>220833.3333</v>
      </c>
      <c r="D8" s="4">
        <v>0.9</v>
      </c>
      <c r="E8" s="7">
        <f t="shared" si="2"/>
        <v>419583.33327</v>
      </c>
      <c r="F8" s="7">
        <f t="shared" si="3"/>
        <v>198749.99997</v>
      </c>
      <c r="G8" s="4">
        <f t="shared" si="4"/>
        <v>0.47368421052631582</v>
      </c>
      <c r="I8" s="7">
        <f t="shared" si="0"/>
        <v>4195.8333327</v>
      </c>
      <c r="J8" s="7">
        <f t="shared" ref="J8:J21" si="5">(E8-$E$6)</f>
        <v>297825</v>
      </c>
      <c r="K8" s="7">
        <f t="shared" ref="K8:K21" si="6">J8/A8</f>
        <v>2978.25</v>
      </c>
      <c r="AA8" t="s">
        <v>100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300000</v>
      </c>
      <c r="D9" s="4">
        <v>0.9</v>
      </c>
      <c r="E9" s="7">
        <f t="shared" si="2"/>
        <v>570000</v>
      </c>
      <c r="F9" s="7">
        <f t="shared" si="3"/>
        <v>270000</v>
      </c>
      <c r="G9" s="4">
        <f t="shared" si="4"/>
        <v>0.47368421052631576</v>
      </c>
      <c r="I9" s="7">
        <f t="shared" si="0"/>
        <v>3800</v>
      </c>
      <c r="J9" s="7">
        <f t="shared" si="5"/>
        <v>448241.66673</v>
      </c>
      <c r="K9" s="7">
        <f t="shared" si="6"/>
        <v>2988.2777781999998</v>
      </c>
      <c r="AB9" s="5"/>
    </row>
    <row r="10" spans="1:29" x14ac:dyDescent="0.25">
      <c r="A10">
        <v>200</v>
      </c>
      <c r="B10" s="6">
        <f t="shared" si="1"/>
        <v>379166.6667</v>
      </c>
      <c r="D10" s="4">
        <v>0.9</v>
      </c>
      <c r="E10" s="7">
        <f t="shared" si="2"/>
        <v>720416.66672999994</v>
      </c>
      <c r="F10" s="7">
        <f t="shared" si="3"/>
        <v>341250.00002999994</v>
      </c>
      <c r="G10" s="4">
        <f t="shared" si="4"/>
        <v>0.47368421052631576</v>
      </c>
      <c r="I10" s="7">
        <f t="shared" si="0"/>
        <v>3602.0833336499995</v>
      </c>
      <c r="J10" s="7">
        <f t="shared" si="5"/>
        <v>598658.33345999999</v>
      </c>
      <c r="K10" s="7">
        <f t="shared" si="6"/>
        <v>2993.2916673</v>
      </c>
      <c r="AA10" t="s">
        <v>101</v>
      </c>
      <c r="AB10" s="5"/>
    </row>
    <row r="11" spans="1:29" x14ac:dyDescent="0.25">
      <c r="A11">
        <v>250</v>
      </c>
      <c r="B11" s="6">
        <f t="shared" si="1"/>
        <v>458333.3333</v>
      </c>
      <c r="D11" s="4">
        <v>0.9</v>
      </c>
      <c r="E11" s="7">
        <f t="shared" si="2"/>
        <v>870833.33326999994</v>
      </c>
      <c r="F11" s="7">
        <f t="shared" si="3"/>
        <v>412499.99996999995</v>
      </c>
      <c r="G11" s="4">
        <f t="shared" si="4"/>
        <v>0.47368421052631576</v>
      </c>
      <c r="I11" s="7">
        <f t="shared" si="0"/>
        <v>3483.3333330799996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537500</v>
      </c>
      <c r="D12" s="4">
        <v>0.9</v>
      </c>
      <c r="E12" s="7">
        <f t="shared" si="2"/>
        <v>1021250</v>
      </c>
      <c r="F12" s="7">
        <f t="shared" si="3"/>
        <v>483750</v>
      </c>
      <c r="G12" s="4">
        <f t="shared" si="4"/>
        <v>0.47368421052631576</v>
      </c>
      <c r="I12" s="7">
        <f t="shared" si="0"/>
        <v>3404.1666666666665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616666.66669999994</v>
      </c>
      <c r="D13" s="4">
        <v>0.9</v>
      </c>
      <c r="E13" s="7">
        <f t="shared" si="2"/>
        <v>1171666.6667299999</v>
      </c>
      <c r="F13" s="7">
        <f t="shared" si="3"/>
        <v>555000.00003</v>
      </c>
      <c r="G13" s="4">
        <f t="shared" si="4"/>
        <v>0.47368421052631582</v>
      </c>
      <c r="I13" s="7">
        <f t="shared" si="0"/>
        <v>3347.6190477999999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695833.33330000006</v>
      </c>
      <c r="D14" s="4">
        <v>0.9</v>
      </c>
      <c r="E14" s="7">
        <f t="shared" si="2"/>
        <v>1322083.3332700001</v>
      </c>
      <c r="F14" s="7">
        <f t="shared" si="3"/>
        <v>626249.99997</v>
      </c>
      <c r="G14" s="4">
        <f t="shared" si="4"/>
        <v>0.47368421052631576</v>
      </c>
      <c r="I14" s="7">
        <f t="shared" si="0"/>
        <v>3305.208333175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775000</v>
      </c>
      <c r="D15" s="4">
        <v>0.9</v>
      </c>
      <c r="E15" s="7">
        <f t="shared" si="2"/>
        <v>1472500</v>
      </c>
      <c r="F15" s="7">
        <f t="shared" si="3"/>
        <v>697500</v>
      </c>
      <c r="G15" s="4">
        <f t="shared" si="4"/>
        <v>0.47368421052631576</v>
      </c>
      <c r="I15" s="7">
        <f t="shared" si="0"/>
        <v>3272.2222222222222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854166.66669999994</v>
      </c>
      <c r="D16" s="4">
        <v>0.9</v>
      </c>
      <c r="E16" s="7">
        <f t="shared" si="2"/>
        <v>1622916.6667299997</v>
      </c>
      <c r="F16" s="7">
        <f t="shared" si="3"/>
        <v>768750.00002999976</v>
      </c>
      <c r="G16" s="4">
        <f t="shared" si="4"/>
        <v>0.47368421052631571</v>
      </c>
      <c r="I16" s="7">
        <f t="shared" si="0"/>
        <v>3245.8333334599993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1012500</v>
      </c>
      <c r="D17" s="4">
        <v>0.9</v>
      </c>
      <c r="E17" s="7">
        <f t="shared" si="2"/>
        <v>1923750</v>
      </c>
      <c r="F17" s="7">
        <f t="shared" si="3"/>
        <v>911250</v>
      </c>
      <c r="G17" s="4">
        <f t="shared" si="4"/>
        <v>0.47368421052631576</v>
      </c>
      <c r="I17" s="7">
        <f t="shared" si="0"/>
        <v>3206.25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1170833.3333000001</v>
      </c>
      <c r="D18" s="4">
        <v>0.9</v>
      </c>
      <c r="E18" s="7">
        <f t="shared" si="2"/>
        <v>2224583.3332699998</v>
      </c>
      <c r="F18" s="7">
        <f t="shared" si="3"/>
        <v>1053749.9999699998</v>
      </c>
      <c r="G18" s="4">
        <f t="shared" si="4"/>
        <v>0.47368421052631571</v>
      </c>
      <c r="I18" s="7">
        <f t="shared" si="0"/>
        <v>3177.9761903857138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1329166.6666999999</v>
      </c>
      <c r="D19" s="4">
        <v>0.9</v>
      </c>
      <c r="E19" s="7">
        <f t="shared" si="2"/>
        <v>2525416.6667299997</v>
      </c>
      <c r="F19" s="7">
        <f t="shared" si="3"/>
        <v>1196250.0000299998</v>
      </c>
      <c r="G19" s="4">
        <f t="shared" si="4"/>
        <v>0.47368421052631576</v>
      </c>
      <c r="I19" s="7">
        <f t="shared" si="0"/>
        <v>3156.7708334124995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1487500</v>
      </c>
      <c r="D20" s="4">
        <v>0.9</v>
      </c>
      <c r="E20" s="7">
        <f t="shared" si="2"/>
        <v>2826250</v>
      </c>
      <c r="F20" s="7">
        <f t="shared" si="3"/>
        <v>1338750</v>
      </c>
      <c r="G20" s="4">
        <f t="shared" si="4"/>
        <v>0.47368421052631576</v>
      </c>
      <c r="I20" s="7">
        <f t="shared" si="0"/>
        <v>3140.2777777777778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1645833.3333000001</v>
      </c>
      <c r="D21" s="4">
        <v>0.9</v>
      </c>
      <c r="E21" s="7">
        <f t="shared" si="2"/>
        <v>3127083.3332699998</v>
      </c>
      <c r="F21" s="7">
        <f t="shared" si="3"/>
        <v>1481249.9999699998</v>
      </c>
      <c r="G21" s="4">
        <f t="shared" si="4"/>
        <v>0.47368421052631576</v>
      </c>
      <c r="I21" s="7">
        <f t="shared" si="0"/>
        <v>3127.0833332699999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1962500</v>
      </c>
      <c r="D22" s="4">
        <v>0.9</v>
      </c>
      <c r="E22" s="7">
        <f t="shared" si="2"/>
        <v>3728750</v>
      </c>
      <c r="F22" s="7">
        <f t="shared" si="3"/>
        <v>1766250</v>
      </c>
      <c r="G22" s="4">
        <f t="shared" si="4"/>
        <v>0.47368421052631576</v>
      </c>
      <c r="I22" s="7">
        <f t="shared" si="0"/>
        <v>3107.2916666666665</v>
      </c>
      <c r="J22" s="7"/>
    </row>
    <row r="23" spans="1:11" x14ac:dyDescent="0.25">
      <c r="A23">
        <v>1400</v>
      </c>
      <c r="B23" s="6">
        <f t="shared" si="1"/>
        <v>2279166.6666999999</v>
      </c>
      <c r="D23" s="4">
        <v>0.9</v>
      </c>
      <c r="E23" s="7">
        <f t="shared" si="2"/>
        <v>4330416.6667299997</v>
      </c>
      <c r="F23" s="7">
        <f t="shared" si="3"/>
        <v>2051250.0000299998</v>
      </c>
      <c r="G23" s="4">
        <f t="shared" si="4"/>
        <v>0.47368421052631576</v>
      </c>
      <c r="I23" s="7">
        <f t="shared" si="0"/>
        <v>3093.1547619499997</v>
      </c>
      <c r="J23" s="7"/>
    </row>
    <row r="24" spans="1:11" x14ac:dyDescent="0.25">
      <c r="A24">
        <v>1500</v>
      </c>
      <c r="B24" s="6">
        <f t="shared" si="1"/>
        <v>2437500</v>
      </c>
      <c r="D24" s="4">
        <v>0.9</v>
      </c>
      <c r="E24" s="7">
        <f t="shared" si="2"/>
        <v>4631250</v>
      </c>
      <c r="F24" s="7">
        <f t="shared" si="3"/>
        <v>2193750</v>
      </c>
      <c r="G24" s="4">
        <f t="shared" si="4"/>
        <v>0.47368421052631576</v>
      </c>
      <c r="I24" s="7">
        <f t="shared" si="0"/>
        <v>3087.5</v>
      </c>
      <c r="J24" s="7"/>
    </row>
    <row r="25" spans="1:11" x14ac:dyDescent="0.25">
      <c r="A25">
        <v>2000</v>
      </c>
      <c r="B25" s="6">
        <f t="shared" si="1"/>
        <v>3229166.6666999999</v>
      </c>
      <c r="D25" s="4">
        <v>0.9</v>
      </c>
      <c r="E25" s="7">
        <f t="shared" si="2"/>
        <v>6135416.6667299997</v>
      </c>
      <c r="F25" s="7">
        <f t="shared" si="3"/>
        <v>2906250.0000299998</v>
      </c>
      <c r="G25" s="4">
        <f t="shared" si="4"/>
        <v>0.47368421052631576</v>
      </c>
      <c r="I25" s="7">
        <f t="shared" si="0"/>
        <v>3067.7083333649998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A3" sqref="A3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9.57031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83.333299999999994</v>
      </c>
      <c r="D6" s="4">
        <v>0.9</v>
      </c>
      <c r="E6" s="7">
        <f>B6*(1+D6)</f>
        <v>158.33326999999997</v>
      </c>
      <c r="F6" s="7">
        <f>E6-B6</f>
        <v>74.999969999999976</v>
      </c>
      <c r="G6" s="4">
        <f>F6/E6</f>
        <v>0.47368421052631571</v>
      </c>
      <c r="I6" s="7">
        <f t="shared" ref="I6:I25" si="0">E6/A6</f>
        <v>158.33326999999997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4166.6666999999998</v>
      </c>
      <c r="D7" s="4">
        <v>0.9</v>
      </c>
      <c r="E7" s="7">
        <f t="shared" ref="E7:E25" si="2">B7*(1+D7)</f>
        <v>7916.666729999999</v>
      </c>
      <c r="F7" s="7">
        <f t="shared" ref="F7:F25" si="3">E7-B7</f>
        <v>3750.0000299999992</v>
      </c>
      <c r="G7" s="4">
        <f t="shared" ref="G7:G25" si="4">F7/E7</f>
        <v>0.47368421052631576</v>
      </c>
      <c r="I7" s="7">
        <f t="shared" si="0"/>
        <v>158.33333459999997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8333.3333000000002</v>
      </c>
      <c r="D8" s="4">
        <v>0.9</v>
      </c>
      <c r="E8" s="7">
        <f t="shared" si="2"/>
        <v>15833.333269999999</v>
      </c>
      <c r="F8" s="7">
        <f t="shared" si="3"/>
        <v>7499.9999699999989</v>
      </c>
      <c r="G8" s="4">
        <f t="shared" si="4"/>
        <v>0.47368421052631576</v>
      </c>
      <c r="I8" s="7">
        <f t="shared" si="0"/>
        <v>158.3333327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12500</v>
      </c>
      <c r="D9" s="4">
        <v>0.9</v>
      </c>
      <c r="E9" s="7">
        <f t="shared" si="2"/>
        <v>23750</v>
      </c>
      <c r="F9" s="7">
        <f t="shared" si="3"/>
        <v>11250</v>
      </c>
      <c r="G9" s="4">
        <f t="shared" si="4"/>
        <v>0.47368421052631576</v>
      </c>
      <c r="I9" s="7">
        <f t="shared" si="0"/>
        <v>158.33333333333334</v>
      </c>
      <c r="J9" s="7"/>
    </row>
    <row r="10" spans="1:29" x14ac:dyDescent="0.25">
      <c r="A10">
        <v>200</v>
      </c>
      <c r="B10" s="6">
        <f t="shared" si="1"/>
        <v>16666.666700000002</v>
      </c>
      <c r="D10" s="4">
        <v>0.9</v>
      </c>
      <c r="E10" s="7">
        <f t="shared" si="2"/>
        <v>31666.666730000001</v>
      </c>
      <c r="F10" s="7">
        <f t="shared" si="3"/>
        <v>15000.000029999999</v>
      </c>
      <c r="G10" s="4">
        <f t="shared" si="4"/>
        <v>0.47368421052631576</v>
      </c>
      <c r="I10" s="7">
        <f t="shared" si="0"/>
        <v>158.33333365000001</v>
      </c>
      <c r="J10" s="7"/>
    </row>
    <row r="11" spans="1:29" x14ac:dyDescent="0.25">
      <c r="A11">
        <v>250</v>
      </c>
      <c r="B11" s="6">
        <f t="shared" si="1"/>
        <v>20833.333299999998</v>
      </c>
      <c r="D11" s="4">
        <v>0.9</v>
      </c>
      <c r="E11" s="7">
        <f t="shared" si="2"/>
        <v>39583.333269999996</v>
      </c>
      <c r="F11" s="7">
        <f t="shared" si="3"/>
        <v>18749.999969999997</v>
      </c>
      <c r="G11" s="4">
        <f t="shared" si="4"/>
        <v>0.47368421052631576</v>
      </c>
      <c r="I11" s="7">
        <f t="shared" si="0"/>
        <v>158.33333307999999</v>
      </c>
      <c r="J11" s="7"/>
    </row>
    <row r="12" spans="1:29" x14ac:dyDescent="0.25">
      <c r="A12">
        <v>300</v>
      </c>
      <c r="B12" s="6">
        <f t="shared" si="1"/>
        <v>25000</v>
      </c>
      <c r="D12" s="4">
        <v>0.9</v>
      </c>
      <c r="E12" s="7">
        <f t="shared" si="2"/>
        <v>47500</v>
      </c>
      <c r="F12" s="7">
        <f t="shared" si="3"/>
        <v>22500</v>
      </c>
      <c r="G12" s="4">
        <f t="shared" si="4"/>
        <v>0.47368421052631576</v>
      </c>
      <c r="I12" s="7">
        <f t="shared" si="0"/>
        <v>158.33333333333334</v>
      </c>
      <c r="J12" s="7"/>
    </row>
    <row r="13" spans="1:29" x14ac:dyDescent="0.25">
      <c r="A13">
        <v>350</v>
      </c>
      <c r="B13" s="6">
        <f t="shared" si="1"/>
        <v>29166.666700000002</v>
      </c>
      <c r="D13" s="4">
        <v>0.9</v>
      </c>
      <c r="E13" s="7">
        <f t="shared" si="2"/>
        <v>55416.666729999997</v>
      </c>
      <c r="F13" s="7">
        <f t="shared" si="3"/>
        <v>26250.000029999996</v>
      </c>
      <c r="G13" s="4">
        <f t="shared" si="4"/>
        <v>0.47368421052631571</v>
      </c>
      <c r="I13" s="7">
        <f t="shared" si="0"/>
        <v>158.3333335142857</v>
      </c>
      <c r="J13" s="7"/>
    </row>
    <row r="14" spans="1:29" x14ac:dyDescent="0.25">
      <c r="A14">
        <v>400</v>
      </c>
      <c r="B14" s="6">
        <f t="shared" si="1"/>
        <v>33333.333299999998</v>
      </c>
      <c r="D14" s="4">
        <v>0.9</v>
      </c>
      <c r="E14" s="7">
        <f t="shared" si="2"/>
        <v>63333.333269999996</v>
      </c>
      <c r="F14" s="7">
        <f t="shared" si="3"/>
        <v>29999.999969999997</v>
      </c>
      <c r="G14" s="4">
        <f t="shared" si="4"/>
        <v>0.47368421052631576</v>
      </c>
      <c r="I14" s="7">
        <f t="shared" si="0"/>
        <v>158.33333317499998</v>
      </c>
      <c r="J14" s="7"/>
    </row>
    <row r="15" spans="1:29" x14ac:dyDescent="0.25">
      <c r="A15">
        <v>450</v>
      </c>
      <c r="B15" s="6">
        <f t="shared" si="1"/>
        <v>37500</v>
      </c>
      <c r="D15" s="4">
        <v>0.9</v>
      </c>
      <c r="E15" s="7">
        <f t="shared" si="2"/>
        <v>71250</v>
      </c>
      <c r="F15" s="7">
        <f t="shared" si="3"/>
        <v>33750</v>
      </c>
      <c r="G15" s="4">
        <f t="shared" si="4"/>
        <v>0.47368421052631576</v>
      </c>
      <c r="I15" s="7">
        <f t="shared" si="0"/>
        <v>158.33333333333334</v>
      </c>
      <c r="J15" s="7"/>
    </row>
    <row r="16" spans="1:29" x14ac:dyDescent="0.25">
      <c r="A16">
        <v>500</v>
      </c>
      <c r="B16" s="6">
        <f t="shared" si="1"/>
        <v>41666.666700000002</v>
      </c>
      <c r="D16" s="4">
        <v>0.9</v>
      </c>
      <c r="E16" s="7">
        <f t="shared" si="2"/>
        <v>79166.666729999997</v>
      </c>
      <c r="F16" s="7">
        <f t="shared" si="3"/>
        <v>37500.000029999996</v>
      </c>
      <c r="G16" s="4">
        <f t="shared" si="4"/>
        <v>0.47368421052631576</v>
      </c>
      <c r="I16" s="7">
        <f t="shared" si="0"/>
        <v>158.33333346000001</v>
      </c>
      <c r="J16" s="7"/>
    </row>
    <row r="17" spans="1:10" x14ac:dyDescent="0.25">
      <c r="A17">
        <v>600</v>
      </c>
      <c r="B17" s="6">
        <f t="shared" si="1"/>
        <v>50000</v>
      </c>
      <c r="D17" s="4">
        <v>0.9</v>
      </c>
      <c r="E17" s="7">
        <f t="shared" si="2"/>
        <v>95000</v>
      </c>
      <c r="F17" s="7">
        <f t="shared" si="3"/>
        <v>45000</v>
      </c>
      <c r="G17" s="4">
        <f t="shared" si="4"/>
        <v>0.47368421052631576</v>
      </c>
      <c r="I17" s="7">
        <f t="shared" si="0"/>
        <v>158.33333333333334</v>
      </c>
      <c r="J17" s="7"/>
    </row>
    <row r="18" spans="1:10" x14ac:dyDescent="0.25">
      <c r="A18">
        <v>700</v>
      </c>
      <c r="B18" s="6">
        <f t="shared" si="1"/>
        <v>58333.333299999998</v>
      </c>
      <c r="D18" s="4">
        <v>0.9</v>
      </c>
      <c r="E18" s="7">
        <f t="shared" si="2"/>
        <v>110833.33326999999</v>
      </c>
      <c r="F18" s="7">
        <f t="shared" si="3"/>
        <v>52499.99996999999</v>
      </c>
      <c r="G18" s="4">
        <f t="shared" si="4"/>
        <v>0.47368421052631576</v>
      </c>
      <c r="I18" s="7">
        <f t="shared" si="0"/>
        <v>158.33333324285712</v>
      </c>
      <c r="J18" s="7"/>
    </row>
    <row r="19" spans="1:10" x14ac:dyDescent="0.25">
      <c r="A19">
        <v>800</v>
      </c>
      <c r="B19" s="6">
        <f t="shared" si="1"/>
        <v>66666.666700000002</v>
      </c>
      <c r="D19" s="4">
        <v>0.9</v>
      </c>
      <c r="E19" s="7">
        <f t="shared" si="2"/>
        <v>126666.66673</v>
      </c>
      <c r="F19" s="7">
        <f t="shared" si="3"/>
        <v>60000.000029999996</v>
      </c>
      <c r="G19" s="4">
        <f t="shared" si="4"/>
        <v>0.47368421052631576</v>
      </c>
      <c r="I19" s="7">
        <f t="shared" si="0"/>
        <v>158.3333334125</v>
      </c>
      <c r="J19" s="7"/>
    </row>
    <row r="20" spans="1:10" x14ac:dyDescent="0.25">
      <c r="A20">
        <v>900</v>
      </c>
      <c r="B20" s="6">
        <f t="shared" si="1"/>
        <v>75000</v>
      </c>
      <c r="D20" s="4">
        <v>0.9</v>
      </c>
      <c r="E20" s="7">
        <f t="shared" si="2"/>
        <v>142500</v>
      </c>
      <c r="F20" s="7">
        <f t="shared" si="3"/>
        <v>67500</v>
      </c>
      <c r="G20" s="4">
        <f t="shared" si="4"/>
        <v>0.47368421052631576</v>
      </c>
      <c r="I20" s="7">
        <f t="shared" si="0"/>
        <v>158.33333333333334</v>
      </c>
      <c r="J20" s="7"/>
    </row>
    <row r="21" spans="1:10" x14ac:dyDescent="0.25">
      <c r="A21">
        <v>1000</v>
      </c>
      <c r="B21" s="6">
        <f t="shared" si="1"/>
        <v>83333.333299999998</v>
      </c>
      <c r="D21" s="4">
        <v>0.9</v>
      </c>
      <c r="E21" s="7">
        <f t="shared" si="2"/>
        <v>158333.33327</v>
      </c>
      <c r="F21" s="7">
        <f t="shared" si="3"/>
        <v>74999.999970000004</v>
      </c>
      <c r="G21" s="4">
        <f t="shared" si="4"/>
        <v>0.47368421052631582</v>
      </c>
      <c r="I21" s="7">
        <f t="shared" si="0"/>
        <v>158.33333327</v>
      </c>
      <c r="J21" s="7"/>
    </row>
    <row r="22" spans="1:10" x14ac:dyDescent="0.25">
      <c r="A22">
        <v>1200</v>
      </c>
      <c r="B22" s="6">
        <f t="shared" si="1"/>
        <v>100000</v>
      </c>
      <c r="D22" s="4">
        <v>0.9</v>
      </c>
      <c r="E22" s="7">
        <f t="shared" si="2"/>
        <v>190000</v>
      </c>
      <c r="F22" s="7">
        <f t="shared" si="3"/>
        <v>90000</v>
      </c>
      <c r="G22" s="4">
        <f t="shared" si="4"/>
        <v>0.47368421052631576</v>
      </c>
      <c r="I22" s="7">
        <f t="shared" si="0"/>
        <v>158.33333333333334</v>
      </c>
      <c r="J22" s="7"/>
    </row>
    <row r="23" spans="1:10" x14ac:dyDescent="0.25">
      <c r="A23">
        <v>1400</v>
      </c>
      <c r="B23" s="6">
        <f t="shared" si="1"/>
        <v>116666.6667</v>
      </c>
      <c r="D23" s="4">
        <v>0.9</v>
      </c>
      <c r="E23" s="7">
        <f t="shared" si="2"/>
        <v>221666.66673</v>
      </c>
      <c r="F23" s="7">
        <f t="shared" si="3"/>
        <v>105000.00003</v>
      </c>
      <c r="G23" s="4">
        <f t="shared" si="4"/>
        <v>0.47368421052631576</v>
      </c>
      <c r="I23" s="7">
        <f t="shared" si="0"/>
        <v>158.33333337857144</v>
      </c>
      <c r="J23" s="7"/>
    </row>
    <row r="24" spans="1:10" x14ac:dyDescent="0.25">
      <c r="A24">
        <v>1500</v>
      </c>
      <c r="B24" s="6">
        <f t="shared" si="1"/>
        <v>125000</v>
      </c>
      <c r="D24" s="4">
        <v>0.9</v>
      </c>
      <c r="E24" s="7">
        <f t="shared" si="2"/>
        <v>237500</v>
      </c>
      <c r="F24" s="7">
        <f t="shared" si="3"/>
        <v>112500</v>
      </c>
      <c r="G24" s="4">
        <f t="shared" si="4"/>
        <v>0.47368421052631576</v>
      </c>
      <c r="I24" s="7">
        <f t="shared" si="0"/>
        <v>158.33333333333334</v>
      </c>
      <c r="J24" s="7"/>
    </row>
    <row r="25" spans="1:10" x14ac:dyDescent="0.25">
      <c r="A25">
        <v>2000</v>
      </c>
      <c r="B25" s="6">
        <f t="shared" si="1"/>
        <v>166666.6667</v>
      </c>
      <c r="D25" s="4">
        <v>0.9</v>
      </c>
      <c r="E25" s="7">
        <f t="shared" si="2"/>
        <v>316666.66673</v>
      </c>
      <c r="F25" s="7">
        <f t="shared" si="3"/>
        <v>150000.00003</v>
      </c>
      <c r="G25" s="4">
        <f t="shared" si="4"/>
        <v>0.47368421052631576</v>
      </c>
      <c r="I25" s="7">
        <f t="shared" si="0"/>
        <v>158.33333336499999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87</v>
      </c>
      <c r="AA2" s="1" t="s">
        <v>89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91</v>
      </c>
      <c r="K4" s="2" t="s">
        <v>92</v>
      </c>
      <c r="L4" s="2"/>
      <c r="M4" s="2"/>
      <c r="AA4" t="s">
        <v>82</v>
      </c>
      <c r="AB4">
        <v>990000</v>
      </c>
    </row>
    <row r="5" spans="1:29" x14ac:dyDescent="0.25">
      <c r="A5">
        <v>1</v>
      </c>
      <c r="B5" s="6">
        <f>PhiUVDinhVi(A5)</f>
        <v>737080.95239999995</v>
      </c>
      <c r="D5" s="4">
        <v>0.4</v>
      </c>
      <c r="E5" s="7">
        <f>B5*(1+D5)</f>
        <v>1031913.3333599998</v>
      </c>
      <c r="F5" s="7">
        <f>E5-B5</f>
        <v>294832.38095999986</v>
      </c>
      <c r="G5" s="4">
        <f>F5/E5</f>
        <v>0.28571428571428564</v>
      </c>
      <c r="I5" s="7">
        <f>E5/A5</f>
        <v>1031913.3333599998</v>
      </c>
      <c r="AA5" t="s">
        <v>93</v>
      </c>
      <c r="AB5">
        <v>0</v>
      </c>
      <c r="AC5" t="s">
        <v>90</v>
      </c>
    </row>
    <row r="6" spans="1:29" x14ac:dyDescent="0.25">
      <c r="A6">
        <v>50</v>
      </c>
      <c r="B6" s="6">
        <f t="shared" ref="B6:B20" si="0">PhiUVDinhVi(A6)</f>
        <v>757380.95239999995</v>
      </c>
      <c r="D6" s="4">
        <v>0.5</v>
      </c>
      <c r="E6" s="7">
        <f>B6*(1+D6)</f>
        <v>1136071.4286</v>
      </c>
      <c r="F6" s="7">
        <f t="shared" ref="F6:F20" si="1">E6-B6</f>
        <v>378690.47620000003</v>
      </c>
      <c r="G6" s="4">
        <f t="shared" ref="G6:G20" si="2">F6/E6</f>
        <v>0.33333333333333337</v>
      </c>
      <c r="I6" s="7">
        <f t="shared" ref="I6:I20" si="3">E6/A6</f>
        <v>22721.428572000001</v>
      </c>
      <c r="J6" s="7">
        <f>(E6-$E$5)</f>
        <v>104158.09524000017</v>
      </c>
      <c r="K6" s="7">
        <f>J6/A6</f>
        <v>2083.1619048000034</v>
      </c>
      <c r="AA6" t="s">
        <v>68</v>
      </c>
      <c r="AB6" s="5">
        <v>2000</v>
      </c>
      <c r="AC6" t="s">
        <v>90</v>
      </c>
    </row>
    <row r="7" spans="1:29" x14ac:dyDescent="0.25">
      <c r="A7">
        <v>100</v>
      </c>
      <c r="B7" s="6">
        <f t="shared" si="0"/>
        <v>778095.23809999996</v>
      </c>
      <c r="D7" s="4">
        <v>0.5</v>
      </c>
      <c r="E7" s="7">
        <f t="shared" ref="E7:E20" si="4">B7*(1+D7)</f>
        <v>1167142.8571500001</v>
      </c>
      <c r="F7" s="7">
        <f t="shared" si="1"/>
        <v>389047.6190500001</v>
      </c>
      <c r="G7" s="4">
        <f t="shared" si="2"/>
        <v>0.33333333333333343</v>
      </c>
      <c r="I7" s="7">
        <f t="shared" si="3"/>
        <v>11671.428571500001</v>
      </c>
      <c r="J7" s="7">
        <f t="shared" ref="J7:J20" si="5">(E7-$E$5)</f>
        <v>135229.52379000024</v>
      </c>
      <c r="K7" s="7">
        <f t="shared" ref="K7:K20" si="6">J7/A7</f>
        <v>1352.2952379000023</v>
      </c>
      <c r="AA7" t="s">
        <v>69</v>
      </c>
      <c r="AB7" s="5">
        <v>1500</v>
      </c>
      <c r="AC7" t="s">
        <v>90</v>
      </c>
    </row>
    <row r="8" spans="1:29" x14ac:dyDescent="0.25">
      <c r="A8">
        <v>150</v>
      </c>
      <c r="B8" s="6">
        <f t="shared" si="0"/>
        <v>798809.52379999997</v>
      </c>
      <c r="D8" s="4">
        <v>0.5</v>
      </c>
      <c r="E8" s="7">
        <f t="shared" si="4"/>
        <v>1198214.2856999999</v>
      </c>
      <c r="F8" s="7">
        <f t="shared" si="1"/>
        <v>399404.76189999992</v>
      </c>
      <c r="G8" s="4">
        <f t="shared" si="2"/>
        <v>0.33333333333333331</v>
      </c>
      <c r="I8" s="7">
        <f t="shared" si="3"/>
        <v>7988.095237999999</v>
      </c>
      <c r="J8" s="7">
        <f t="shared" si="5"/>
        <v>166300.95234000008</v>
      </c>
      <c r="K8" s="7">
        <f t="shared" si="6"/>
        <v>1108.6730156000006</v>
      </c>
      <c r="AA8" t="s">
        <v>70</v>
      </c>
      <c r="AB8" s="5">
        <v>1200</v>
      </c>
      <c r="AC8" t="s">
        <v>90</v>
      </c>
    </row>
    <row r="9" spans="1:29" x14ac:dyDescent="0.25">
      <c r="A9">
        <v>200</v>
      </c>
      <c r="B9" s="6">
        <f t="shared" si="0"/>
        <v>819523.80960000004</v>
      </c>
      <c r="D9" s="4">
        <v>0.5</v>
      </c>
      <c r="E9" s="7">
        <f t="shared" si="4"/>
        <v>1229285.7143999999</v>
      </c>
      <c r="F9" s="7">
        <f t="shared" si="1"/>
        <v>409761.9047999999</v>
      </c>
      <c r="G9" s="4">
        <f t="shared" si="2"/>
        <v>0.33333333333333326</v>
      </c>
      <c r="I9" s="7">
        <f t="shared" si="3"/>
        <v>6146.4285719999998</v>
      </c>
      <c r="J9" s="7">
        <f t="shared" si="5"/>
        <v>197372.38104000012</v>
      </c>
      <c r="K9" s="7">
        <f t="shared" si="6"/>
        <v>986.86190520000059</v>
      </c>
      <c r="AA9" t="s">
        <v>94</v>
      </c>
      <c r="AB9" s="5">
        <v>1000</v>
      </c>
      <c r="AC9" t="s">
        <v>90</v>
      </c>
    </row>
    <row r="10" spans="1:29" x14ac:dyDescent="0.25">
      <c r="A10">
        <v>250</v>
      </c>
      <c r="B10" s="6">
        <f t="shared" si="0"/>
        <v>840238.09530000004</v>
      </c>
      <c r="D10" s="4">
        <v>0.5</v>
      </c>
      <c r="E10" s="7">
        <f t="shared" si="4"/>
        <v>1260357.14295</v>
      </c>
      <c r="F10" s="7">
        <f t="shared" si="1"/>
        <v>420119.04764999996</v>
      </c>
      <c r="G10" s="4">
        <f t="shared" si="2"/>
        <v>0.33333333333333331</v>
      </c>
      <c r="I10" s="7">
        <f t="shared" si="3"/>
        <v>5041.4285718000001</v>
      </c>
      <c r="J10" s="7">
        <f t="shared" si="5"/>
        <v>228443.80959000019</v>
      </c>
      <c r="K10" s="7">
        <f t="shared" si="6"/>
        <v>913.7752383600008</v>
      </c>
    </row>
    <row r="11" spans="1:29" x14ac:dyDescent="0.25">
      <c r="A11">
        <v>300</v>
      </c>
      <c r="B11" s="6">
        <f t="shared" si="0"/>
        <v>860952.38100000005</v>
      </c>
      <c r="D11" s="4">
        <v>0.5</v>
      </c>
      <c r="E11" s="7">
        <f t="shared" si="4"/>
        <v>1291428.5715000001</v>
      </c>
      <c r="F11" s="7">
        <f t="shared" si="1"/>
        <v>430476.19050000003</v>
      </c>
      <c r="G11" s="4">
        <f t="shared" si="2"/>
        <v>0.33333333333333331</v>
      </c>
      <c r="I11" s="7">
        <f t="shared" si="3"/>
        <v>4304.7619050000003</v>
      </c>
      <c r="J11" s="7">
        <f t="shared" si="5"/>
        <v>259515.23814000026</v>
      </c>
      <c r="K11" s="7">
        <f t="shared" si="6"/>
        <v>865.05079380000086</v>
      </c>
    </row>
    <row r="12" spans="1:29" x14ac:dyDescent="0.25">
      <c r="A12">
        <v>350</v>
      </c>
      <c r="B12" s="6">
        <f t="shared" si="0"/>
        <v>881666.66669999994</v>
      </c>
      <c r="D12" s="4">
        <v>0.5</v>
      </c>
      <c r="E12" s="7">
        <f t="shared" si="4"/>
        <v>1322500.0000499999</v>
      </c>
      <c r="F12" s="7">
        <f t="shared" si="1"/>
        <v>440833.33334999997</v>
      </c>
      <c r="G12" s="4">
        <f t="shared" si="2"/>
        <v>0.33333333333333331</v>
      </c>
      <c r="I12" s="7">
        <f t="shared" si="3"/>
        <v>3778.5714287142855</v>
      </c>
      <c r="J12" s="7">
        <f t="shared" si="5"/>
        <v>290586.6666900001</v>
      </c>
      <c r="K12" s="7">
        <f t="shared" si="6"/>
        <v>830.24761911428595</v>
      </c>
    </row>
    <row r="13" spans="1:29" x14ac:dyDescent="0.25">
      <c r="A13">
        <v>400</v>
      </c>
      <c r="B13" s="6">
        <f t="shared" si="0"/>
        <v>902380.95239999995</v>
      </c>
      <c r="D13" s="4">
        <v>0.6</v>
      </c>
      <c r="E13" s="7">
        <f t="shared" si="4"/>
        <v>1443809.5238399999</v>
      </c>
      <c r="F13" s="7">
        <f t="shared" si="1"/>
        <v>541428.57143999997</v>
      </c>
      <c r="G13" s="4">
        <f t="shared" si="2"/>
        <v>0.375</v>
      </c>
      <c r="I13" s="7">
        <f t="shared" si="3"/>
        <v>3609.5238095999998</v>
      </c>
      <c r="J13" s="7">
        <f t="shared" si="5"/>
        <v>411896.19048000011</v>
      </c>
      <c r="K13" s="7">
        <f t="shared" si="6"/>
        <v>1029.7404762000003</v>
      </c>
    </row>
    <row r="14" spans="1:29" x14ac:dyDescent="0.25">
      <c r="A14">
        <v>450</v>
      </c>
      <c r="B14" s="6">
        <f t="shared" si="0"/>
        <v>923095.23809999996</v>
      </c>
      <c r="D14" s="4">
        <v>0.6</v>
      </c>
      <c r="E14" s="7">
        <f t="shared" si="4"/>
        <v>1476952.38096</v>
      </c>
      <c r="F14" s="7">
        <f t="shared" si="1"/>
        <v>553857.14286000002</v>
      </c>
      <c r="G14" s="4">
        <f t="shared" si="2"/>
        <v>0.375</v>
      </c>
      <c r="I14" s="7">
        <f t="shared" si="3"/>
        <v>3282.1164021333334</v>
      </c>
      <c r="J14" s="7">
        <f t="shared" si="5"/>
        <v>445039.04760000017</v>
      </c>
      <c r="K14" s="7">
        <f t="shared" si="6"/>
        <v>988.97566133333373</v>
      </c>
    </row>
    <row r="15" spans="1:29" x14ac:dyDescent="0.25">
      <c r="A15">
        <v>500</v>
      </c>
      <c r="B15" s="6">
        <f t="shared" si="0"/>
        <v>943809.52379999997</v>
      </c>
      <c r="D15" s="4">
        <v>0.6</v>
      </c>
      <c r="E15" s="7">
        <f t="shared" si="4"/>
        <v>1510095.23808</v>
      </c>
      <c r="F15" s="7">
        <f t="shared" si="1"/>
        <v>566285.71428000007</v>
      </c>
      <c r="G15" s="4">
        <f t="shared" si="2"/>
        <v>0.37500000000000006</v>
      </c>
      <c r="I15" s="7">
        <f t="shared" si="3"/>
        <v>3020.1904761599999</v>
      </c>
      <c r="J15" s="7">
        <f t="shared" si="5"/>
        <v>478181.90472000022</v>
      </c>
      <c r="K15" s="7">
        <f t="shared" si="6"/>
        <v>956.36380944000041</v>
      </c>
    </row>
    <row r="16" spans="1:29" x14ac:dyDescent="0.25">
      <c r="A16">
        <v>600</v>
      </c>
      <c r="B16" s="6">
        <f t="shared" si="0"/>
        <v>985238.09530000004</v>
      </c>
      <c r="D16" s="4">
        <v>0.6</v>
      </c>
      <c r="E16" s="7">
        <f t="shared" si="4"/>
        <v>1576380.9524800002</v>
      </c>
      <c r="F16" s="7">
        <f t="shared" si="1"/>
        <v>591142.85718000017</v>
      </c>
      <c r="G16" s="4">
        <f t="shared" si="2"/>
        <v>0.37500000000000006</v>
      </c>
      <c r="I16" s="7">
        <f t="shared" si="3"/>
        <v>2627.3015874666671</v>
      </c>
      <c r="J16" s="7">
        <f t="shared" si="5"/>
        <v>544467.6191200004</v>
      </c>
      <c r="K16" s="7">
        <f t="shared" si="6"/>
        <v>907.44603186666734</v>
      </c>
    </row>
    <row r="17" spans="1:11" x14ac:dyDescent="0.25">
      <c r="A17">
        <v>700</v>
      </c>
      <c r="B17" s="6">
        <f t="shared" si="0"/>
        <v>1026666.6666999999</v>
      </c>
      <c r="D17" s="4">
        <v>0.6</v>
      </c>
      <c r="E17" s="7">
        <f t="shared" si="4"/>
        <v>1642666.6667200001</v>
      </c>
      <c r="F17" s="7">
        <f t="shared" si="1"/>
        <v>616000.00002000015</v>
      </c>
      <c r="G17" s="4">
        <f t="shared" si="2"/>
        <v>0.37500000000000006</v>
      </c>
      <c r="I17" s="7">
        <f t="shared" si="3"/>
        <v>2346.6666667428572</v>
      </c>
      <c r="J17" s="7">
        <f t="shared" si="5"/>
        <v>610753.33336000028</v>
      </c>
      <c r="K17" s="7">
        <f t="shared" si="6"/>
        <v>872.5047619428575</v>
      </c>
    </row>
    <row r="18" spans="1:11" x14ac:dyDescent="0.25">
      <c r="A18">
        <v>800</v>
      </c>
      <c r="B18" s="6">
        <f t="shared" si="0"/>
        <v>1068095.2381</v>
      </c>
      <c r="D18" s="4">
        <v>0.6</v>
      </c>
      <c r="E18" s="7">
        <f t="shared" si="4"/>
        <v>1708952.38096</v>
      </c>
      <c r="F18" s="7">
        <f t="shared" si="1"/>
        <v>640857.14286000002</v>
      </c>
      <c r="G18" s="4">
        <f t="shared" si="2"/>
        <v>0.375</v>
      </c>
      <c r="I18" s="7">
        <f t="shared" si="3"/>
        <v>2136.1904761999999</v>
      </c>
      <c r="J18" s="7">
        <f t="shared" si="5"/>
        <v>677039.04760000017</v>
      </c>
      <c r="K18" s="7">
        <f t="shared" si="6"/>
        <v>846.29880950000017</v>
      </c>
    </row>
    <row r="19" spans="1:11" x14ac:dyDescent="0.25">
      <c r="A19">
        <v>900</v>
      </c>
      <c r="B19" s="6">
        <f t="shared" si="0"/>
        <v>1109523.8096</v>
      </c>
      <c r="D19" s="4">
        <v>0.6</v>
      </c>
      <c r="E19" s="7">
        <f t="shared" si="4"/>
        <v>1775238.0953600002</v>
      </c>
      <c r="F19" s="7">
        <f t="shared" si="1"/>
        <v>665714.28576000012</v>
      </c>
      <c r="G19" s="4">
        <f t="shared" si="2"/>
        <v>0.37500000000000006</v>
      </c>
      <c r="I19" s="7">
        <f t="shared" si="3"/>
        <v>1972.4867726222224</v>
      </c>
      <c r="J19" s="7">
        <f t="shared" si="5"/>
        <v>743324.76200000034</v>
      </c>
      <c r="K19" s="7">
        <f t="shared" si="6"/>
        <v>825.91640222222259</v>
      </c>
    </row>
    <row r="20" spans="1:11" x14ac:dyDescent="0.25">
      <c r="A20">
        <v>1000</v>
      </c>
      <c r="B20" s="6">
        <f t="shared" si="0"/>
        <v>1150952.3810000001</v>
      </c>
      <c r="D20" s="4">
        <v>0.6</v>
      </c>
      <c r="E20" s="7">
        <f t="shared" si="4"/>
        <v>1841523.8096000003</v>
      </c>
      <c r="F20" s="7">
        <f t="shared" si="1"/>
        <v>690571.42860000022</v>
      </c>
      <c r="G20" s="4">
        <f t="shared" si="2"/>
        <v>0.37500000000000006</v>
      </c>
      <c r="I20" s="7">
        <f t="shared" si="3"/>
        <v>1841.5238096000003</v>
      </c>
      <c r="J20" s="7">
        <f t="shared" si="5"/>
        <v>809610.47624000045</v>
      </c>
      <c r="K20" s="7">
        <f t="shared" si="6"/>
        <v>809.61047624000048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91</v>
      </c>
      <c r="K5" s="2" t="s">
        <v>92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48762.666700000002</v>
      </c>
      <c r="D6" s="4">
        <v>0.4</v>
      </c>
      <c r="E6" s="7">
        <f>B6*(1+D6)</f>
        <v>68267.733380000005</v>
      </c>
      <c r="F6" s="7">
        <f>E6-B6</f>
        <v>19505.066680000004</v>
      </c>
      <c r="G6" s="4">
        <f>F6/E6</f>
        <v>0.28571428571428575</v>
      </c>
      <c r="I6" s="7">
        <f t="shared" ref="I6:I25" si="0">E6/A6</f>
        <v>68267.733380000005</v>
      </c>
      <c r="AA6" t="s">
        <v>82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56572.549099999997</v>
      </c>
      <c r="D7" s="4">
        <v>0.5</v>
      </c>
      <c r="E7" s="7">
        <f t="shared" ref="E7:E25" si="2">B7*(1+D7)</f>
        <v>84858.823649999991</v>
      </c>
      <c r="F7" s="7">
        <f t="shared" ref="F7:F25" si="3">E7-B7</f>
        <v>28286.274549999995</v>
      </c>
      <c r="G7" s="4">
        <f t="shared" ref="G7:G25" si="4">F7/E7</f>
        <v>0.33333333333333331</v>
      </c>
      <c r="I7" s="7">
        <f t="shared" si="0"/>
        <v>1697.1764729999998</v>
      </c>
      <c r="J7" s="7">
        <f>(E7-$E$6)</f>
        <v>16591.090269999986</v>
      </c>
      <c r="K7" s="7">
        <f>J7/A7</f>
        <v>331.82180539999973</v>
      </c>
      <c r="AA7" t="s">
        <v>102</v>
      </c>
      <c r="AB7" s="5">
        <v>0</v>
      </c>
      <c r="AC7" t="s">
        <v>104</v>
      </c>
    </row>
    <row r="8" spans="1:29" x14ac:dyDescent="0.25">
      <c r="A8">
        <v>100</v>
      </c>
      <c r="B8" s="6">
        <f t="shared" si="1"/>
        <v>64737.2549</v>
      </c>
      <c r="D8" s="4">
        <v>0.5</v>
      </c>
      <c r="E8" s="7">
        <f t="shared" si="2"/>
        <v>97105.88235</v>
      </c>
      <c r="F8" s="7">
        <f t="shared" si="3"/>
        <v>32368.62745</v>
      </c>
      <c r="G8" s="4">
        <f t="shared" si="4"/>
        <v>0.33333333333333331</v>
      </c>
      <c r="I8" s="7">
        <f t="shared" si="0"/>
        <v>971.05882350000002</v>
      </c>
      <c r="J8" s="7">
        <f t="shared" ref="J8:J25" si="5">(E8-$E$6)</f>
        <v>28838.148969999995</v>
      </c>
      <c r="K8" s="7">
        <f t="shared" ref="K8:K25" si="6">J8/A8</f>
        <v>288.38148969999997</v>
      </c>
      <c r="AA8" t="s">
        <v>103</v>
      </c>
      <c r="AB8" s="5">
        <v>300</v>
      </c>
      <c r="AC8" t="s">
        <v>104</v>
      </c>
    </row>
    <row r="9" spans="1:29" x14ac:dyDescent="0.25">
      <c r="A9">
        <v>150</v>
      </c>
      <c r="B9" s="6">
        <f t="shared" si="1"/>
        <v>72901.960800000001</v>
      </c>
      <c r="D9" s="4">
        <v>0.5</v>
      </c>
      <c r="E9" s="7">
        <f t="shared" si="2"/>
        <v>109352.9412</v>
      </c>
      <c r="F9" s="7">
        <f t="shared" si="3"/>
        <v>36450.9804</v>
      </c>
      <c r="G9" s="4">
        <f t="shared" si="4"/>
        <v>0.33333333333333331</v>
      </c>
      <c r="I9" s="7">
        <f t="shared" si="0"/>
        <v>729.01960800000006</v>
      </c>
      <c r="J9" s="7">
        <f t="shared" si="5"/>
        <v>41085.207819999996</v>
      </c>
      <c r="K9" s="7">
        <f t="shared" si="6"/>
        <v>273.90138546666662</v>
      </c>
      <c r="S9" s="5"/>
      <c r="AA9" t="s">
        <v>105</v>
      </c>
      <c r="AB9" s="5">
        <v>250</v>
      </c>
      <c r="AC9" t="s">
        <v>104</v>
      </c>
    </row>
    <row r="10" spans="1:29" x14ac:dyDescent="0.25">
      <c r="A10">
        <v>200</v>
      </c>
      <c r="B10" s="6">
        <f t="shared" si="1"/>
        <v>80807.843200000003</v>
      </c>
      <c r="D10" s="4">
        <v>0.5</v>
      </c>
      <c r="E10" s="7">
        <f t="shared" si="2"/>
        <v>121211.7648</v>
      </c>
      <c r="F10" s="7">
        <f t="shared" si="3"/>
        <v>40403.921600000001</v>
      </c>
      <c r="G10" s="4">
        <f t="shared" si="4"/>
        <v>0.33333333333333331</v>
      </c>
      <c r="I10" s="7">
        <f t="shared" si="0"/>
        <v>606.05882400000007</v>
      </c>
      <c r="J10" s="7">
        <f t="shared" si="5"/>
        <v>52944.031419999999</v>
      </c>
      <c r="K10" s="7">
        <f t="shared" si="6"/>
        <v>264.72015709999999</v>
      </c>
      <c r="S10" s="5"/>
    </row>
    <row r="11" spans="1:29" x14ac:dyDescent="0.25">
      <c r="A11">
        <v>250</v>
      </c>
      <c r="B11" s="6">
        <f t="shared" si="1"/>
        <v>88713.7255</v>
      </c>
      <c r="D11" s="4">
        <v>0.5</v>
      </c>
      <c r="E11" s="7">
        <f t="shared" si="2"/>
        <v>133070.58825</v>
      </c>
      <c r="F11" s="7">
        <f t="shared" si="3"/>
        <v>44356.86275</v>
      </c>
      <c r="G11" s="4">
        <f t="shared" si="4"/>
        <v>0.33333333333333331</v>
      </c>
      <c r="I11" s="7">
        <f t="shared" si="0"/>
        <v>532.28235300000006</v>
      </c>
      <c r="J11" s="7">
        <f t="shared" si="5"/>
        <v>64802.854869999996</v>
      </c>
      <c r="K11" s="7">
        <f t="shared" si="6"/>
        <v>259.21141947999996</v>
      </c>
    </row>
    <row r="12" spans="1:29" x14ac:dyDescent="0.25">
      <c r="A12">
        <v>300</v>
      </c>
      <c r="B12" s="6">
        <f t="shared" si="1"/>
        <v>96878.431400000001</v>
      </c>
      <c r="D12" s="4">
        <v>0.5</v>
      </c>
      <c r="E12" s="7">
        <f t="shared" si="2"/>
        <v>145317.6471</v>
      </c>
      <c r="F12" s="7">
        <f t="shared" si="3"/>
        <v>48439.215700000001</v>
      </c>
      <c r="G12" s="4">
        <f t="shared" si="4"/>
        <v>0.33333333333333331</v>
      </c>
      <c r="I12" s="7">
        <f t="shared" si="0"/>
        <v>484.392157</v>
      </c>
      <c r="J12" s="7">
        <f t="shared" si="5"/>
        <v>77049.913719999997</v>
      </c>
      <c r="K12" s="7">
        <f t="shared" si="6"/>
        <v>256.83304573333334</v>
      </c>
    </row>
    <row r="13" spans="1:29" x14ac:dyDescent="0.25">
      <c r="A13">
        <v>350</v>
      </c>
      <c r="B13" s="6">
        <f t="shared" si="1"/>
        <v>105043.1373</v>
      </c>
      <c r="D13" s="4">
        <v>0.5</v>
      </c>
      <c r="E13" s="7">
        <f t="shared" si="2"/>
        <v>157564.70595</v>
      </c>
      <c r="F13" s="7">
        <f t="shared" si="3"/>
        <v>52521.568650000001</v>
      </c>
      <c r="G13" s="4">
        <f t="shared" si="4"/>
        <v>0.33333333333333331</v>
      </c>
      <c r="I13" s="7">
        <f t="shared" si="0"/>
        <v>450.18487414285715</v>
      </c>
      <c r="J13" s="7">
        <f t="shared" si="5"/>
        <v>89296.972569999998</v>
      </c>
      <c r="K13" s="7">
        <f t="shared" si="6"/>
        <v>255.13420734285714</v>
      </c>
    </row>
    <row r="14" spans="1:29" x14ac:dyDescent="0.25">
      <c r="A14">
        <v>400</v>
      </c>
      <c r="B14" s="6">
        <f t="shared" si="1"/>
        <v>112949.0196</v>
      </c>
      <c r="D14" s="4">
        <v>0.5</v>
      </c>
      <c r="E14" s="7">
        <f t="shared" si="2"/>
        <v>169423.5294</v>
      </c>
      <c r="F14" s="7">
        <f t="shared" si="3"/>
        <v>56474.5098</v>
      </c>
      <c r="G14" s="4">
        <f t="shared" si="4"/>
        <v>0.33333333333333331</v>
      </c>
      <c r="I14" s="7">
        <f t="shared" si="0"/>
        <v>423.55882350000002</v>
      </c>
      <c r="J14" s="7">
        <f t="shared" si="5"/>
        <v>101155.79601999999</v>
      </c>
      <c r="K14" s="7">
        <f t="shared" si="6"/>
        <v>252.88949004999998</v>
      </c>
    </row>
    <row r="15" spans="1:29" x14ac:dyDescent="0.25">
      <c r="A15">
        <v>450</v>
      </c>
      <c r="B15" s="6">
        <f t="shared" si="1"/>
        <v>120854.902</v>
      </c>
      <c r="D15" s="4">
        <v>0.5</v>
      </c>
      <c r="E15" s="7">
        <f t="shared" si="2"/>
        <v>181282.353</v>
      </c>
      <c r="F15" s="7">
        <f t="shared" si="3"/>
        <v>60427.451000000001</v>
      </c>
      <c r="G15" s="4">
        <f t="shared" si="4"/>
        <v>0.33333333333333331</v>
      </c>
      <c r="I15" s="7">
        <f t="shared" si="0"/>
        <v>402.84967333333333</v>
      </c>
      <c r="J15" s="7">
        <f t="shared" si="5"/>
        <v>113014.61962</v>
      </c>
      <c r="K15" s="7">
        <f t="shared" si="6"/>
        <v>251.14359915555556</v>
      </c>
    </row>
    <row r="16" spans="1:29" x14ac:dyDescent="0.25">
      <c r="A16">
        <v>500</v>
      </c>
      <c r="B16" s="6">
        <f t="shared" si="1"/>
        <v>129019.6079</v>
      </c>
      <c r="D16" s="4">
        <v>0.5</v>
      </c>
      <c r="E16" s="7">
        <f t="shared" si="2"/>
        <v>193529.41185</v>
      </c>
      <c r="F16" s="7">
        <f t="shared" si="3"/>
        <v>64509.803950000001</v>
      </c>
      <c r="G16" s="4">
        <f t="shared" si="4"/>
        <v>0.33333333333333331</v>
      </c>
      <c r="I16" s="7">
        <f t="shared" si="0"/>
        <v>387.0588237</v>
      </c>
      <c r="J16" s="7">
        <f t="shared" si="5"/>
        <v>125261.67847</v>
      </c>
      <c r="K16" s="7">
        <f t="shared" si="6"/>
        <v>250.52335693999999</v>
      </c>
    </row>
    <row r="17" spans="1:11" x14ac:dyDescent="0.25">
      <c r="A17">
        <v>600</v>
      </c>
      <c r="B17" s="6">
        <f t="shared" si="1"/>
        <v>145090.1961</v>
      </c>
      <c r="D17" s="4">
        <v>0.5</v>
      </c>
      <c r="E17" s="7">
        <f t="shared" si="2"/>
        <v>217635.29415</v>
      </c>
      <c r="F17" s="7">
        <f t="shared" si="3"/>
        <v>72545.098050000001</v>
      </c>
      <c r="G17" s="4">
        <f t="shared" si="4"/>
        <v>0.33333333333333331</v>
      </c>
      <c r="I17" s="7">
        <f t="shared" si="0"/>
        <v>362.72549025000001</v>
      </c>
      <c r="J17" s="7">
        <f t="shared" si="5"/>
        <v>149367.56076999998</v>
      </c>
      <c r="K17" s="7">
        <f t="shared" si="6"/>
        <v>248.94593461666665</v>
      </c>
    </row>
    <row r="18" spans="1:11" x14ac:dyDescent="0.25">
      <c r="A18">
        <v>700</v>
      </c>
      <c r="B18" s="6">
        <f t="shared" si="1"/>
        <v>161160.7843</v>
      </c>
      <c r="D18" s="4">
        <v>0.5</v>
      </c>
      <c r="E18" s="7">
        <f t="shared" si="2"/>
        <v>241741.17645</v>
      </c>
      <c r="F18" s="7">
        <f t="shared" si="3"/>
        <v>80580.39215</v>
      </c>
      <c r="G18" s="4">
        <f t="shared" si="4"/>
        <v>0.33333333333333331</v>
      </c>
      <c r="I18" s="7">
        <f t="shared" si="0"/>
        <v>345.34453778571429</v>
      </c>
      <c r="J18" s="7">
        <f t="shared" si="5"/>
        <v>173473.44306999998</v>
      </c>
      <c r="K18" s="7">
        <f t="shared" si="6"/>
        <v>247.81920438571424</v>
      </c>
    </row>
    <row r="19" spans="1:11" x14ac:dyDescent="0.25">
      <c r="A19">
        <v>800</v>
      </c>
      <c r="B19" s="6">
        <f t="shared" si="1"/>
        <v>177231.3726</v>
      </c>
      <c r="D19" s="4">
        <v>0.5</v>
      </c>
      <c r="E19" s="7">
        <f t="shared" si="2"/>
        <v>265847.0589</v>
      </c>
      <c r="F19" s="7">
        <f t="shared" si="3"/>
        <v>88615.686300000001</v>
      </c>
      <c r="G19" s="4">
        <f t="shared" si="4"/>
        <v>0.33333333333333331</v>
      </c>
      <c r="I19" s="7">
        <f t="shared" si="0"/>
        <v>332.308823625</v>
      </c>
      <c r="J19" s="7">
        <f t="shared" si="5"/>
        <v>197579.32552000001</v>
      </c>
      <c r="K19" s="7">
        <f t="shared" si="6"/>
        <v>246.97415690000003</v>
      </c>
    </row>
    <row r="20" spans="1:11" x14ac:dyDescent="0.25">
      <c r="A20">
        <v>900</v>
      </c>
      <c r="B20" s="6">
        <f t="shared" si="1"/>
        <v>193301.9608</v>
      </c>
      <c r="D20" s="4">
        <v>0.5</v>
      </c>
      <c r="E20" s="7">
        <f t="shared" si="2"/>
        <v>289952.9412</v>
      </c>
      <c r="F20" s="7">
        <f t="shared" si="3"/>
        <v>96650.9804</v>
      </c>
      <c r="G20" s="4">
        <f t="shared" si="4"/>
        <v>0.33333333333333331</v>
      </c>
      <c r="I20" s="7">
        <f t="shared" si="0"/>
        <v>322.16993466666668</v>
      </c>
      <c r="J20" s="7">
        <f t="shared" si="5"/>
        <v>221685.20782000001</v>
      </c>
      <c r="K20" s="7">
        <f t="shared" si="6"/>
        <v>246.31689757777778</v>
      </c>
    </row>
    <row r="21" spans="1:11" x14ac:dyDescent="0.25">
      <c r="A21">
        <v>1000</v>
      </c>
      <c r="B21" s="6">
        <f t="shared" si="1"/>
        <v>209372.5491</v>
      </c>
      <c r="D21" s="4">
        <v>0.5</v>
      </c>
      <c r="E21" s="7">
        <f t="shared" si="2"/>
        <v>314058.82365000003</v>
      </c>
      <c r="F21" s="7">
        <f t="shared" si="3"/>
        <v>104686.27455000003</v>
      </c>
      <c r="G21" s="4">
        <f t="shared" si="4"/>
        <v>0.33333333333333337</v>
      </c>
      <c r="I21" s="7">
        <f t="shared" si="0"/>
        <v>314.05882365000002</v>
      </c>
      <c r="J21" s="7">
        <f t="shared" si="5"/>
        <v>245791.09027000004</v>
      </c>
      <c r="K21" s="7">
        <f t="shared" si="6"/>
        <v>245.79109027000004</v>
      </c>
    </row>
    <row r="22" spans="1:11" x14ac:dyDescent="0.25">
      <c r="A22">
        <v>1200</v>
      </c>
      <c r="B22" s="6">
        <f t="shared" si="1"/>
        <v>241513.7255</v>
      </c>
      <c r="D22" s="4">
        <v>0.5</v>
      </c>
      <c r="E22" s="7">
        <f t="shared" si="2"/>
        <v>362270.58825000003</v>
      </c>
      <c r="F22" s="7">
        <f t="shared" si="3"/>
        <v>120756.86275000003</v>
      </c>
      <c r="G22" s="4">
        <f t="shared" si="4"/>
        <v>0.33333333333333337</v>
      </c>
      <c r="I22" s="7">
        <f t="shared" si="0"/>
        <v>301.89215687500001</v>
      </c>
      <c r="J22" s="7">
        <f t="shared" si="5"/>
        <v>294002.85487000004</v>
      </c>
      <c r="K22" s="7">
        <f t="shared" si="6"/>
        <v>245.00237905833336</v>
      </c>
    </row>
    <row r="23" spans="1:11" x14ac:dyDescent="0.25">
      <c r="A23">
        <v>1400</v>
      </c>
      <c r="B23" s="6">
        <f t="shared" si="1"/>
        <v>273654.902</v>
      </c>
      <c r="D23" s="4">
        <v>0.5</v>
      </c>
      <c r="E23" s="7">
        <f t="shared" si="2"/>
        <v>410482.353</v>
      </c>
      <c r="F23" s="7">
        <f t="shared" si="3"/>
        <v>136827.451</v>
      </c>
      <c r="G23" s="4">
        <f t="shared" si="4"/>
        <v>0.33333333333333331</v>
      </c>
      <c r="I23" s="7">
        <f t="shared" si="0"/>
        <v>293.20168071428571</v>
      </c>
      <c r="J23" s="7">
        <f t="shared" si="5"/>
        <v>342214.61962000001</v>
      </c>
      <c r="K23" s="7">
        <f t="shared" si="6"/>
        <v>244.43901401428573</v>
      </c>
    </row>
    <row r="24" spans="1:11" x14ac:dyDescent="0.25">
      <c r="A24">
        <v>1500</v>
      </c>
      <c r="B24" s="6">
        <f t="shared" si="1"/>
        <v>289725.4902</v>
      </c>
      <c r="D24" s="4">
        <v>0.5</v>
      </c>
      <c r="E24" s="7">
        <f t="shared" si="2"/>
        <v>434588.2353</v>
      </c>
      <c r="F24" s="7">
        <f t="shared" si="3"/>
        <v>144862.7451</v>
      </c>
      <c r="G24" s="4">
        <f t="shared" si="4"/>
        <v>0.33333333333333331</v>
      </c>
      <c r="I24" s="7">
        <f t="shared" si="0"/>
        <v>289.72549020000002</v>
      </c>
      <c r="J24" s="7">
        <f t="shared" si="5"/>
        <v>366320.50192000001</v>
      </c>
      <c r="K24" s="7">
        <f t="shared" si="6"/>
        <v>244.21366794666667</v>
      </c>
    </row>
    <row r="25" spans="1:11" x14ac:dyDescent="0.25">
      <c r="A25">
        <v>2000</v>
      </c>
      <c r="B25" s="6">
        <f t="shared" si="1"/>
        <v>370078.4314</v>
      </c>
      <c r="D25" s="4">
        <v>0.5</v>
      </c>
      <c r="E25" s="7">
        <f t="shared" si="2"/>
        <v>555117.64709999994</v>
      </c>
      <c r="F25" s="7">
        <f t="shared" si="3"/>
        <v>185039.21569999994</v>
      </c>
      <c r="G25" s="4">
        <f t="shared" si="4"/>
        <v>0.33333333333333326</v>
      </c>
      <c r="I25" s="7">
        <f t="shared" si="0"/>
        <v>277.55882355</v>
      </c>
      <c r="J25" s="7">
        <f t="shared" si="5"/>
        <v>486849.91371999995</v>
      </c>
      <c r="K25" s="7">
        <f t="shared" si="6"/>
        <v>243.42495685999998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workbookViewId="0">
      <selection activeCell="D3" sqref="D3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88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84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85</v>
      </c>
      <c r="AB6" s="5">
        <v>500</v>
      </c>
      <c r="AC6" t="s">
        <v>86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 t="e">
        <f t="shared" si="0"/>
        <v>#VALUE!</v>
      </c>
      <c r="D8" s="4">
        <v>0.5</v>
      </c>
      <c r="E8" s="7" t="e">
        <f t="shared" si="1"/>
        <v>#VALUE!</v>
      </c>
      <c r="F8" s="7" t="e">
        <f t="shared" si="2"/>
        <v>#VALUE!</v>
      </c>
      <c r="G8" s="4" t="e">
        <f t="shared" si="3"/>
        <v>#VALUE!</v>
      </c>
      <c r="I8" s="7" t="e">
        <f t="shared" si="4"/>
        <v>#VALUE!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 t="e">
        <f t="shared" si="0"/>
        <v>#VALUE!</v>
      </c>
      <c r="D11" s="4">
        <v>0.5</v>
      </c>
      <c r="E11" s="7" t="e">
        <f t="shared" si="1"/>
        <v>#VALUE!</v>
      </c>
      <c r="F11" s="7" t="e">
        <f t="shared" si="2"/>
        <v>#VALUE!</v>
      </c>
      <c r="G11" s="4" t="e">
        <f t="shared" si="3"/>
        <v>#VALUE!</v>
      </c>
      <c r="I11" s="7" t="e">
        <f t="shared" si="4"/>
        <v>#VALUE!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 t="e">
        <f t="shared" si="0"/>
        <v>#VALUE!</v>
      </c>
      <c r="D31" s="4">
        <v>0.4</v>
      </c>
      <c r="E31" s="7" t="e">
        <f t="shared" si="1"/>
        <v>#VALUE!</v>
      </c>
      <c r="F31" s="7" t="e">
        <f t="shared" si="2"/>
        <v>#VALUE!</v>
      </c>
      <c r="G31" s="4" t="e">
        <f t="shared" si="3"/>
        <v>#VALUE!</v>
      </c>
      <c r="I31" s="7" t="e">
        <f t="shared" si="4"/>
        <v>#VALUE!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abSelected="1" topLeftCell="H1" workbookViewId="0">
      <selection activeCell="AE8" sqref="AE8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106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0.6</v>
      </c>
      <c r="E5" s="7">
        <f>B5*(1+D5)</f>
        <v>102539.73328</v>
      </c>
      <c r="F5" s="7">
        <f>E5-B5</f>
        <v>38452.399980000002</v>
      </c>
      <c r="G5" s="4">
        <f>F5/E5</f>
        <v>0.375</v>
      </c>
      <c r="I5" s="7">
        <f>E5/A5</f>
        <v>102539.73328</v>
      </c>
      <c r="AA5" s="9" t="s">
        <v>22</v>
      </c>
      <c r="AB5" s="5">
        <v>5000</v>
      </c>
      <c r="AE5" s="9" t="s">
        <v>107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23</v>
      </c>
      <c r="AB6" s="5">
        <v>2000</v>
      </c>
      <c r="AE6" t="s">
        <v>108</v>
      </c>
      <c r="AF6" s="5"/>
    </row>
    <row r="7" spans="1:32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24</v>
      </c>
      <c r="AB7" s="5" t="s">
        <v>25</v>
      </c>
      <c r="AE7" t="s">
        <v>110</v>
      </c>
      <c r="AF7" s="5"/>
    </row>
    <row r="8" spans="1:32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32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32" ht="16.5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AA25" s="12"/>
      <c r="AB25" s="13" t="s">
        <v>59</v>
      </c>
      <c r="AE25" s="12"/>
      <c r="AF25" s="13" t="s">
        <v>109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AA32" s="14" t="s">
        <v>64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  <row r="38" spans="1:9" x14ac:dyDescent="0.25">
      <c r="A38" t="s">
        <v>27</v>
      </c>
    </row>
    <row r="39" spans="1:9" x14ac:dyDescent="0.25">
      <c r="A39" s="1" t="s">
        <v>5</v>
      </c>
      <c r="D39" s="1" t="s">
        <v>4</v>
      </c>
      <c r="I39" s="1" t="s">
        <v>15</v>
      </c>
    </row>
    <row r="40" spans="1:9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9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9" x14ac:dyDescent="0.25">
      <c r="A42">
        <v>50</v>
      </c>
      <c r="B42" s="6">
        <f t="shared" ref="B42:B72" si="5">PhiMayInToner1M(A42)</f>
        <v>83533.333299999998</v>
      </c>
      <c r="D42" s="4">
        <v>0.5</v>
      </c>
      <c r="E42" s="7">
        <f t="shared" ref="E42:E72" si="6">B42*(1+D42)</f>
        <v>125299.99995</v>
      </c>
      <c r="F42" s="7">
        <f t="shared" ref="F42:F72" si="7">E42-B42</f>
        <v>41766.666649999999</v>
      </c>
      <c r="G42" s="4">
        <f t="shared" ref="G42:G72" si="8">F42/E42</f>
        <v>0.33333333333333331</v>
      </c>
      <c r="I42" s="7">
        <f t="shared" ref="I42:I72" si="9">E42/A42</f>
        <v>2505.9999990000001</v>
      </c>
    </row>
    <row r="43" spans="1:9" x14ac:dyDescent="0.25">
      <c r="A43">
        <v>100</v>
      </c>
      <c r="B43" s="6">
        <f t="shared" si="5"/>
        <v>103733.3333</v>
      </c>
      <c r="D43" s="4">
        <v>0.5</v>
      </c>
      <c r="E43" s="7">
        <f t="shared" si="6"/>
        <v>155599.99995</v>
      </c>
      <c r="F43" s="7">
        <f t="shared" si="7"/>
        <v>51866.666649999999</v>
      </c>
      <c r="G43" s="4">
        <f t="shared" si="8"/>
        <v>0.33333333333333331</v>
      </c>
      <c r="I43" s="7">
        <f t="shared" si="9"/>
        <v>1555.9999995000001</v>
      </c>
    </row>
    <row r="44" spans="1:9" x14ac:dyDescent="0.25">
      <c r="A44">
        <v>150</v>
      </c>
      <c r="B44" s="6">
        <f t="shared" si="5"/>
        <v>123933.3333</v>
      </c>
      <c r="D44" s="4">
        <v>0.5</v>
      </c>
      <c r="E44" s="7">
        <f t="shared" si="6"/>
        <v>185899.99995</v>
      </c>
      <c r="F44" s="7">
        <f t="shared" si="7"/>
        <v>61966.666649999999</v>
      </c>
      <c r="G44" s="4">
        <f t="shared" si="8"/>
        <v>0.33333333333333331</v>
      </c>
      <c r="I44" s="7">
        <f t="shared" si="9"/>
        <v>1239.333333</v>
      </c>
    </row>
    <row r="45" spans="1:9" x14ac:dyDescent="0.25">
      <c r="A45">
        <v>200</v>
      </c>
      <c r="B45" s="6">
        <f t="shared" si="5"/>
        <v>144133.3333</v>
      </c>
      <c r="D45" s="4">
        <v>0.5</v>
      </c>
      <c r="E45" s="7">
        <f t="shared" si="6"/>
        <v>216199.99995</v>
      </c>
      <c r="F45" s="7">
        <f t="shared" si="7"/>
        <v>72066.666649999999</v>
      </c>
      <c r="G45" s="4">
        <f t="shared" si="8"/>
        <v>0.33333333333333331</v>
      </c>
      <c r="I45" s="7">
        <f t="shared" si="9"/>
        <v>1080.9999997499999</v>
      </c>
    </row>
    <row r="46" spans="1:9" x14ac:dyDescent="0.25">
      <c r="A46">
        <v>250</v>
      </c>
      <c r="B46" s="6">
        <f t="shared" si="5"/>
        <v>164333.3333</v>
      </c>
      <c r="D46" s="4">
        <v>0.5</v>
      </c>
      <c r="E46" s="7">
        <f t="shared" si="6"/>
        <v>246499.99995</v>
      </c>
      <c r="F46" s="7">
        <f t="shared" si="7"/>
        <v>82166.666649999999</v>
      </c>
      <c r="G46" s="4">
        <f t="shared" si="8"/>
        <v>0.33333333333333331</v>
      </c>
      <c r="I46" s="7">
        <f t="shared" si="9"/>
        <v>985.99999979999996</v>
      </c>
    </row>
    <row r="47" spans="1:9" x14ac:dyDescent="0.25">
      <c r="A47">
        <v>300</v>
      </c>
      <c r="B47" s="6">
        <f t="shared" si="5"/>
        <v>184533.3333</v>
      </c>
      <c r="D47" s="4">
        <v>0.5</v>
      </c>
      <c r="E47" s="7">
        <f t="shared" si="6"/>
        <v>276799.99994999997</v>
      </c>
      <c r="F47" s="7">
        <f t="shared" si="7"/>
        <v>92266.66664999997</v>
      </c>
      <c r="G47" s="4">
        <f t="shared" si="8"/>
        <v>0.33333333333333326</v>
      </c>
      <c r="I47" s="7">
        <f t="shared" si="9"/>
        <v>922.66666649999991</v>
      </c>
    </row>
    <row r="48" spans="1:9" x14ac:dyDescent="0.25">
      <c r="A48">
        <v>350</v>
      </c>
      <c r="B48" s="6">
        <f t="shared" si="5"/>
        <v>204733.3333</v>
      </c>
      <c r="D48" s="4">
        <v>0.5</v>
      </c>
      <c r="E48" s="7">
        <f t="shared" si="6"/>
        <v>307099.99994999997</v>
      </c>
      <c r="F48" s="7">
        <f t="shared" si="7"/>
        <v>102366.66664999997</v>
      </c>
      <c r="G48" s="4">
        <f t="shared" si="8"/>
        <v>0.33333333333333326</v>
      </c>
      <c r="I48" s="7">
        <f t="shared" si="9"/>
        <v>877.42857128571416</v>
      </c>
    </row>
    <row r="49" spans="1:9" x14ac:dyDescent="0.25">
      <c r="A49">
        <v>400</v>
      </c>
      <c r="B49" s="6">
        <f t="shared" si="5"/>
        <v>224933.3333</v>
      </c>
      <c r="D49" s="4">
        <v>0.6</v>
      </c>
      <c r="E49" s="7">
        <f t="shared" si="6"/>
        <v>359893.33328000002</v>
      </c>
      <c r="F49" s="7">
        <f t="shared" si="7"/>
        <v>134959.99998000002</v>
      </c>
      <c r="G49" s="4">
        <f t="shared" si="8"/>
        <v>0.37500000000000006</v>
      </c>
      <c r="I49" s="7">
        <f t="shared" si="9"/>
        <v>899.73333320000006</v>
      </c>
    </row>
    <row r="50" spans="1:9" x14ac:dyDescent="0.25">
      <c r="A50">
        <v>450</v>
      </c>
      <c r="B50" s="6">
        <f t="shared" si="5"/>
        <v>245133.3333</v>
      </c>
      <c r="D50" s="4">
        <v>0.6</v>
      </c>
      <c r="E50" s="7">
        <f t="shared" si="6"/>
        <v>392213.33328000002</v>
      </c>
      <c r="F50" s="7">
        <f t="shared" si="7"/>
        <v>147079.99998000002</v>
      </c>
      <c r="G50" s="4">
        <f t="shared" si="8"/>
        <v>0.37500000000000006</v>
      </c>
      <c r="I50" s="7">
        <f t="shared" si="9"/>
        <v>871.58518506666667</v>
      </c>
    </row>
    <row r="51" spans="1:9" x14ac:dyDescent="0.25">
      <c r="A51">
        <v>500</v>
      </c>
      <c r="B51" s="6">
        <f t="shared" si="5"/>
        <v>265333.3333</v>
      </c>
      <c r="D51" s="4">
        <v>0.6</v>
      </c>
      <c r="E51" s="7">
        <f t="shared" si="6"/>
        <v>424533.33328000002</v>
      </c>
      <c r="F51" s="7">
        <f t="shared" si="7"/>
        <v>159199.99998000002</v>
      </c>
      <c r="G51" s="4">
        <f t="shared" si="8"/>
        <v>0.37500000000000006</v>
      </c>
      <c r="I51" s="7">
        <f t="shared" si="9"/>
        <v>849.06666656000004</v>
      </c>
    </row>
    <row r="52" spans="1:9" x14ac:dyDescent="0.25">
      <c r="A52">
        <v>600</v>
      </c>
      <c r="B52" s="6">
        <f t="shared" si="5"/>
        <v>305733.3333</v>
      </c>
      <c r="D52" s="4">
        <v>0.6</v>
      </c>
      <c r="E52" s="7">
        <f t="shared" si="6"/>
        <v>489173.33328000002</v>
      </c>
      <c r="F52" s="7">
        <f t="shared" si="7"/>
        <v>183439.99998000002</v>
      </c>
      <c r="G52" s="4">
        <f t="shared" si="8"/>
        <v>0.37500000000000006</v>
      </c>
      <c r="I52" s="7">
        <f t="shared" si="9"/>
        <v>815.2888888</v>
      </c>
    </row>
    <row r="53" spans="1:9" x14ac:dyDescent="0.25">
      <c r="A53">
        <v>700</v>
      </c>
      <c r="B53" s="6">
        <f t="shared" si="5"/>
        <v>346133.3333</v>
      </c>
      <c r="D53" s="4">
        <v>0.6</v>
      </c>
      <c r="E53" s="7">
        <f t="shared" si="6"/>
        <v>553813.33328000002</v>
      </c>
      <c r="F53" s="7">
        <f t="shared" si="7"/>
        <v>207679.99998000002</v>
      </c>
      <c r="G53" s="4">
        <f t="shared" si="8"/>
        <v>0.375</v>
      </c>
      <c r="I53" s="7">
        <f t="shared" si="9"/>
        <v>791.16190468571426</v>
      </c>
    </row>
    <row r="54" spans="1:9" x14ac:dyDescent="0.25">
      <c r="A54">
        <v>800</v>
      </c>
      <c r="B54" s="6">
        <f t="shared" si="5"/>
        <v>386533.3333</v>
      </c>
      <c r="D54" s="4">
        <v>0.6</v>
      </c>
      <c r="E54" s="7">
        <f t="shared" si="6"/>
        <v>618453.33328000002</v>
      </c>
      <c r="F54" s="7">
        <f t="shared" si="7"/>
        <v>231919.99998000002</v>
      </c>
      <c r="G54" s="4">
        <f t="shared" si="8"/>
        <v>0.375</v>
      </c>
      <c r="I54" s="7">
        <f t="shared" si="9"/>
        <v>773.06666660000008</v>
      </c>
    </row>
    <row r="55" spans="1:9" x14ac:dyDescent="0.25">
      <c r="A55">
        <v>900</v>
      </c>
      <c r="B55" s="6">
        <f t="shared" si="5"/>
        <v>426933.3333</v>
      </c>
      <c r="D55" s="4">
        <v>0.6</v>
      </c>
      <c r="E55" s="7">
        <f t="shared" si="6"/>
        <v>683093.33328000002</v>
      </c>
      <c r="F55" s="7">
        <f t="shared" si="7"/>
        <v>256159.99998000002</v>
      </c>
      <c r="G55" s="4">
        <f t="shared" si="8"/>
        <v>0.375</v>
      </c>
      <c r="I55" s="7">
        <f t="shared" si="9"/>
        <v>758.99259253333332</v>
      </c>
    </row>
    <row r="56" spans="1:9" x14ac:dyDescent="0.25">
      <c r="A56">
        <v>1000</v>
      </c>
      <c r="B56" s="6">
        <f t="shared" si="5"/>
        <v>467333.3333</v>
      </c>
      <c r="D56" s="4">
        <v>0.4</v>
      </c>
      <c r="E56" s="7">
        <f t="shared" si="6"/>
        <v>654266.66661999992</v>
      </c>
      <c r="F56" s="7">
        <f t="shared" si="7"/>
        <v>186933.33331999992</v>
      </c>
      <c r="G56" s="4">
        <f t="shared" si="8"/>
        <v>0.28571428571428564</v>
      </c>
      <c r="I56" s="7">
        <f t="shared" si="9"/>
        <v>654.26666661999991</v>
      </c>
    </row>
    <row r="57" spans="1:9" x14ac:dyDescent="0.25">
      <c r="A57">
        <v>1200</v>
      </c>
      <c r="B57" s="6">
        <f t="shared" si="5"/>
        <v>548133.33330000006</v>
      </c>
      <c r="D57" s="4">
        <v>0.4</v>
      </c>
      <c r="E57" s="7">
        <f t="shared" si="6"/>
        <v>767386.66662000003</v>
      </c>
      <c r="F57" s="7">
        <f t="shared" si="7"/>
        <v>219253.33331999998</v>
      </c>
      <c r="G57" s="4">
        <f t="shared" si="8"/>
        <v>0.2857142857142857</v>
      </c>
      <c r="I57" s="7">
        <f t="shared" si="9"/>
        <v>639.48888885000008</v>
      </c>
    </row>
    <row r="58" spans="1:9" x14ac:dyDescent="0.25">
      <c r="A58">
        <v>1400</v>
      </c>
      <c r="B58" s="6">
        <f t="shared" si="5"/>
        <v>628933.33330000006</v>
      </c>
      <c r="D58" s="4">
        <v>0.4</v>
      </c>
      <c r="E58" s="7">
        <f t="shared" si="6"/>
        <v>880506.66662000003</v>
      </c>
      <c r="F58" s="7">
        <f t="shared" si="7"/>
        <v>251573.33331999998</v>
      </c>
      <c r="G58" s="4">
        <f t="shared" si="8"/>
        <v>0.2857142857142857</v>
      </c>
      <c r="I58" s="7">
        <f t="shared" si="9"/>
        <v>628.93333330000007</v>
      </c>
    </row>
    <row r="59" spans="1:9" x14ac:dyDescent="0.25">
      <c r="A59">
        <v>1500</v>
      </c>
      <c r="B59" s="6">
        <f t="shared" si="5"/>
        <v>669333.33330000006</v>
      </c>
      <c r="D59" s="4">
        <v>0.4</v>
      </c>
      <c r="E59" s="7">
        <f t="shared" si="6"/>
        <v>937066.66662000003</v>
      </c>
      <c r="F59" s="7">
        <f t="shared" si="7"/>
        <v>267733.33331999998</v>
      </c>
      <c r="G59" s="4">
        <f t="shared" si="8"/>
        <v>0.2857142857142857</v>
      </c>
      <c r="I59" s="7">
        <f t="shared" si="9"/>
        <v>624.71111108000002</v>
      </c>
    </row>
    <row r="60" spans="1:9" x14ac:dyDescent="0.25">
      <c r="A60">
        <v>2000</v>
      </c>
      <c r="B60" s="6">
        <f t="shared" si="5"/>
        <v>871333.33330000006</v>
      </c>
      <c r="D60" s="4">
        <v>0.4</v>
      </c>
      <c r="E60" s="7">
        <f t="shared" si="6"/>
        <v>1219866.66662</v>
      </c>
      <c r="F60" s="7">
        <f t="shared" si="7"/>
        <v>348533.33331999998</v>
      </c>
      <c r="G60" s="4">
        <f t="shared" si="8"/>
        <v>0.2857142857142857</v>
      </c>
      <c r="I60" s="7">
        <f t="shared" si="9"/>
        <v>609.93333330999997</v>
      </c>
    </row>
    <row r="61" spans="1:9" x14ac:dyDescent="0.25">
      <c r="A61">
        <v>2500</v>
      </c>
      <c r="B61" s="6">
        <f t="shared" si="5"/>
        <v>1073333.3333000001</v>
      </c>
      <c r="D61" s="4">
        <v>0.4</v>
      </c>
      <c r="E61" s="7">
        <f t="shared" si="6"/>
        <v>1502666.66662</v>
      </c>
      <c r="F61" s="7">
        <f t="shared" si="7"/>
        <v>429333.33331999998</v>
      </c>
      <c r="G61" s="4">
        <f t="shared" si="8"/>
        <v>0.2857142857142857</v>
      </c>
      <c r="I61" s="7">
        <f t="shared" si="9"/>
        <v>601.06666664800002</v>
      </c>
    </row>
    <row r="62" spans="1:9" x14ac:dyDescent="0.25">
      <c r="A62">
        <v>3000</v>
      </c>
      <c r="B62" s="6">
        <f t="shared" si="5"/>
        <v>1275333.3333000001</v>
      </c>
      <c r="D62" s="4">
        <v>0.4</v>
      </c>
      <c r="E62" s="7">
        <f t="shared" si="6"/>
        <v>1785466.66662</v>
      </c>
      <c r="F62" s="7">
        <f t="shared" si="7"/>
        <v>510133.33331999998</v>
      </c>
      <c r="G62" s="4">
        <f t="shared" si="8"/>
        <v>0.2857142857142857</v>
      </c>
      <c r="I62" s="7">
        <f t="shared" si="9"/>
        <v>595.15555554000002</v>
      </c>
    </row>
    <row r="63" spans="1:9" x14ac:dyDescent="0.25">
      <c r="A63">
        <v>3500</v>
      </c>
      <c r="B63" s="6">
        <f t="shared" si="5"/>
        <v>1477333.3333000001</v>
      </c>
      <c r="D63" s="4">
        <v>0.4</v>
      </c>
      <c r="E63" s="7">
        <f t="shared" si="6"/>
        <v>2068266.66662</v>
      </c>
      <c r="F63" s="7">
        <f t="shared" si="7"/>
        <v>590933.33331999998</v>
      </c>
      <c r="G63" s="4">
        <f t="shared" si="8"/>
        <v>0.2857142857142857</v>
      </c>
      <c r="I63" s="7">
        <f t="shared" si="9"/>
        <v>590.93333331999997</v>
      </c>
    </row>
    <row r="64" spans="1:9" x14ac:dyDescent="0.25">
      <c r="A64">
        <v>4000</v>
      </c>
      <c r="B64" s="6">
        <f t="shared" si="5"/>
        <v>1679333.3333000001</v>
      </c>
      <c r="D64" s="4">
        <v>0.4</v>
      </c>
      <c r="E64" s="7">
        <f t="shared" si="6"/>
        <v>2351066.6666199998</v>
      </c>
      <c r="F64" s="7">
        <f t="shared" si="7"/>
        <v>671733.33331999974</v>
      </c>
      <c r="G64" s="4">
        <f t="shared" si="8"/>
        <v>0.28571428571428564</v>
      </c>
      <c r="I64" s="7">
        <f t="shared" si="9"/>
        <v>587.76666665499999</v>
      </c>
    </row>
    <row r="65" spans="1:9" x14ac:dyDescent="0.25">
      <c r="A65">
        <v>5000</v>
      </c>
      <c r="B65" s="6">
        <f t="shared" si="5"/>
        <v>2083333.3333000001</v>
      </c>
      <c r="D65" s="4">
        <v>0.4</v>
      </c>
      <c r="E65" s="7">
        <f t="shared" si="6"/>
        <v>2916666.6666199998</v>
      </c>
      <c r="F65" s="7">
        <f t="shared" si="7"/>
        <v>833333.33331999974</v>
      </c>
      <c r="G65" s="4">
        <f t="shared" si="8"/>
        <v>0.28571428571428564</v>
      </c>
      <c r="I65" s="7">
        <f t="shared" si="9"/>
        <v>583.33333332399991</v>
      </c>
    </row>
    <row r="66" spans="1:9" x14ac:dyDescent="0.25">
      <c r="A66">
        <v>6000</v>
      </c>
      <c r="B66" s="6">
        <f t="shared" si="5"/>
        <v>2487333.3333000001</v>
      </c>
      <c r="D66" s="4">
        <v>0.4</v>
      </c>
      <c r="E66" s="7">
        <f t="shared" si="6"/>
        <v>3482266.6666199998</v>
      </c>
      <c r="F66" s="7">
        <f t="shared" si="7"/>
        <v>994933.33331999974</v>
      </c>
      <c r="G66" s="4">
        <f t="shared" si="8"/>
        <v>0.28571428571428564</v>
      </c>
      <c r="I66" s="7">
        <f t="shared" si="9"/>
        <v>580.37777776999997</v>
      </c>
    </row>
    <row r="67" spans="1:9" x14ac:dyDescent="0.25">
      <c r="A67">
        <v>7000</v>
      </c>
      <c r="B67" s="6">
        <f t="shared" si="5"/>
        <v>2891333.3333000001</v>
      </c>
      <c r="D67" s="4">
        <v>0.4</v>
      </c>
      <c r="E67" s="7">
        <f t="shared" si="6"/>
        <v>4047866.6666199998</v>
      </c>
      <c r="F67" s="7">
        <f t="shared" si="7"/>
        <v>1156533.3333199997</v>
      </c>
      <c r="G67" s="4">
        <f t="shared" si="8"/>
        <v>0.28571428571428564</v>
      </c>
      <c r="I67" s="7">
        <f t="shared" si="9"/>
        <v>578.26666665999994</v>
      </c>
    </row>
    <row r="68" spans="1:9" x14ac:dyDescent="0.25">
      <c r="A68">
        <v>8000</v>
      </c>
      <c r="B68" s="6">
        <f t="shared" si="5"/>
        <v>3295333.3333000001</v>
      </c>
      <c r="D68" s="4">
        <v>0.4</v>
      </c>
      <c r="E68" s="7">
        <f t="shared" si="6"/>
        <v>4613466.6666199993</v>
      </c>
      <c r="F68" s="7">
        <f t="shared" si="7"/>
        <v>1318133.3333199993</v>
      </c>
      <c r="G68" s="4">
        <f t="shared" si="8"/>
        <v>0.28571428571428559</v>
      </c>
      <c r="I68" s="7">
        <f t="shared" si="9"/>
        <v>576.68333332749989</v>
      </c>
    </row>
    <row r="69" spans="1:9" x14ac:dyDescent="0.25">
      <c r="A69">
        <v>9000</v>
      </c>
      <c r="B69" s="6">
        <f t="shared" si="5"/>
        <v>3699333.3333000001</v>
      </c>
      <c r="D69" s="4">
        <v>0.4</v>
      </c>
      <c r="E69" s="7">
        <f t="shared" si="6"/>
        <v>5179066.6666199993</v>
      </c>
      <c r="F69" s="7">
        <f t="shared" si="7"/>
        <v>1479733.3333199993</v>
      </c>
      <c r="G69" s="4">
        <f t="shared" si="8"/>
        <v>0.28571428571428559</v>
      </c>
      <c r="I69" s="7">
        <f t="shared" si="9"/>
        <v>575.45185184666661</v>
      </c>
    </row>
    <row r="70" spans="1:9" x14ac:dyDescent="0.25">
      <c r="A70">
        <v>10000</v>
      </c>
      <c r="B70" s="6">
        <f t="shared" si="5"/>
        <v>4103333.3333000001</v>
      </c>
      <c r="D70" s="4">
        <v>0.4</v>
      </c>
      <c r="E70" s="7">
        <f t="shared" si="6"/>
        <v>5744666.6666199993</v>
      </c>
      <c r="F70" s="7">
        <f t="shared" si="7"/>
        <v>1641333.3333199993</v>
      </c>
      <c r="G70" s="4">
        <f t="shared" si="8"/>
        <v>0.28571428571428564</v>
      </c>
      <c r="I70" s="7">
        <f t="shared" si="9"/>
        <v>574.46666666199997</v>
      </c>
    </row>
    <row r="71" spans="1:9" x14ac:dyDescent="0.25">
      <c r="A71">
        <v>15000</v>
      </c>
      <c r="B71" s="6">
        <f t="shared" si="5"/>
        <v>6123333.3333000001</v>
      </c>
      <c r="D71" s="4">
        <v>0.4</v>
      </c>
      <c r="E71" s="7">
        <f t="shared" si="6"/>
        <v>8572666.6666199993</v>
      </c>
      <c r="F71" s="7">
        <f t="shared" si="7"/>
        <v>2449333.3333199993</v>
      </c>
      <c r="G71" s="4">
        <f t="shared" si="8"/>
        <v>0.28571428571428564</v>
      </c>
      <c r="I71" s="7">
        <f t="shared" si="9"/>
        <v>571.51111110799991</v>
      </c>
    </row>
    <row r="72" spans="1:9" x14ac:dyDescent="0.25">
      <c r="A72">
        <v>20000</v>
      </c>
      <c r="B72" s="6">
        <f t="shared" si="5"/>
        <v>8143333.3333000001</v>
      </c>
      <c r="D72" s="4">
        <v>0.4</v>
      </c>
      <c r="E72" s="7">
        <f t="shared" si="6"/>
        <v>11400666.666619999</v>
      </c>
      <c r="F72" s="7">
        <f t="shared" si="7"/>
        <v>3257333.3333199993</v>
      </c>
      <c r="G72" s="4">
        <f t="shared" si="8"/>
        <v>0.28571428571428564</v>
      </c>
      <c r="I72" s="7">
        <f t="shared" si="9"/>
        <v>570.03333333099999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9</vt:i4>
      </vt:variant>
    </vt:vector>
  </HeadingPairs>
  <TitlesOfParts>
    <vt:vector size="9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2019-03-27T07:20:35Z</dcterms:modified>
</cp:coreProperties>
</file>