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0E2D3E53-8D92-4E79-B4A8-CAFFADB1B9C5}" xr6:coauthVersionLast="43" xr6:coauthVersionMax="43" xr10:uidLastSave="{00000000-0000-0000-0000-000000000000}"/>
  <bookViews>
    <workbookView xWindow="-120" yWindow="-120" windowWidth="29040" windowHeight="15840" firstSheet="35" activeTab="40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SP-ThiepDon" sheetId="28" r:id="rId25"/>
    <sheet name="SP-ThiepDoi" sheetId="29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Decal-Giay-Vuong" sheetId="41" r:id="rId37"/>
    <sheet name="Decal-Giay-ChNhat" sheetId="40" r:id="rId38"/>
    <sheet name="Decal-Giay-Tron" sheetId="42" r:id="rId39"/>
    <sheet name="Decal-Giay-Oval" sheetId="43" r:id="rId40"/>
    <sheet name="Decal-Giay-Khac" sheetId="44" r:id="rId41"/>
    <sheet name="Base-MayIn" sheetId="10" r:id="rId42"/>
    <sheet name="NguyenVatLieu" sheetId="13" r:id="rId43"/>
    <sheet name="Base-Margin" sheetId="15" r:id="rId44"/>
  </sheets>
  <functionGroups builtInGroupCount="19"/>
  <definedNames>
    <definedName name="atools_list_filter_1" localSheetId="11" hidden="1">BaiCMYK!$E$8:$F$9</definedName>
    <definedName name="atools_list_filter_1" localSheetId="37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4" hidden="1">'SP-ThiepDon'!$B$9:$E$10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37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4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37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4" hidden="1">"1;2;3;4"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37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4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37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4" hidden="1">"='SP-Thiep-Don'!$B$9:$E$10"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37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4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37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4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37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4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37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4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44" l="1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42" i="44"/>
  <c r="F34" i="44"/>
  <c r="F26" i="44"/>
  <c r="F18" i="44"/>
  <c r="F37" i="44"/>
  <c r="F29" i="44"/>
  <c r="F21" i="44"/>
  <c r="F40" i="44"/>
  <c r="F32" i="44"/>
  <c r="F24" i="44"/>
  <c r="F16" i="44"/>
  <c r="F43" i="44"/>
  <c r="F35" i="44"/>
  <c r="F27" i="44"/>
  <c r="F19" i="44"/>
  <c r="F38" i="44"/>
  <c r="F30" i="44"/>
  <c r="F22" i="44"/>
  <c r="F41" i="44"/>
  <c r="F33" i="44"/>
  <c r="F25" i="44"/>
  <c r="F17" i="44"/>
  <c r="F36" i="44"/>
  <c r="F28" i="44"/>
  <c r="F20" i="44"/>
  <c r="F39" i="44"/>
  <c r="F31" i="44"/>
  <c r="F15" i="44"/>
  <c r="F23" i="44"/>
  <c r="K14" i="44" l="1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F43" i="43"/>
  <c r="Y43" i="43"/>
  <c r="U43" i="43"/>
  <c r="Q43" i="43"/>
  <c r="M43" i="43"/>
  <c r="I43" i="43"/>
  <c r="N43" i="43"/>
  <c r="X43" i="43"/>
  <c r="T43" i="43"/>
  <c r="P43" i="43"/>
  <c r="L43" i="43"/>
  <c r="H43" i="43"/>
  <c r="R43" i="43"/>
  <c r="W43" i="43"/>
  <c r="S43" i="43"/>
  <c r="O43" i="43"/>
  <c r="K43" i="43"/>
  <c r="G43" i="43"/>
  <c r="V43" i="43"/>
  <c r="J43" i="43"/>
  <c r="F42" i="43"/>
  <c r="F31" i="42"/>
  <c r="F40" i="43"/>
  <c r="F36" i="43"/>
  <c r="F32" i="43"/>
  <c r="F28" i="43"/>
  <c r="F39" i="43"/>
  <c r="F35" i="43"/>
  <c r="F31" i="43"/>
  <c r="F27" i="43"/>
  <c r="F21" i="43"/>
  <c r="F41" i="43"/>
  <c r="F37" i="43"/>
  <c r="F33" i="43"/>
  <c r="F29" i="43"/>
  <c r="F25" i="43"/>
  <c r="F24" i="43"/>
  <c r="F20" i="43"/>
  <c r="F16" i="43"/>
  <c r="F38" i="43"/>
  <c r="F34" i="43"/>
  <c r="F30" i="43"/>
  <c r="F26" i="43"/>
  <c r="F23" i="43"/>
  <c r="F19" i="43"/>
  <c r="F22" i="43"/>
  <c r="F17" i="43"/>
  <c r="F18" i="43"/>
  <c r="F15" i="43"/>
  <c r="B2" i="11" a="1"/>
  <c r="G8" i="11" a="1"/>
  <c r="F30" i="42"/>
  <c r="F26" i="42"/>
  <c r="F29" i="42"/>
  <c r="F25" i="42"/>
  <c r="F28" i="42"/>
  <c r="F21" i="42"/>
  <c r="F17" i="42"/>
  <c r="F20" i="42"/>
  <c r="F16" i="42"/>
  <c r="F27" i="42"/>
  <c r="F23" i="42"/>
  <c r="F19" i="42"/>
  <c r="F22" i="42"/>
  <c r="F18" i="42"/>
  <c r="F24" i="42"/>
  <c r="F15" i="42"/>
  <c r="G15" i="42" s="1"/>
  <c r="F41" i="40"/>
  <c r="F37" i="40"/>
  <c r="F33" i="40"/>
  <c r="F29" i="40"/>
  <c r="F30" i="40"/>
  <c r="F40" i="40"/>
  <c r="F36" i="40"/>
  <c r="F32" i="40"/>
  <c r="F28" i="40"/>
  <c r="F34" i="40"/>
  <c r="F39" i="40"/>
  <c r="F35" i="40"/>
  <c r="F31" i="40"/>
  <c r="F27" i="40"/>
  <c r="F38" i="40"/>
  <c r="F26" i="40"/>
  <c r="F25" i="40"/>
  <c r="F24" i="40"/>
  <c r="F23" i="40"/>
  <c r="F16" i="40"/>
  <c r="F22" i="40"/>
  <c r="F19" i="40"/>
  <c r="F15" i="40"/>
  <c r="F21" i="40"/>
  <c r="F18" i="40"/>
  <c r="F20" i="40"/>
  <c r="F17" i="40"/>
  <c r="F22" i="41"/>
  <c r="F20" i="41"/>
  <c r="F21" i="41"/>
  <c r="F23" i="41"/>
  <c r="F19" i="41"/>
  <c r="F18" i="41"/>
  <c r="F16" i="41"/>
  <c r="F17" i="41"/>
  <c r="F15" i="41"/>
  <c r="G41" i="40"/>
  <c r="J41" i="40"/>
  <c r="N41" i="40"/>
  <c r="R41" i="40"/>
  <c r="V41" i="40"/>
  <c r="K41" i="40"/>
  <c r="O41" i="40"/>
  <c r="S41" i="40"/>
  <c r="W41" i="40"/>
  <c r="H41" i="40"/>
  <c r="L41" i="40"/>
  <c r="P41" i="40"/>
  <c r="T41" i="40"/>
  <c r="X41" i="40"/>
  <c r="I41" i="40"/>
  <c r="M41" i="40"/>
  <c r="Q41" i="40"/>
  <c r="U41" i="40"/>
  <c r="Y41" i="40"/>
  <c r="G37" i="40"/>
  <c r="J37" i="40"/>
  <c r="N37" i="40"/>
  <c r="R37" i="40"/>
  <c r="V37" i="40"/>
  <c r="K37" i="40"/>
  <c r="O37" i="40"/>
  <c r="S37" i="40"/>
  <c r="W37" i="40"/>
  <c r="H37" i="40"/>
  <c r="L37" i="40"/>
  <c r="P37" i="40"/>
  <c r="T37" i="40"/>
  <c r="X37" i="40"/>
  <c r="I37" i="40"/>
  <c r="M37" i="40"/>
  <c r="Q37" i="40"/>
  <c r="U37" i="40"/>
  <c r="Y37" i="40"/>
  <c r="G33" i="40"/>
  <c r="J33" i="40"/>
  <c r="N33" i="40"/>
  <c r="R33" i="40"/>
  <c r="V33" i="40"/>
  <c r="K33" i="40"/>
  <c r="O33" i="40"/>
  <c r="S33" i="40"/>
  <c r="W33" i="40"/>
  <c r="H33" i="40"/>
  <c r="L33" i="40"/>
  <c r="P33" i="40"/>
  <c r="T33" i="40"/>
  <c r="X33" i="40"/>
  <c r="I33" i="40"/>
  <c r="M33" i="40"/>
  <c r="Q33" i="40"/>
  <c r="U33" i="40"/>
  <c r="Y33" i="40"/>
  <c r="G29" i="40"/>
  <c r="J29" i="40"/>
  <c r="N29" i="40"/>
  <c r="R29" i="40"/>
  <c r="V29" i="40"/>
  <c r="K29" i="40"/>
  <c r="O29" i="40"/>
  <c r="S29" i="40"/>
  <c r="W29" i="40"/>
  <c r="H29" i="40"/>
  <c r="L29" i="40"/>
  <c r="P29" i="40"/>
  <c r="T29" i="40"/>
  <c r="X29" i="40"/>
  <c r="I29" i="40"/>
  <c r="M29" i="40"/>
  <c r="Q29" i="40"/>
  <c r="U29" i="40"/>
  <c r="Y29" i="40"/>
  <c r="G30" i="40"/>
  <c r="H30" i="40"/>
  <c r="L30" i="40"/>
  <c r="P30" i="40"/>
  <c r="T30" i="40"/>
  <c r="X30" i="40"/>
  <c r="I30" i="40"/>
  <c r="M30" i="40"/>
  <c r="Q30" i="40"/>
  <c r="U30" i="40"/>
  <c r="Y30" i="40"/>
  <c r="J30" i="40"/>
  <c r="N30" i="40"/>
  <c r="R30" i="40"/>
  <c r="V30" i="40"/>
  <c r="K30" i="40"/>
  <c r="O30" i="40"/>
  <c r="S30" i="40"/>
  <c r="W30" i="40"/>
  <c r="G40" i="40"/>
  <c r="H40" i="40"/>
  <c r="L40" i="40"/>
  <c r="P40" i="40"/>
  <c r="T40" i="40"/>
  <c r="X40" i="40"/>
  <c r="I40" i="40"/>
  <c r="M40" i="40"/>
  <c r="Q40" i="40"/>
  <c r="U40" i="40"/>
  <c r="Y40" i="40"/>
  <c r="J40" i="40"/>
  <c r="N40" i="40"/>
  <c r="R40" i="40"/>
  <c r="V40" i="40"/>
  <c r="K40" i="40"/>
  <c r="O40" i="40"/>
  <c r="S40" i="40"/>
  <c r="W40" i="40"/>
  <c r="G36" i="40"/>
  <c r="H36" i="40"/>
  <c r="L36" i="40"/>
  <c r="P36" i="40"/>
  <c r="T36" i="40"/>
  <c r="X36" i="40"/>
  <c r="I36" i="40"/>
  <c r="M36" i="40"/>
  <c r="Q36" i="40"/>
  <c r="U36" i="40"/>
  <c r="Y36" i="40"/>
  <c r="J36" i="40"/>
  <c r="N36" i="40"/>
  <c r="R36" i="40"/>
  <c r="V36" i="40"/>
  <c r="K36" i="40"/>
  <c r="O36" i="40"/>
  <c r="S36" i="40"/>
  <c r="W36" i="40"/>
  <c r="G32" i="40"/>
  <c r="H32" i="40"/>
  <c r="L32" i="40"/>
  <c r="P32" i="40"/>
  <c r="T32" i="40"/>
  <c r="X32" i="40"/>
  <c r="I32" i="40"/>
  <c r="M32" i="40"/>
  <c r="Q32" i="40"/>
  <c r="U32" i="40"/>
  <c r="Y32" i="40"/>
  <c r="J32" i="40"/>
  <c r="N32" i="40"/>
  <c r="R32" i="40"/>
  <c r="V32" i="40"/>
  <c r="K32" i="40"/>
  <c r="O32" i="40"/>
  <c r="S32" i="40"/>
  <c r="W32" i="40"/>
  <c r="G28" i="40"/>
  <c r="H28" i="40"/>
  <c r="L28" i="40"/>
  <c r="P28" i="40"/>
  <c r="T28" i="40"/>
  <c r="X28" i="40"/>
  <c r="I28" i="40"/>
  <c r="M28" i="40"/>
  <c r="Q28" i="40"/>
  <c r="U28" i="40"/>
  <c r="Y28" i="40"/>
  <c r="J28" i="40"/>
  <c r="N28" i="40"/>
  <c r="R28" i="40"/>
  <c r="V28" i="40"/>
  <c r="K28" i="40"/>
  <c r="O28" i="40"/>
  <c r="S28" i="40"/>
  <c r="W28" i="40"/>
  <c r="G34" i="40"/>
  <c r="H34" i="40"/>
  <c r="L34" i="40"/>
  <c r="P34" i="40"/>
  <c r="T34" i="40"/>
  <c r="X34" i="40"/>
  <c r="I34" i="40"/>
  <c r="M34" i="40"/>
  <c r="Q34" i="40"/>
  <c r="U34" i="40"/>
  <c r="Y34" i="40"/>
  <c r="J34" i="40"/>
  <c r="N34" i="40"/>
  <c r="R34" i="40"/>
  <c r="V34" i="40"/>
  <c r="K34" i="40"/>
  <c r="O34" i="40"/>
  <c r="S34" i="40"/>
  <c r="W34" i="40"/>
  <c r="G39" i="40"/>
  <c r="J39" i="40"/>
  <c r="N39" i="40"/>
  <c r="R39" i="40"/>
  <c r="V39" i="40"/>
  <c r="K39" i="40"/>
  <c r="O39" i="40"/>
  <c r="S39" i="40"/>
  <c r="W39" i="40"/>
  <c r="H39" i="40"/>
  <c r="L39" i="40"/>
  <c r="P39" i="40"/>
  <c r="T39" i="40"/>
  <c r="X39" i="40"/>
  <c r="I39" i="40"/>
  <c r="M39" i="40"/>
  <c r="Q39" i="40"/>
  <c r="U39" i="40"/>
  <c r="Y39" i="40"/>
  <c r="G35" i="40"/>
  <c r="J35" i="40"/>
  <c r="N35" i="40"/>
  <c r="R35" i="40"/>
  <c r="V35" i="40"/>
  <c r="K35" i="40"/>
  <c r="O35" i="40"/>
  <c r="S35" i="40"/>
  <c r="W35" i="40"/>
  <c r="H35" i="40"/>
  <c r="L35" i="40"/>
  <c r="P35" i="40"/>
  <c r="T35" i="40"/>
  <c r="X35" i="40"/>
  <c r="I35" i="40"/>
  <c r="M35" i="40"/>
  <c r="Q35" i="40"/>
  <c r="U35" i="40"/>
  <c r="Y35" i="40"/>
  <c r="G31" i="40"/>
  <c r="J31" i="40"/>
  <c r="N31" i="40"/>
  <c r="R31" i="40"/>
  <c r="V31" i="40"/>
  <c r="K31" i="40"/>
  <c r="O31" i="40"/>
  <c r="S31" i="40"/>
  <c r="W31" i="40"/>
  <c r="H31" i="40"/>
  <c r="L31" i="40"/>
  <c r="P31" i="40"/>
  <c r="T31" i="40"/>
  <c r="X31" i="40"/>
  <c r="I31" i="40"/>
  <c r="M31" i="40"/>
  <c r="Q31" i="40"/>
  <c r="U31" i="40"/>
  <c r="Y31" i="40"/>
  <c r="G27" i="40"/>
  <c r="J27" i="40"/>
  <c r="N27" i="40"/>
  <c r="R27" i="40"/>
  <c r="V27" i="40"/>
  <c r="K27" i="40"/>
  <c r="O27" i="40"/>
  <c r="S27" i="40"/>
  <c r="W27" i="40"/>
  <c r="H27" i="40"/>
  <c r="L27" i="40"/>
  <c r="P27" i="40"/>
  <c r="T27" i="40"/>
  <c r="X27" i="40"/>
  <c r="I27" i="40"/>
  <c r="M27" i="40"/>
  <c r="Q27" i="40"/>
  <c r="U27" i="40"/>
  <c r="Y27" i="40"/>
  <c r="G38" i="40"/>
  <c r="H38" i="40"/>
  <c r="L38" i="40"/>
  <c r="P38" i="40"/>
  <c r="T38" i="40"/>
  <c r="X38" i="40"/>
  <c r="I38" i="40"/>
  <c r="M38" i="40"/>
  <c r="Q38" i="40"/>
  <c r="U38" i="40"/>
  <c r="Y38" i="40"/>
  <c r="J38" i="40"/>
  <c r="N38" i="40"/>
  <c r="R38" i="40"/>
  <c r="V38" i="40"/>
  <c r="K38" i="40"/>
  <c r="O38" i="40"/>
  <c r="S38" i="40"/>
  <c r="W38" i="40"/>
  <c r="G26" i="40"/>
  <c r="H26" i="40"/>
  <c r="L26" i="40"/>
  <c r="P26" i="40"/>
  <c r="T26" i="40"/>
  <c r="X26" i="40"/>
  <c r="I26" i="40"/>
  <c r="M26" i="40"/>
  <c r="Q26" i="40"/>
  <c r="U26" i="40"/>
  <c r="Y26" i="40"/>
  <c r="J26" i="40"/>
  <c r="N26" i="40"/>
  <c r="R26" i="40"/>
  <c r="V26" i="40"/>
  <c r="K26" i="40"/>
  <c r="O26" i="40"/>
  <c r="S26" i="40"/>
  <c r="W26" i="40"/>
  <c r="G25" i="40"/>
  <c r="J25" i="40"/>
  <c r="N25" i="40"/>
  <c r="R25" i="40"/>
  <c r="V25" i="40"/>
  <c r="K25" i="40"/>
  <c r="O25" i="40"/>
  <c r="S25" i="40"/>
  <c r="W25" i="40"/>
  <c r="H25" i="40"/>
  <c r="L25" i="40"/>
  <c r="P25" i="40"/>
  <c r="T25" i="40"/>
  <c r="X25" i="40"/>
  <c r="I25" i="40"/>
  <c r="M25" i="40"/>
  <c r="Q25" i="40"/>
  <c r="U25" i="40"/>
  <c r="Y25" i="40"/>
  <c r="G24" i="40"/>
  <c r="H24" i="40"/>
  <c r="L24" i="40"/>
  <c r="P24" i="40"/>
  <c r="T24" i="40"/>
  <c r="X24" i="40"/>
  <c r="I24" i="40"/>
  <c r="M24" i="40"/>
  <c r="Q24" i="40"/>
  <c r="U24" i="40"/>
  <c r="Y24" i="40"/>
  <c r="J24" i="40"/>
  <c r="N24" i="40"/>
  <c r="R24" i="40"/>
  <c r="V24" i="40"/>
  <c r="K24" i="40"/>
  <c r="O24" i="40"/>
  <c r="S24" i="40"/>
  <c r="W24" i="40"/>
  <c r="G23" i="40"/>
  <c r="J23" i="40"/>
  <c r="N23" i="40"/>
  <c r="R23" i="40"/>
  <c r="V23" i="40"/>
  <c r="K23" i="40"/>
  <c r="O23" i="40"/>
  <c r="S23" i="40"/>
  <c r="W23" i="40"/>
  <c r="H23" i="40"/>
  <c r="L23" i="40"/>
  <c r="P23" i="40"/>
  <c r="T23" i="40"/>
  <c r="X23" i="40"/>
  <c r="I23" i="40"/>
  <c r="M23" i="40"/>
  <c r="Q23" i="40"/>
  <c r="U23" i="40"/>
  <c r="Y23" i="40"/>
  <c r="G16" i="40"/>
  <c r="H16" i="40"/>
  <c r="L16" i="40"/>
  <c r="P16" i="40"/>
  <c r="T16" i="40"/>
  <c r="X16" i="40"/>
  <c r="I16" i="40"/>
  <c r="M16" i="40"/>
  <c r="Q16" i="40"/>
  <c r="U16" i="40"/>
  <c r="Y16" i="40"/>
  <c r="J16" i="40"/>
  <c r="N16" i="40"/>
  <c r="R16" i="40"/>
  <c r="V16" i="40"/>
  <c r="K16" i="40"/>
  <c r="O16" i="40"/>
  <c r="S16" i="40"/>
  <c r="W16" i="40"/>
  <c r="G22" i="40"/>
  <c r="H22" i="40"/>
  <c r="L22" i="40"/>
  <c r="P22" i="40"/>
  <c r="T22" i="40"/>
  <c r="X22" i="40"/>
  <c r="I22" i="40"/>
  <c r="M22" i="40"/>
  <c r="Q22" i="40"/>
  <c r="U22" i="40"/>
  <c r="Y22" i="40"/>
  <c r="J22" i="40"/>
  <c r="N22" i="40"/>
  <c r="R22" i="40"/>
  <c r="V22" i="40"/>
  <c r="K22" i="40"/>
  <c r="O22" i="40"/>
  <c r="S22" i="40"/>
  <c r="W22" i="40"/>
  <c r="G19" i="40"/>
  <c r="J19" i="40"/>
  <c r="N19" i="40"/>
  <c r="R19" i="40"/>
  <c r="V19" i="40"/>
  <c r="K19" i="40"/>
  <c r="O19" i="40"/>
  <c r="S19" i="40"/>
  <c r="W19" i="40"/>
  <c r="H19" i="40"/>
  <c r="L19" i="40"/>
  <c r="P19" i="40"/>
  <c r="T19" i="40"/>
  <c r="X19" i="40"/>
  <c r="I19" i="40"/>
  <c r="M19" i="40"/>
  <c r="Q19" i="40"/>
  <c r="U19" i="40"/>
  <c r="Y19" i="40"/>
  <c r="J15" i="40"/>
  <c r="N15" i="40"/>
  <c r="R15" i="40"/>
  <c r="V15" i="40"/>
  <c r="K15" i="40"/>
  <c r="O15" i="40"/>
  <c r="S15" i="40"/>
  <c r="W15" i="40"/>
  <c r="H15" i="40"/>
  <c r="L15" i="40"/>
  <c r="P15" i="40"/>
  <c r="T15" i="40"/>
  <c r="X15" i="40"/>
  <c r="I15" i="40"/>
  <c r="M15" i="40"/>
  <c r="Q15" i="40"/>
  <c r="U15" i="40"/>
  <c r="Y15" i="40"/>
  <c r="G21" i="40"/>
  <c r="J21" i="40"/>
  <c r="N21" i="40"/>
  <c r="R21" i="40"/>
  <c r="V21" i="40"/>
  <c r="K21" i="40"/>
  <c r="O21" i="40"/>
  <c r="S21" i="40"/>
  <c r="W21" i="40"/>
  <c r="H21" i="40"/>
  <c r="L21" i="40"/>
  <c r="P21" i="40"/>
  <c r="T21" i="40"/>
  <c r="X21" i="40"/>
  <c r="I21" i="40"/>
  <c r="M21" i="40"/>
  <c r="Q21" i="40"/>
  <c r="U21" i="40"/>
  <c r="Y21" i="40"/>
  <c r="G18" i="40"/>
  <c r="H18" i="40"/>
  <c r="L18" i="40"/>
  <c r="P18" i="40"/>
  <c r="T18" i="40"/>
  <c r="X18" i="40"/>
  <c r="I18" i="40"/>
  <c r="M18" i="40"/>
  <c r="Q18" i="40"/>
  <c r="U18" i="40"/>
  <c r="Y18" i="40"/>
  <c r="J18" i="40"/>
  <c r="N18" i="40"/>
  <c r="R18" i="40"/>
  <c r="V18" i="40"/>
  <c r="K18" i="40"/>
  <c r="O18" i="40"/>
  <c r="S18" i="40"/>
  <c r="W18" i="40"/>
  <c r="G20" i="40"/>
  <c r="H20" i="40"/>
  <c r="L20" i="40"/>
  <c r="P20" i="40"/>
  <c r="T20" i="40"/>
  <c r="X20" i="40"/>
  <c r="I20" i="40"/>
  <c r="M20" i="40"/>
  <c r="Q20" i="40"/>
  <c r="U20" i="40"/>
  <c r="Y20" i="40"/>
  <c r="J20" i="40"/>
  <c r="N20" i="40"/>
  <c r="R20" i="40"/>
  <c r="V20" i="40"/>
  <c r="K20" i="40"/>
  <c r="O20" i="40"/>
  <c r="S20" i="40"/>
  <c r="W20" i="40"/>
  <c r="G17" i="40"/>
  <c r="J17" i="40"/>
  <c r="N17" i="40"/>
  <c r="R17" i="40"/>
  <c r="V17" i="40"/>
  <c r="K17" i="40"/>
  <c r="O17" i="40"/>
  <c r="S17" i="40"/>
  <c r="W17" i="40"/>
  <c r="H17" i="40"/>
  <c r="L17" i="40"/>
  <c r="P17" i="40"/>
  <c r="T17" i="40"/>
  <c r="X17" i="40"/>
  <c r="I17" i="40"/>
  <c r="M17" i="40"/>
  <c r="Q17" i="40"/>
  <c r="U17" i="40"/>
  <c r="Y17" i="40"/>
  <c r="H22" i="41"/>
  <c r="L22" i="41"/>
  <c r="P22" i="41"/>
  <c r="T22" i="41"/>
  <c r="X22" i="41"/>
  <c r="I22" i="41"/>
  <c r="M22" i="41"/>
  <c r="Q22" i="41"/>
  <c r="U22" i="41"/>
  <c r="Y22" i="41"/>
  <c r="J22" i="41"/>
  <c r="N22" i="41"/>
  <c r="R22" i="41"/>
  <c r="V22" i="41"/>
  <c r="K22" i="41"/>
  <c r="O22" i="41"/>
  <c r="S22" i="41"/>
  <c r="W22" i="41"/>
  <c r="G22" i="41"/>
  <c r="H20" i="41"/>
  <c r="L20" i="41"/>
  <c r="P20" i="41"/>
  <c r="T20" i="41"/>
  <c r="X20" i="41"/>
  <c r="I20" i="41"/>
  <c r="M20" i="41"/>
  <c r="Q20" i="41"/>
  <c r="U20" i="41"/>
  <c r="Y20" i="41"/>
  <c r="J20" i="41"/>
  <c r="N20" i="41"/>
  <c r="R20" i="41"/>
  <c r="V20" i="41"/>
  <c r="K20" i="41"/>
  <c r="O20" i="41"/>
  <c r="S20" i="41"/>
  <c r="W20" i="41"/>
  <c r="G20" i="41"/>
  <c r="J21" i="41"/>
  <c r="N21" i="41"/>
  <c r="R21" i="41"/>
  <c r="V21" i="41"/>
  <c r="K21" i="41"/>
  <c r="O21" i="41"/>
  <c r="S21" i="41"/>
  <c r="W21" i="41"/>
  <c r="H21" i="41"/>
  <c r="L21" i="41"/>
  <c r="P21" i="41"/>
  <c r="T21" i="41"/>
  <c r="X21" i="41"/>
  <c r="I21" i="41"/>
  <c r="M21" i="41"/>
  <c r="Q21" i="41"/>
  <c r="U21" i="41"/>
  <c r="Y21" i="41"/>
  <c r="G21" i="41"/>
  <c r="J23" i="41"/>
  <c r="N23" i="41"/>
  <c r="R23" i="41"/>
  <c r="V23" i="41"/>
  <c r="K23" i="41"/>
  <c r="O23" i="41"/>
  <c r="S23" i="41"/>
  <c r="W23" i="41"/>
  <c r="H23" i="41"/>
  <c r="L23" i="41"/>
  <c r="P23" i="41"/>
  <c r="T23" i="41"/>
  <c r="X23" i="41"/>
  <c r="I23" i="41"/>
  <c r="M23" i="41"/>
  <c r="Q23" i="41"/>
  <c r="U23" i="41"/>
  <c r="Y23" i="41"/>
  <c r="G23" i="41"/>
  <c r="J19" i="41"/>
  <c r="N19" i="41"/>
  <c r="R19" i="41"/>
  <c r="V19" i="41"/>
  <c r="K19" i="41"/>
  <c r="O19" i="41"/>
  <c r="S19" i="41"/>
  <c r="W19" i="41"/>
  <c r="H19" i="41"/>
  <c r="L19" i="41"/>
  <c r="P19" i="41"/>
  <c r="T19" i="41"/>
  <c r="X19" i="41"/>
  <c r="I19" i="41"/>
  <c r="M19" i="41"/>
  <c r="Q19" i="41"/>
  <c r="U19" i="41"/>
  <c r="Y19" i="41"/>
  <c r="G19" i="41"/>
  <c r="H18" i="41"/>
  <c r="L18" i="41"/>
  <c r="P18" i="41"/>
  <c r="T18" i="41"/>
  <c r="X18" i="41"/>
  <c r="I18" i="41"/>
  <c r="M18" i="41"/>
  <c r="Q18" i="41"/>
  <c r="U18" i="41"/>
  <c r="Y18" i="41"/>
  <c r="J18" i="41"/>
  <c r="N18" i="41"/>
  <c r="R18" i="41"/>
  <c r="V18" i="41"/>
  <c r="K18" i="41"/>
  <c r="O18" i="41"/>
  <c r="S18" i="41"/>
  <c r="W18" i="41"/>
  <c r="G18" i="41"/>
  <c r="S16" i="41"/>
  <c r="H16" i="41"/>
  <c r="L16" i="41"/>
  <c r="P16" i="41"/>
  <c r="T16" i="41"/>
  <c r="X16" i="41"/>
  <c r="I16" i="41"/>
  <c r="M16" i="41"/>
  <c r="Q16" i="41"/>
  <c r="U16" i="41"/>
  <c r="Y16" i="41"/>
  <c r="J16" i="41"/>
  <c r="N16" i="41"/>
  <c r="R16" i="41"/>
  <c r="V16" i="41"/>
  <c r="K16" i="41"/>
  <c r="O16" i="41"/>
  <c r="W16" i="41"/>
  <c r="G16" i="41"/>
  <c r="J17" i="41"/>
  <c r="N17" i="41"/>
  <c r="R17" i="41"/>
  <c r="V17" i="41"/>
  <c r="K17" i="41"/>
  <c r="O17" i="41"/>
  <c r="S17" i="41"/>
  <c r="W17" i="41"/>
  <c r="H17" i="41"/>
  <c r="L17" i="41"/>
  <c r="P17" i="41"/>
  <c r="T17" i="41"/>
  <c r="X17" i="41"/>
  <c r="I17" i="41"/>
  <c r="M17" i="41"/>
  <c r="Q17" i="41"/>
  <c r="U17" i="41"/>
  <c r="Y17" i="41"/>
  <c r="G17" i="41"/>
  <c r="G15" i="41"/>
  <c r="H15" i="41"/>
  <c r="I15" i="41"/>
  <c r="Q15" i="41"/>
  <c r="Y15" i="41"/>
  <c r="J15" i="41"/>
  <c r="N15" i="41"/>
  <c r="R15" i="41"/>
  <c r="V15" i="41"/>
  <c r="K15" i="41"/>
  <c r="O15" i="41"/>
  <c r="S15" i="41"/>
  <c r="W15" i="41"/>
  <c r="P15" i="41"/>
  <c r="T15" i="41"/>
  <c r="X15" i="41"/>
  <c r="L15" i="41"/>
  <c r="M15" i="41"/>
  <c r="U15" i="41"/>
  <c r="G30" i="42"/>
  <c r="J30" i="42"/>
  <c r="H30" i="42"/>
  <c r="I30" i="42"/>
  <c r="Y30" i="42"/>
  <c r="G26" i="42"/>
  <c r="J26" i="42"/>
  <c r="H26" i="42"/>
  <c r="I26" i="42"/>
  <c r="Y26" i="42"/>
  <c r="G29" i="42"/>
  <c r="I29" i="42"/>
  <c r="Y29" i="42"/>
  <c r="H29" i="42"/>
  <c r="J29" i="42"/>
  <c r="G25" i="42"/>
  <c r="H25" i="42"/>
  <c r="I25" i="42"/>
  <c r="Y25" i="42"/>
  <c r="J25" i="42"/>
  <c r="G28" i="42"/>
  <c r="J28" i="42"/>
  <c r="H28" i="42"/>
  <c r="I28" i="42"/>
  <c r="Y28" i="42"/>
  <c r="G21" i="42"/>
  <c r="I21" i="42"/>
  <c r="Y21" i="42"/>
  <c r="H21" i="42"/>
  <c r="J21" i="42"/>
  <c r="G17" i="42"/>
  <c r="I17" i="42"/>
  <c r="Y17" i="42"/>
  <c r="J17" i="42"/>
  <c r="H17" i="42"/>
  <c r="G20" i="42"/>
  <c r="J20" i="42"/>
  <c r="H20" i="42"/>
  <c r="I20" i="42"/>
  <c r="Y20" i="42"/>
  <c r="G16" i="42"/>
  <c r="J16" i="42"/>
  <c r="H16" i="42"/>
  <c r="I16" i="42"/>
  <c r="Y16" i="42"/>
  <c r="G27" i="42"/>
  <c r="H27" i="42"/>
  <c r="I27" i="42"/>
  <c r="Y27" i="42"/>
  <c r="J27" i="42"/>
  <c r="G23" i="42"/>
  <c r="I23" i="42"/>
  <c r="Y23" i="42"/>
  <c r="H23" i="42"/>
  <c r="J23" i="42"/>
  <c r="G19" i="42"/>
  <c r="I19" i="42"/>
  <c r="Y19" i="42"/>
  <c r="J19" i="42"/>
  <c r="H19" i="42"/>
  <c r="G22" i="42"/>
  <c r="H22" i="42"/>
  <c r="J22" i="42"/>
  <c r="I22" i="42"/>
  <c r="Y22" i="42"/>
  <c r="G18" i="42"/>
  <c r="J18" i="42"/>
  <c r="H18" i="42"/>
  <c r="I18" i="42"/>
  <c r="Y18" i="42"/>
  <c r="G24" i="42"/>
  <c r="J24" i="42"/>
  <c r="H24" i="42"/>
  <c r="I24" i="42"/>
  <c r="Y24" i="42"/>
  <c r="J15" i="42"/>
  <c r="H15" i="42"/>
  <c r="I15" i="42"/>
  <c r="Y15" i="42"/>
  <c r="G39" i="44"/>
  <c r="H17" i="44"/>
  <c r="I16" i="44"/>
  <c r="G40" i="44"/>
  <c r="G37" i="44"/>
  <c r="G34" i="44"/>
  <c r="J41" i="44"/>
  <c r="J31" i="44"/>
  <c r="J29" i="44"/>
  <c r="J43" i="44"/>
  <c r="H34" i="44"/>
  <c r="H39" i="44"/>
  <c r="I39" i="44"/>
  <c r="I25" i="44"/>
  <c r="H27" i="44"/>
  <c r="H32" i="44"/>
  <c r="J28" i="44"/>
  <c r="H19" i="44"/>
  <c r="G23" i="44"/>
  <c r="G17" i="44"/>
  <c r="G22" i="44"/>
  <c r="G27" i="44"/>
  <c r="J33" i="44"/>
  <c r="J23" i="44"/>
  <c r="J21" i="44"/>
  <c r="H40" i="44"/>
  <c r="I37" i="44"/>
  <c r="I42" i="44"/>
  <c r="I20" i="44"/>
  <c r="H30" i="44"/>
  <c r="I30" i="44"/>
  <c r="I35" i="44"/>
  <c r="H31" i="44"/>
  <c r="G20" i="44"/>
  <c r="G24" i="44"/>
  <c r="G21" i="44"/>
  <c r="H37" i="44"/>
  <c r="G42" i="44"/>
  <c r="J25" i="44"/>
  <c r="J15" i="44"/>
  <c r="J40" i="44"/>
  <c r="J27" i="44"/>
  <c r="H42" i="44"/>
  <c r="I15" i="44"/>
  <c r="H25" i="44"/>
  <c r="I33" i="44"/>
  <c r="H35" i="44"/>
  <c r="H16" i="44"/>
  <c r="G26" i="44"/>
  <c r="H41" i="44"/>
  <c r="H15" i="44"/>
  <c r="G25" i="44"/>
  <c r="G30" i="44"/>
  <c r="G35" i="44"/>
  <c r="J19" i="44"/>
  <c r="J17" i="44"/>
  <c r="J42" i="44"/>
  <c r="J32" i="44"/>
  <c r="I40" i="44"/>
  <c r="I18" i="44"/>
  <c r="H20" i="44"/>
  <c r="I28" i="44"/>
  <c r="H38" i="44"/>
  <c r="I38" i="44"/>
  <c r="G15" i="44"/>
  <c r="G28" i="44"/>
  <c r="I24" i="44"/>
  <c r="H21" i="44"/>
  <c r="G18" i="44"/>
  <c r="I43" i="44"/>
  <c r="J20" i="44"/>
  <c r="J34" i="44"/>
  <c r="J24" i="44"/>
  <c r="H18" i="44"/>
  <c r="H23" i="44"/>
  <c r="I23" i="44"/>
  <c r="H33" i="44"/>
  <c r="I41" i="44"/>
  <c r="H43" i="44"/>
  <c r="G36" i="44"/>
  <c r="H26" i="44"/>
  <c r="G33" i="44"/>
  <c r="G38" i="44"/>
  <c r="G43" i="44"/>
  <c r="G32" i="44"/>
  <c r="G29" i="44"/>
  <c r="J38" i="44"/>
  <c r="J36" i="44"/>
  <c r="J26" i="44"/>
  <c r="J16" i="44"/>
  <c r="I21" i="44"/>
  <c r="I26" i="44"/>
  <c r="H28" i="44"/>
  <c r="I36" i="44"/>
  <c r="I17" i="44"/>
  <c r="I19" i="44"/>
  <c r="G31" i="44"/>
  <c r="J18" i="44"/>
  <c r="H24" i="44"/>
  <c r="G41" i="44"/>
  <c r="G19" i="44"/>
  <c r="G16" i="44"/>
  <c r="I32" i="44"/>
  <c r="H29" i="44"/>
  <c r="J22" i="44"/>
  <c r="J39" i="44"/>
  <c r="J37" i="44"/>
  <c r="J35" i="44"/>
  <c r="I29" i="44"/>
  <c r="I34" i="44"/>
  <c r="H36" i="44"/>
  <c r="H22" i="44"/>
  <c r="I22" i="44"/>
  <c r="I27" i="44"/>
  <c r="J30" i="44"/>
  <c r="I31" i="44"/>
  <c r="L14" i="44" l="1"/>
  <c r="J14" i="43"/>
  <c r="E2" i="11"/>
  <c r="B2" i="11"/>
  <c r="F2" i="11"/>
  <c r="E3" i="11"/>
  <c r="D4" i="11"/>
  <c r="C5" i="11"/>
  <c r="C3" i="11"/>
  <c r="F4" i="11"/>
  <c r="D3" i="11"/>
  <c r="C4" i="11"/>
  <c r="F5" i="11"/>
  <c r="C2" i="11"/>
  <c r="B3" i="11"/>
  <c r="F3" i="11"/>
  <c r="E4" i="11"/>
  <c r="D5" i="11"/>
  <c r="D2" i="11"/>
  <c r="B4" i="11"/>
  <c r="E5" i="11"/>
  <c r="B5" i="11"/>
  <c r="J8" i="1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K14" i="42"/>
  <c r="J14" i="40"/>
  <c r="Y42" i="43"/>
  <c r="I42" i="43"/>
  <c r="P42" i="43"/>
  <c r="W42" i="43"/>
  <c r="G42" i="43"/>
  <c r="U42" i="43"/>
  <c r="N42" i="43"/>
  <c r="L42" i="43"/>
  <c r="V42" i="43"/>
  <c r="Q42" i="43"/>
  <c r="H42" i="43"/>
  <c r="J42" i="43"/>
  <c r="T42" i="43"/>
  <c r="R42" i="43"/>
  <c r="S42" i="43"/>
  <c r="X42" i="43"/>
  <c r="O42" i="43"/>
  <c r="M42" i="43"/>
  <c r="K42" i="43"/>
  <c r="K15" i="42"/>
  <c r="K24" i="42"/>
  <c r="K18" i="42"/>
  <c r="K22" i="42"/>
  <c r="K19" i="42"/>
  <c r="K23" i="42"/>
  <c r="K27" i="42"/>
  <c r="K16" i="42"/>
  <c r="K20" i="42"/>
  <c r="K17" i="42"/>
  <c r="K21" i="42"/>
  <c r="K28" i="42"/>
  <c r="K25" i="42"/>
  <c r="K29" i="42"/>
  <c r="K26" i="42"/>
  <c r="K30" i="42"/>
  <c r="Y31" i="42"/>
  <c r="I31" i="42"/>
  <c r="G31" i="42"/>
  <c r="H31" i="42"/>
  <c r="J31" i="42"/>
  <c r="K31" i="42"/>
  <c r="G15" i="43"/>
  <c r="Y17" i="43"/>
  <c r="G19" i="43"/>
  <c r="G26" i="43"/>
  <c r="G34" i="43"/>
  <c r="Y16" i="43"/>
  <c r="Y24" i="43"/>
  <c r="Y29" i="43"/>
  <c r="Y37" i="43"/>
  <c r="Y21" i="43"/>
  <c r="G31" i="43"/>
  <c r="G39" i="43"/>
  <c r="Y32" i="43"/>
  <c r="Y40" i="43"/>
  <c r="I33" i="43"/>
  <c r="I36" i="43"/>
  <c r="I38" i="43"/>
  <c r="I21" i="43"/>
  <c r="I31" i="43"/>
  <c r="I16" i="43"/>
  <c r="H34" i="43"/>
  <c r="H37" i="43"/>
  <c r="H23" i="43"/>
  <c r="H21" i="43"/>
  <c r="H36" i="43"/>
  <c r="H28" i="43"/>
  <c r="H16" i="43"/>
  <c r="Y15" i="43"/>
  <c r="G17" i="43"/>
  <c r="Y19" i="43"/>
  <c r="Y26" i="43"/>
  <c r="Y34" i="43"/>
  <c r="G16" i="43"/>
  <c r="G24" i="43"/>
  <c r="G29" i="43"/>
  <c r="G37" i="43"/>
  <c r="G21" i="43"/>
  <c r="Y31" i="43"/>
  <c r="Y39" i="43"/>
  <c r="G32" i="43"/>
  <c r="G40" i="43"/>
  <c r="I29" i="43"/>
  <c r="I32" i="43"/>
  <c r="I34" i="43"/>
  <c r="I17" i="43"/>
  <c r="I27" i="43"/>
  <c r="I23" i="43"/>
  <c r="H30" i="43"/>
  <c r="H33" i="43"/>
  <c r="H19" i="43"/>
  <c r="H17" i="43"/>
  <c r="H35" i="43"/>
  <c r="H27" i="43"/>
  <c r="I18" i="43"/>
  <c r="Y18" i="43"/>
  <c r="Y22" i="43"/>
  <c r="G23" i="43"/>
  <c r="G30" i="43"/>
  <c r="G38" i="43"/>
  <c r="G20" i="43"/>
  <c r="Y25" i="43"/>
  <c r="Y33" i="43"/>
  <c r="Y41" i="43"/>
  <c r="G27" i="43"/>
  <c r="G35" i="43"/>
  <c r="Y28" i="43"/>
  <c r="Y36" i="43"/>
  <c r="I41" i="43"/>
  <c r="I25" i="43"/>
  <c r="I28" i="43"/>
  <c r="I30" i="43"/>
  <c r="I39" i="43"/>
  <c r="I24" i="43"/>
  <c r="I19" i="43"/>
  <c r="H26" i="43"/>
  <c r="H29" i="43"/>
  <c r="H22" i="43"/>
  <c r="H40" i="43"/>
  <c r="H32" i="43"/>
  <c r="H24" i="43"/>
  <c r="H15" i="43"/>
  <c r="I15" i="43"/>
  <c r="G18" i="43"/>
  <c r="G22" i="43"/>
  <c r="Y23" i="43"/>
  <c r="Y30" i="43"/>
  <c r="Y38" i="43"/>
  <c r="Y20" i="43"/>
  <c r="G25" i="43"/>
  <c r="G33" i="43"/>
  <c r="G41" i="43"/>
  <c r="Y27" i="43"/>
  <c r="Y35" i="43"/>
  <c r="G28" i="43"/>
  <c r="G36" i="43"/>
  <c r="I37" i="43"/>
  <c r="I40" i="43"/>
  <c r="I22" i="43"/>
  <c r="I26" i="43"/>
  <c r="I35" i="43"/>
  <c r="I20" i="43"/>
  <c r="H38" i="43"/>
  <c r="H41" i="43"/>
  <c r="H25" i="43"/>
  <c r="H18" i="43"/>
  <c r="H39" i="43"/>
  <c r="H31" i="43"/>
  <c r="H20" i="43"/>
  <c r="G15" i="40"/>
  <c r="B20" i="41"/>
  <c r="K41" i="44"/>
  <c r="K39" i="44"/>
  <c r="K37" i="44"/>
  <c r="K35" i="44"/>
  <c r="K33" i="44"/>
  <c r="K31" i="44"/>
  <c r="K29" i="44"/>
  <c r="K27" i="44"/>
  <c r="K25" i="44"/>
  <c r="K23" i="44"/>
  <c r="K21" i="44"/>
  <c r="K19" i="44"/>
  <c r="K17" i="44"/>
  <c r="K40" i="44"/>
  <c r="K38" i="44"/>
  <c r="K36" i="44"/>
  <c r="K42" i="44"/>
  <c r="K32" i="44"/>
  <c r="K22" i="44"/>
  <c r="K43" i="44"/>
  <c r="K28" i="44"/>
  <c r="K34" i="44"/>
  <c r="K24" i="44"/>
  <c r="K30" i="44"/>
  <c r="K18" i="44"/>
  <c r="K20" i="44"/>
  <c r="K26" i="44"/>
  <c r="K16" i="44"/>
  <c r="K15" i="44"/>
  <c r="M14" i="44" l="1"/>
  <c r="K14" i="43"/>
  <c r="L14" i="42"/>
  <c r="K14" i="40"/>
  <c r="L31" i="42"/>
  <c r="L15" i="42"/>
  <c r="L24" i="42"/>
  <c r="L18" i="42"/>
  <c r="L22" i="42"/>
  <c r="L19" i="42"/>
  <c r="L23" i="42"/>
  <c r="L27" i="42"/>
  <c r="L16" i="42"/>
  <c r="L20" i="42"/>
  <c r="L17" i="42"/>
  <c r="L21" i="42"/>
  <c r="L28" i="42"/>
  <c r="L25" i="42"/>
  <c r="L29" i="42"/>
  <c r="L26" i="42"/>
  <c r="L30" i="42"/>
  <c r="J40" i="43"/>
  <c r="J39" i="43"/>
  <c r="J38" i="43"/>
  <c r="J21" i="43"/>
  <c r="J23" i="43"/>
  <c r="J33" i="43"/>
  <c r="J36" i="43"/>
  <c r="J35" i="43"/>
  <c r="J34" i="43"/>
  <c r="J24" i="43"/>
  <c r="J19" i="43"/>
  <c r="J29" i="43"/>
  <c r="J17" i="43"/>
  <c r="J32" i="43"/>
  <c r="J31" i="43"/>
  <c r="J30" i="43"/>
  <c r="J20" i="43"/>
  <c r="J25" i="43"/>
  <c r="J18" i="43"/>
  <c r="J28" i="43"/>
  <c r="J27" i="43"/>
  <c r="J26" i="43"/>
  <c r="J16" i="43"/>
  <c r="J22" i="43"/>
  <c r="J15" i="43"/>
  <c r="J41" i="43"/>
  <c r="J37" i="43"/>
  <c r="L36" i="44"/>
  <c r="L42" i="44"/>
  <c r="L32" i="44"/>
  <c r="L30" i="44"/>
  <c r="L15" i="44"/>
  <c r="L28" i="44"/>
  <c r="L34" i="44"/>
  <c r="L24" i="44"/>
  <c r="L22" i="44"/>
  <c r="L40" i="44"/>
  <c r="L20" i="44"/>
  <c r="L26" i="44"/>
  <c r="L16" i="44"/>
  <c r="L41" i="44"/>
  <c r="L19" i="44"/>
  <c r="L18" i="44"/>
  <c r="L43" i="44"/>
  <c r="L33" i="44"/>
  <c r="L25" i="44"/>
  <c r="L39" i="44"/>
  <c r="L37" i="44"/>
  <c r="L35" i="44"/>
  <c r="L17" i="44"/>
  <c r="L38" i="44"/>
  <c r="L31" i="44"/>
  <c r="L29" i="44"/>
  <c r="L27" i="44"/>
  <c r="L23" i="44"/>
  <c r="L21" i="44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M31" i="42"/>
  <c r="M15" i="42"/>
  <c r="M24" i="42"/>
  <c r="M18" i="42"/>
  <c r="M22" i="42"/>
  <c r="M19" i="42"/>
  <c r="M23" i="42"/>
  <c r="M27" i="42"/>
  <c r="M16" i="42"/>
  <c r="M20" i="42"/>
  <c r="M17" i="42"/>
  <c r="M21" i="42"/>
  <c r="M28" i="42"/>
  <c r="M25" i="42"/>
  <c r="M29" i="42"/>
  <c r="M26" i="42"/>
  <c r="M30" i="42"/>
  <c r="K39" i="43"/>
  <c r="K38" i="43"/>
  <c r="K24" i="43"/>
  <c r="K15" i="43"/>
  <c r="K35" i="43"/>
  <c r="K34" i="43"/>
  <c r="K20" i="43"/>
  <c r="K41" i="43"/>
  <c r="K33" i="43"/>
  <c r="K25" i="43"/>
  <c r="K17" i="43"/>
  <c r="K30" i="43"/>
  <c r="K23" i="43"/>
  <c r="K40" i="43"/>
  <c r="K22" i="43"/>
  <c r="K16" i="43"/>
  <c r="K27" i="43"/>
  <c r="K26" i="43"/>
  <c r="K19" i="43"/>
  <c r="K37" i="43"/>
  <c r="K29" i="43"/>
  <c r="K18" i="43"/>
  <c r="K36" i="43"/>
  <c r="K28" i="43"/>
  <c r="K21" i="43"/>
  <c r="K31" i="43"/>
  <c r="K32" i="43"/>
  <c r="C18" i="37"/>
  <c r="H26" i="39"/>
  <c r="H18" i="39"/>
  <c r="G18" i="37"/>
  <c r="D18" i="39"/>
  <c r="G26" i="39"/>
  <c r="D18" i="37"/>
  <c r="H18" i="37"/>
  <c r="C26" i="39"/>
  <c r="G18" i="39"/>
  <c r="F26" i="39"/>
  <c r="D26" i="39"/>
  <c r="C18" i="39"/>
  <c r="E18" i="37"/>
  <c r="F18" i="37"/>
  <c r="F18" i="39"/>
  <c r="E18" i="39"/>
  <c r="E26" i="39"/>
  <c r="M39" i="44"/>
  <c r="M37" i="44"/>
  <c r="M43" i="44"/>
  <c r="M33" i="44"/>
  <c r="M31" i="44"/>
  <c r="M29" i="44"/>
  <c r="M35" i="44"/>
  <c r="M25" i="44"/>
  <c r="M23" i="44"/>
  <c r="M21" i="44"/>
  <c r="M27" i="44"/>
  <c r="M17" i="44"/>
  <c r="M41" i="44"/>
  <c r="M15" i="44"/>
  <c r="M40" i="44"/>
  <c r="M19" i="44"/>
  <c r="M36" i="44"/>
  <c r="M42" i="44"/>
  <c r="M32" i="44"/>
  <c r="M38" i="44"/>
  <c r="M20" i="44"/>
  <c r="M34" i="44"/>
  <c r="M24" i="44"/>
  <c r="M30" i="44"/>
  <c r="M28" i="44"/>
  <c r="M26" i="44"/>
  <c r="M16" i="44"/>
  <c r="M22" i="44"/>
  <c r="M18" i="44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N31" i="42"/>
  <c r="N15" i="42"/>
  <c r="N24" i="42"/>
  <c r="N18" i="42"/>
  <c r="N22" i="42"/>
  <c r="N19" i="42"/>
  <c r="N23" i="42"/>
  <c r="N27" i="42"/>
  <c r="N16" i="42"/>
  <c r="N20" i="42"/>
  <c r="N17" i="42"/>
  <c r="N21" i="42"/>
  <c r="N28" i="42"/>
  <c r="N25" i="42"/>
  <c r="N29" i="42"/>
  <c r="N26" i="42"/>
  <c r="N30" i="42"/>
  <c r="L38" i="43"/>
  <c r="L41" i="43"/>
  <c r="L25" i="43"/>
  <c r="L39" i="43"/>
  <c r="L31" i="43"/>
  <c r="L18" i="43"/>
  <c r="L20" i="43"/>
  <c r="L37" i="43"/>
  <c r="L23" i="43"/>
  <c r="L36" i="43"/>
  <c r="L28" i="43"/>
  <c r="L21" i="43"/>
  <c r="L16" i="43"/>
  <c r="L33" i="43"/>
  <c r="L19" i="43"/>
  <c r="L35" i="43"/>
  <c r="L27" i="43"/>
  <c r="L17" i="43"/>
  <c r="L26" i="43"/>
  <c r="L29" i="43"/>
  <c r="L40" i="43"/>
  <c r="L32" i="43"/>
  <c r="L22" i="43"/>
  <c r="L24" i="43"/>
  <c r="L15" i="43"/>
  <c r="L34" i="43"/>
  <c r="L30" i="43"/>
  <c r="G17" i="38"/>
  <c r="H24" i="38"/>
  <c r="E17" i="39"/>
  <c r="F20" i="38"/>
  <c r="C22" i="38"/>
  <c r="F25" i="38"/>
  <c r="D15" i="38"/>
  <c r="H19" i="38"/>
  <c r="H17" i="39"/>
  <c r="F23" i="38"/>
  <c r="H17" i="37"/>
  <c r="H14" i="38"/>
  <c r="D22" i="38"/>
  <c r="G17" i="37"/>
  <c r="G23" i="38"/>
  <c r="G19" i="38"/>
  <c r="F18" i="38"/>
  <c r="D24" i="38"/>
  <c r="E26" i="37"/>
  <c r="D18" i="38"/>
  <c r="F17" i="38"/>
  <c r="F21" i="38"/>
  <c r="H26" i="37"/>
  <c r="C14" i="38"/>
  <c r="F15" i="38"/>
  <c r="H18" i="38"/>
  <c r="D17" i="39"/>
  <c r="F26" i="37"/>
  <c r="F19" i="38"/>
  <c r="G21" i="38"/>
  <c r="G13" i="38"/>
  <c r="H22" i="38"/>
  <c r="H13" i="38"/>
  <c r="D19" i="38"/>
  <c r="G26" i="37"/>
  <c r="E25" i="38"/>
  <c r="H15" i="38"/>
  <c r="C15" i="38"/>
  <c r="C17" i="38"/>
  <c r="H20" i="38"/>
  <c r="C20" i="38"/>
  <c r="E17" i="38"/>
  <c r="C17" i="39"/>
  <c r="H25" i="38"/>
  <c r="D26" i="37"/>
  <c r="H23" i="38"/>
  <c r="E20" i="38"/>
  <c r="G16" i="38"/>
  <c r="G25" i="38"/>
  <c r="E21" i="38"/>
  <c r="E16" i="38"/>
  <c r="H21" i="38"/>
  <c r="C13" i="38"/>
  <c r="H16" i="38"/>
  <c r="G17" i="39"/>
  <c r="F22" i="38"/>
  <c r="C23" i="38"/>
  <c r="C26" i="37"/>
  <c r="D13" i="38"/>
  <c r="G15" i="38"/>
  <c r="G14" i="38"/>
  <c r="E24" i="38"/>
  <c r="C24" i="38"/>
  <c r="C18" i="38"/>
  <c r="D21" i="38"/>
  <c r="G22" i="38"/>
  <c r="E13" i="38"/>
  <c r="D17" i="38"/>
  <c r="D20" i="38"/>
  <c r="C16" i="38"/>
  <c r="F16" i="38"/>
  <c r="G20" i="38"/>
  <c r="E22" i="38"/>
  <c r="E18" i="38"/>
  <c r="H17" i="38"/>
  <c r="F24" i="38"/>
  <c r="D23" i="38"/>
  <c r="D16" i="38"/>
  <c r="G24" i="38"/>
  <c r="E15" i="38"/>
  <c r="G18" i="38"/>
  <c r="E19" i="38"/>
  <c r="F17" i="39"/>
  <c r="E23" i="38"/>
  <c r="F13" i="38"/>
  <c r="D14" i="38"/>
  <c r="D25" i="38"/>
  <c r="C21" i="38"/>
  <c r="C25" i="38"/>
  <c r="F14" i="38"/>
  <c r="E14" i="38"/>
  <c r="C19" i="38"/>
  <c r="N42" i="44"/>
  <c r="N38" i="44"/>
  <c r="N28" i="44"/>
  <c r="N23" i="44"/>
  <c r="N34" i="44"/>
  <c r="N40" i="44"/>
  <c r="N30" i="44"/>
  <c r="N20" i="44"/>
  <c r="N19" i="44"/>
  <c r="N26" i="44"/>
  <c r="N32" i="44"/>
  <c r="N22" i="44"/>
  <c r="N39" i="44"/>
  <c r="N18" i="44"/>
  <c r="N24" i="44"/>
  <c r="N41" i="44"/>
  <c r="N15" i="44"/>
  <c r="N36" i="44"/>
  <c r="N37" i="44"/>
  <c r="N43" i="44"/>
  <c r="N33" i="44"/>
  <c r="N31" i="44"/>
  <c r="N29" i="44"/>
  <c r="N35" i="44"/>
  <c r="N25" i="44"/>
  <c r="N21" i="44"/>
  <c r="N27" i="44"/>
  <c r="N17" i="44"/>
  <c r="N16" i="44"/>
  <c r="P14" i="44" l="1"/>
  <c r="N14" i="43"/>
  <c r="O14" i="42"/>
  <c r="N14" i="40"/>
  <c r="D23" i="39"/>
  <c r="D29" i="39" s="1"/>
  <c r="G27" i="37"/>
  <c r="G30" i="37" s="1"/>
  <c r="G33" i="37" s="1"/>
  <c r="E23" i="39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E29" i="39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O31" i="42"/>
  <c r="O15" i="42"/>
  <c r="O24" i="42"/>
  <c r="O18" i="42"/>
  <c r="O22" i="42"/>
  <c r="O19" i="42"/>
  <c r="O23" i="42"/>
  <c r="O27" i="42"/>
  <c r="O16" i="42"/>
  <c r="O20" i="42"/>
  <c r="O17" i="42"/>
  <c r="O21" i="42"/>
  <c r="O28" i="42"/>
  <c r="O25" i="42"/>
  <c r="O29" i="42"/>
  <c r="O26" i="42"/>
  <c r="O30" i="42"/>
  <c r="M41" i="43"/>
  <c r="M25" i="43"/>
  <c r="M28" i="43"/>
  <c r="M27" i="43"/>
  <c r="M24" i="43"/>
  <c r="M34" i="43"/>
  <c r="M19" i="43"/>
  <c r="M20" i="43"/>
  <c r="M15" i="43"/>
  <c r="M35" i="43"/>
  <c r="M21" i="43"/>
  <c r="M29" i="43"/>
  <c r="M31" i="43"/>
  <c r="M23" i="43"/>
  <c r="M37" i="43"/>
  <c r="M40" i="43"/>
  <c r="M39" i="43"/>
  <c r="M22" i="43"/>
  <c r="M30" i="43"/>
  <c r="M36" i="43"/>
  <c r="M16" i="43"/>
  <c r="M32" i="43"/>
  <c r="M17" i="43"/>
  <c r="M18" i="43"/>
  <c r="M33" i="43"/>
  <c r="M26" i="43"/>
  <c r="M38" i="43"/>
  <c r="G34" i="39"/>
  <c r="H34" i="39"/>
  <c r="F17" i="37"/>
  <c r="E34" i="39"/>
  <c r="D17" i="37"/>
  <c r="F34" i="39"/>
  <c r="C17" i="37"/>
  <c r="E17" i="37"/>
  <c r="G15" i="36"/>
  <c r="H15" i="36"/>
  <c r="C34" i="39"/>
  <c r="D34" i="39"/>
  <c r="O37" i="44"/>
  <c r="O43" i="44"/>
  <c r="O33" i="44"/>
  <c r="O23" i="44"/>
  <c r="O39" i="44"/>
  <c r="O29" i="44"/>
  <c r="O35" i="44"/>
  <c r="O25" i="44"/>
  <c r="O15" i="44"/>
  <c r="O16" i="44"/>
  <c r="O21" i="44"/>
  <c r="O27" i="44"/>
  <c r="O17" i="44"/>
  <c r="O34" i="44"/>
  <c r="O18" i="44"/>
  <c r="O41" i="44"/>
  <c r="O40" i="44"/>
  <c r="O19" i="44"/>
  <c r="O36" i="44"/>
  <c r="O42" i="44"/>
  <c r="O26" i="44"/>
  <c r="O22" i="44"/>
  <c r="O32" i="44"/>
  <c r="O38" i="44"/>
  <c r="O28" i="44"/>
  <c r="O31" i="44"/>
  <c r="O24" i="44"/>
  <c r="O30" i="44"/>
  <c r="O20" i="44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6" i="36"/>
  <c r="G19" i="36" s="1"/>
  <c r="G18" i="36"/>
  <c r="H18" i="36"/>
  <c r="H16" i="36"/>
  <c r="H19" i="36" s="1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P31" i="42"/>
  <c r="P15" i="42"/>
  <c r="P24" i="42"/>
  <c r="P18" i="42"/>
  <c r="P22" i="42"/>
  <c r="P19" i="42"/>
  <c r="P23" i="42"/>
  <c r="P27" i="42"/>
  <c r="P16" i="42"/>
  <c r="P20" i="42"/>
  <c r="P17" i="42"/>
  <c r="P21" i="42"/>
  <c r="P28" i="42"/>
  <c r="P25" i="42"/>
  <c r="P29" i="42"/>
  <c r="P26" i="42"/>
  <c r="P30" i="42"/>
  <c r="N40" i="43"/>
  <c r="N39" i="43"/>
  <c r="N21" i="43"/>
  <c r="N29" i="43"/>
  <c r="N16" i="43"/>
  <c r="N26" i="43"/>
  <c r="N17" i="43"/>
  <c r="N36" i="43"/>
  <c r="N35" i="43"/>
  <c r="N41" i="43"/>
  <c r="N25" i="43"/>
  <c r="N38" i="43"/>
  <c r="N23" i="43"/>
  <c r="N15" i="43"/>
  <c r="N37" i="43"/>
  <c r="N34" i="43"/>
  <c r="N33" i="43"/>
  <c r="N30" i="43"/>
  <c r="N18" i="43"/>
  <c r="N32" i="43"/>
  <c r="N31" i="43"/>
  <c r="N24" i="43"/>
  <c r="N19" i="43"/>
  <c r="N27" i="43"/>
  <c r="N20" i="43"/>
  <c r="N22" i="43"/>
  <c r="N28" i="43"/>
  <c r="C15" i="36"/>
  <c r="H15" i="35"/>
  <c r="E15" i="36"/>
  <c r="F15" i="36"/>
  <c r="D15" i="36"/>
  <c r="C15" i="34"/>
  <c r="D15" i="34"/>
  <c r="P40" i="44"/>
  <c r="P19" i="44"/>
  <c r="P36" i="44"/>
  <c r="P34" i="44"/>
  <c r="P15" i="44"/>
  <c r="P32" i="44"/>
  <c r="P38" i="44"/>
  <c r="P28" i="44"/>
  <c r="P26" i="44"/>
  <c r="P35" i="44"/>
  <c r="P24" i="44"/>
  <c r="P30" i="44"/>
  <c r="P20" i="44"/>
  <c r="P18" i="44"/>
  <c r="P17" i="44"/>
  <c r="P16" i="44"/>
  <c r="P22" i="44"/>
  <c r="P39" i="44"/>
  <c r="P37" i="44"/>
  <c r="P25" i="44"/>
  <c r="P41" i="44"/>
  <c r="P31" i="44"/>
  <c r="P29" i="44"/>
  <c r="P42" i="44"/>
  <c r="P43" i="44"/>
  <c r="P33" i="44"/>
  <c r="P23" i="44"/>
  <c r="P21" i="44"/>
  <c r="P27" i="44"/>
  <c r="R14" i="44" l="1"/>
  <c r="P14" i="43"/>
  <c r="Q14" i="42"/>
  <c r="P14" i="40"/>
  <c r="D18" i="34"/>
  <c r="C18" i="34"/>
  <c r="C23" i="34" s="1"/>
  <c r="F16" i="36"/>
  <c r="F19" i="36" s="1"/>
  <c r="F24" i="36" s="1"/>
  <c r="F27" i="36" s="1"/>
  <c r="F18" i="36"/>
  <c r="F21" i="36" s="1"/>
  <c r="E16" i="36"/>
  <c r="E19" i="36" s="1"/>
  <c r="E24" i="36" s="1"/>
  <c r="E27" i="36" s="1"/>
  <c r="E18" i="36"/>
  <c r="E21" i="36" s="1"/>
  <c r="D16" i="36"/>
  <c r="D19" i="36" s="1"/>
  <c r="D24" i="36" s="1"/>
  <c r="D27" i="36" s="1"/>
  <c r="D18" i="36"/>
  <c r="D20" i="36" s="1"/>
  <c r="C18" i="36"/>
  <c r="C21" i="36" s="1"/>
  <c r="C16" i="36"/>
  <c r="C19" i="36" s="1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6" i="35"/>
  <c r="H19" i="35" s="1"/>
  <c r="H17" i="35"/>
  <c r="H22" i="35" s="1"/>
  <c r="C14" i="35"/>
  <c r="D14" i="35"/>
  <c r="E14" i="35"/>
  <c r="F14" i="35"/>
  <c r="G14" i="35"/>
  <c r="C16" i="34"/>
  <c r="C19" i="34" s="1"/>
  <c r="D16" i="34"/>
  <c r="D19" i="34" s="1"/>
  <c r="I23" i="30"/>
  <c r="H23" i="30"/>
  <c r="G23" i="30"/>
  <c r="F23" i="30"/>
  <c r="E23" i="30"/>
  <c r="D23" i="30"/>
  <c r="C23" i="30"/>
  <c r="Q31" i="42"/>
  <c r="Q15" i="42"/>
  <c r="Q24" i="42"/>
  <c r="Q18" i="42"/>
  <c r="Q22" i="42"/>
  <c r="Q19" i="42"/>
  <c r="Q23" i="42"/>
  <c r="Q27" i="42"/>
  <c r="Q16" i="42"/>
  <c r="Q20" i="42"/>
  <c r="Q17" i="42"/>
  <c r="Q21" i="42"/>
  <c r="Q28" i="42"/>
  <c r="Q25" i="42"/>
  <c r="Q29" i="42"/>
  <c r="Q26" i="42"/>
  <c r="Q30" i="42"/>
  <c r="O39" i="43"/>
  <c r="O38" i="43"/>
  <c r="O41" i="43"/>
  <c r="O33" i="43"/>
  <c r="O25" i="43"/>
  <c r="O19" i="43"/>
  <c r="O21" i="43"/>
  <c r="O30" i="43"/>
  <c r="O37" i="43"/>
  <c r="O20" i="43"/>
  <c r="O16" i="43"/>
  <c r="O26" i="43"/>
  <c r="O28" i="43"/>
  <c r="O18" i="43"/>
  <c r="O35" i="43"/>
  <c r="O34" i="43"/>
  <c r="O40" i="43"/>
  <c r="O32" i="43"/>
  <c r="O24" i="43"/>
  <c r="O15" i="43"/>
  <c r="O17" i="43"/>
  <c r="O31" i="43"/>
  <c r="O29" i="43"/>
  <c r="O22" i="43"/>
  <c r="O27" i="43"/>
  <c r="O36" i="43"/>
  <c r="O23" i="43"/>
  <c r="F15" i="34"/>
  <c r="G15" i="34"/>
  <c r="E15" i="35"/>
  <c r="D15" i="35"/>
  <c r="C15" i="35"/>
  <c r="G15" i="35"/>
  <c r="F15" i="35"/>
  <c r="H15" i="34"/>
  <c r="E15" i="34"/>
  <c r="Q43" i="44"/>
  <c r="Q33" i="44"/>
  <c r="Q23" i="44"/>
  <c r="Q21" i="44"/>
  <c r="Q35" i="44"/>
  <c r="Q25" i="44"/>
  <c r="Q15" i="44"/>
  <c r="Q40" i="44"/>
  <c r="Q27" i="44"/>
  <c r="Q17" i="44"/>
  <c r="Q42" i="44"/>
  <c r="Q24" i="44"/>
  <c r="Q39" i="44"/>
  <c r="Q19" i="44"/>
  <c r="Q36" i="44"/>
  <c r="Q34" i="44"/>
  <c r="Q16" i="44"/>
  <c r="Q38" i="44"/>
  <c r="Q28" i="44"/>
  <c r="Q26" i="44"/>
  <c r="Q37" i="44"/>
  <c r="Q30" i="44"/>
  <c r="Q20" i="44"/>
  <c r="Q18" i="44"/>
  <c r="Q32" i="44"/>
  <c r="Q41" i="44"/>
  <c r="Q31" i="44"/>
  <c r="Q29" i="44"/>
  <c r="Q22" i="44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6" i="35"/>
  <c r="D19" i="35" s="1"/>
  <c r="D24" i="35" s="1"/>
  <c r="D27" i="35" s="1"/>
  <c r="D18" i="35"/>
  <c r="E16" i="35"/>
  <c r="E19" i="35" s="1"/>
  <c r="E24" i="35" s="1"/>
  <c r="E27" i="35" s="1"/>
  <c r="E18" i="35"/>
  <c r="G18" i="35"/>
  <c r="G16" i="35"/>
  <c r="G19" i="35" s="1"/>
  <c r="G24" i="35" s="1"/>
  <c r="G27" i="35" s="1"/>
  <c r="F18" i="35"/>
  <c r="F16" i="35"/>
  <c r="F19" i="35" s="1"/>
  <c r="F24" i="35" s="1"/>
  <c r="F27" i="35" s="1"/>
  <c r="C16" i="35"/>
  <c r="C19" i="35" s="1"/>
  <c r="C24" i="35" s="1"/>
  <c r="C27" i="35" s="1"/>
  <c r="C18" i="35"/>
  <c r="H24" i="35"/>
  <c r="H27" i="35" s="1"/>
  <c r="H23" i="35"/>
  <c r="H26" i="35" s="1"/>
  <c r="H20" i="35"/>
  <c r="H21" i="35"/>
  <c r="E16" i="34"/>
  <c r="E19" i="34" s="1"/>
  <c r="E24" i="34" s="1"/>
  <c r="E27" i="34" s="1"/>
  <c r="F16" i="34"/>
  <c r="G16" i="34"/>
  <c r="H16" i="34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R31" i="42"/>
  <c r="R15" i="42"/>
  <c r="R24" i="42"/>
  <c r="R18" i="42"/>
  <c r="R22" i="42"/>
  <c r="R19" i="42"/>
  <c r="R23" i="42"/>
  <c r="R27" i="42"/>
  <c r="R16" i="42"/>
  <c r="R20" i="42"/>
  <c r="R17" i="42"/>
  <c r="R21" i="42"/>
  <c r="R28" i="42"/>
  <c r="R25" i="42"/>
  <c r="R29" i="42"/>
  <c r="R26" i="42"/>
  <c r="R30" i="42"/>
  <c r="P38" i="43"/>
  <c r="P41" i="43"/>
  <c r="P25" i="43"/>
  <c r="P18" i="43"/>
  <c r="P39" i="43"/>
  <c r="P31" i="43"/>
  <c r="P20" i="43"/>
  <c r="P37" i="43"/>
  <c r="P23" i="43"/>
  <c r="P21" i="43"/>
  <c r="P36" i="43"/>
  <c r="P16" i="43"/>
  <c r="P30" i="43"/>
  <c r="P33" i="43"/>
  <c r="P19" i="43"/>
  <c r="P35" i="43"/>
  <c r="P27" i="43"/>
  <c r="P15" i="43"/>
  <c r="P26" i="43"/>
  <c r="P29" i="43"/>
  <c r="P22" i="43"/>
  <c r="P40" i="43"/>
  <c r="P32" i="43"/>
  <c r="P24" i="43"/>
  <c r="P34" i="43"/>
  <c r="P28" i="43"/>
  <c r="P17" i="43"/>
  <c r="G26" i="33"/>
  <c r="I26" i="32"/>
  <c r="I25" i="30"/>
  <c r="I26" i="30"/>
  <c r="I26" i="31"/>
  <c r="D21" i="33"/>
  <c r="I21" i="33"/>
  <c r="H26" i="33"/>
  <c r="I25" i="33"/>
  <c r="F26" i="33"/>
  <c r="C26" i="33"/>
  <c r="H21" i="33"/>
  <c r="H25" i="30"/>
  <c r="I26" i="33"/>
  <c r="E26" i="33"/>
  <c r="D26" i="33"/>
  <c r="R38" i="44"/>
  <c r="R28" i="44"/>
  <c r="R26" i="44"/>
  <c r="R16" i="44"/>
  <c r="R36" i="44"/>
  <c r="R30" i="44"/>
  <c r="R20" i="44"/>
  <c r="R18" i="44"/>
  <c r="R24" i="44"/>
  <c r="R22" i="44"/>
  <c r="R15" i="44"/>
  <c r="R37" i="44"/>
  <c r="R35" i="44"/>
  <c r="R34" i="44"/>
  <c r="R41" i="44"/>
  <c r="R39" i="44"/>
  <c r="R29" i="44"/>
  <c r="R43" i="44"/>
  <c r="R42" i="44"/>
  <c r="R33" i="44"/>
  <c r="R31" i="44"/>
  <c r="R21" i="44"/>
  <c r="R19" i="44"/>
  <c r="R32" i="44"/>
  <c r="R25" i="44"/>
  <c r="R23" i="44"/>
  <c r="R40" i="44"/>
  <c r="R27" i="44"/>
  <c r="R17" i="44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S31" i="42"/>
  <c r="S15" i="42"/>
  <c r="S24" i="42"/>
  <c r="S18" i="42"/>
  <c r="S22" i="42"/>
  <c r="S19" i="42"/>
  <c r="S23" i="42"/>
  <c r="S27" i="42"/>
  <c r="S16" i="42"/>
  <c r="S20" i="42"/>
  <c r="S17" i="42"/>
  <c r="S21" i="42"/>
  <c r="S28" i="42"/>
  <c r="S25" i="42"/>
  <c r="S29" i="42"/>
  <c r="S26" i="42"/>
  <c r="S30" i="42"/>
  <c r="Q41" i="43"/>
  <c r="Q25" i="43"/>
  <c r="Q28" i="43"/>
  <c r="Q34" i="43"/>
  <c r="Q17" i="43"/>
  <c r="Q27" i="43"/>
  <c r="Q23" i="43"/>
  <c r="Q32" i="43"/>
  <c r="Q21" i="43"/>
  <c r="Q15" i="43"/>
  <c r="Q37" i="43"/>
  <c r="Q40" i="43"/>
  <c r="Q22" i="43"/>
  <c r="Q30" i="43"/>
  <c r="Q39" i="43"/>
  <c r="Q24" i="43"/>
  <c r="Q19" i="43"/>
  <c r="Q29" i="43"/>
  <c r="Q16" i="43"/>
  <c r="Q33" i="43"/>
  <c r="Q36" i="43"/>
  <c r="Q18" i="43"/>
  <c r="Q26" i="43"/>
  <c r="Q35" i="43"/>
  <c r="Q20" i="43"/>
  <c r="Q38" i="43"/>
  <c r="Q31" i="43"/>
  <c r="C26" i="31"/>
  <c r="D28" i="26"/>
  <c r="D29" i="26"/>
  <c r="H21" i="32"/>
  <c r="G26" i="32"/>
  <c r="F26" i="31"/>
  <c r="I21" i="32"/>
  <c r="H25" i="33"/>
  <c r="E25" i="33"/>
  <c r="F26" i="32"/>
  <c r="F28" i="26"/>
  <c r="D25" i="30"/>
  <c r="D25" i="33"/>
  <c r="G21" i="33"/>
  <c r="G25" i="30"/>
  <c r="E21" i="32"/>
  <c r="C21" i="33"/>
  <c r="E26" i="32"/>
  <c r="G26" i="31"/>
  <c r="G28" i="26"/>
  <c r="C26" i="30"/>
  <c r="I21" i="31"/>
  <c r="C21" i="31"/>
  <c r="F21" i="31"/>
  <c r="E29" i="26"/>
  <c r="E21" i="30"/>
  <c r="I25" i="32"/>
  <c r="I21" i="30"/>
  <c r="F25" i="30"/>
  <c r="G29" i="26"/>
  <c r="I25" i="31"/>
  <c r="E21" i="33"/>
  <c r="D26" i="30"/>
  <c r="D26" i="32"/>
  <c r="H28" i="26"/>
  <c r="C26" i="32"/>
  <c r="F21" i="30"/>
  <c r="G25" i="33"/>
  <c r="F25" i="33"/>
  <c r="F29" i="26"/>
  <c r="F21" i="32"/>
  <c r="G21" i="31"/>
  <c r="H26" i="32"/>
  <c r="D21" i="32"/>
  <c r="E28" i="26"/>
  <c r="E26" i="30"/>
  <c r="H26" i="31"/>
  <c r="H26" i="30"/>
  <c r="C29" i="26"/>
  <c r="F26" i="30"/>
  <c r="G26" i="30"/>
  <c r="E21" i="31"/>
  <c r="F21" i="33"/>
  <c r="C25" i="33"/>
  <c r="E26" i="31"/>
  <c r="C28" i="26"/>
  <c r="G21" i="32"/>
  <c r="C21" i="32"/>
  <c r="H29" i="26"/>
  <c r="D26" i="31"/>
  <c r="S41" i="44"/>
  <c r="S39" i="44"/>
  <c r="S37" i="44"/>
  <c r="S35" i="44"/>
  <c r="S33" i="44"/>
  <c r="S31" i="44"/>
  <c r="S29" i="44"/>
  <c r="S27" i="44"/>
  <c r="S25" i="44"/>
  <c r="S23" i="44"/>
  <c r="S21" i="44"/>
  <c r="S19" i="44"/>
  <c r="S17" i="44"/>
  <c r="S42" i="44"/>
  <c r="S40" i="44"/>
  <c r="S38" i="44"/>
  <c r="S16" i="44"/>
  <c r="S36" i="44"/>
  <c r="S34" i="44"/>
  <c r="S32" i="44"/>
  <c r="S22" i="44"/>
  <c r="S18" i="44"/>
  <c r="S28" i="44"/>
  <c r="S26" i="44"/>
  <c r="S24" i="44"/>
  <c r="S30" i="44"/>
  <c r="S20" i="44"/>
  <c r="S15" i="44"/>
  <c r="S43" i="44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J22" i="29" s="1"/>
  <c r="I13" i="29"/>
  <c r="I22" i="29" s="1"/>
  <c r="H13" i="29"/>
  <c r="H21" i="29" s="1"/>
  <c r="G13" i="29"/>
  <c r="G21" i="29" s="1"/>
  <c r="F13" i="29"/>
  <c r="F22" i="29" s="1"/>
  <c r="E13" i="29"/>
  <c r="E22" i="29" s="1"/>
  <c r="T31" i="42"/>
  <c r="T15" i="42"/>
  <c r="T24" i="42"/>
  <c r="T18" i="42"/>
  <c r="T22" i="42"/>
  <c r="T19" i="42"/>
  <c r="T23" i="42"/>
  <c r="T27" i="42"/>
  <c r="T16" i="42"/>
  <c r="T20" i="42"/>
  <c r="T17" i="42"/>
  <c r="T21" i="42"/>
  <c r="T28" i="42"/>
  <c r="T25" i="42"/>
  <c r="T29" i="42"/>
  <c r="T26" i="42"/>
  <c r="T30" i="42"/>
  <c r="R40" i="43"/>
  <c r="R39" i="43"/>
  <c r="R38" i="43"/>
  <c r="R21" i="43"/>
  <c r="R23" i="43"/>
  <c r="R33" i="43"/>
  <c r="R18" i="43"/>
  <c r="R36" i="43"/>
  <c r="R35" i="43"/>
  <c r="R34" i="43"/>
  <c r="R24" i="43"/>
  <c r="R19" i="43"/>
  <c r="R29" i="43"/>
  <c r="R31" i="43"/>
  <c r="R30" i="43"/>
  <c r="R20" i="43"/>
  <c r="R41" i="43"/>
  <c r="R25" i="43"/>
  <c r="R15" i="43"/>
  <c r="R28" i="43"/>
  <c r="R27" i="43"/>
  <c r="R26" i="43"/>
  <c r="R16" i="43"/>
  <c r="R37" i="43"/>
  <c r="R22" i="43"/>
  <c r="R17" i="43"/>
  <c r="R32" i="43"/>
  <c r="C25" i="32"/>
  <c r="H25" i="32"/>
  <c r="G21" i="30"/>
  <c r="D25" i="31"/>
  <c r="D21" i="31"/>
  <c r="C25" i="30"/>
  <c r="E25" i="31"/>
  <c r="F25" i="32"/>
  <c r="E25" i="30"/>
  <c r="D25" i="32"/>
  <c r="E25" i="32"/>
  <c r="C25" i="31"/>
  <c r="G25" i="32"/>
  <c r="D21" i="30"/>
  <c r="F25" i="31"/>
  <c r="C21" i="30"/>
  <c r="H21" i="31"/>
  <c r="G25" i="31"/>
  <c r="H25" i="31"/>
  <c r="H21" i="30"/>
  <c r="T36" i="44"/>
  <c r="T42" i="44"/>
  <c r="T24" i="44"/>
  <c r="T30" i="44"/>
  <c r="T19" i="44"/>
  <c r="T28" i="44"/>
  <c r="T34" i="44"/>
  <c r="T16" i="44"/>
  <c r="T22" i="44"/>
  <c r="T32" i="44"/>
  <c r="T20" i="44"/>
  <c r="T26" i="44"/>
  <c r="T33" i="44"/>
  <c r="T15" i="44"/>
  <c r="T39" i="44"/>
  <c r="T37" i="44"/>
  <c r="T43" i="44"/>
  <c r="T41" i="44"/>
  <c r="T40" i="44"/>
  <c r="T31" i="44"/>
  <c r="T29" i="44"/>
  <c r="T35" i="44"/>
  <c r="T17" i="44"/>
  <c r="T25" i="44"/>
  <c r="T38" i="44"/>
  <c r="T23" i="44"/>
  <c r="T21" i="44"/>
  <c r="T27" i="44"/>
  <c r="T18" i="44"/>
  <c r="V14" i="44" l="1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E21" i="29"/>
  <c r="I21" i="29"/>
  <c r="G22" i="29"/>
  <c r="H14" i="29"/>
  <c r="F21" i="29"/>
  <c r="J21" i="29"/>
  <c r="H22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U31" i="42"/>
  <c r="U15" i="42"/>
  <c r="U24" i="42"/>
  <c r="U18" i="42"/>
  <c r="U22" i="42"/>
  <c r="U19" i="42"/>
  <c r="U23" i="42"/>
  <c r="U27" i="42"/>
  <c r="U16" i="42"/>
  <c r="U20" i="42"/>
  <c r="U17" i="42"/>
  <c r="U21" i="42"/>
  <c r="U28" i="42"/>
  <c r="U25" i="42"/>
  <c r="U29" i="42"/>
  <c r="U26" i="42"/>
  <c r="U30" i="42"/>
  <c r="S39" i="43"/>
  <c r="S38" i="43"/>
  <c r="S24" i="43"/>
  <c r="S15" i="43"/>
  <c r="S36" i="43"/>
  <c r="S28" i="43"/>
  <c r="S21" i="43"/>
  <c r="S33" i="43"/>
  <c r="S17" i="43"/>
  <c r="S30" i="43"/>
  <c r="S23" i="43"/>
  <c r="S32" i="43"/>
  <c r="S27" i="43"/>
  <c r="S19" i="43"/>
  <c r="S29" i="43"/>
  <c r="S35" i="43"/>
  <c r="S34" i="43"/>
  <c r="S20" i="43"/>
  <c r="S41" i="43"/>
  <c r="S25" i="43"/>
  <c r="S31" i="43"/>
  <c r="S40" i="43"/>
  <c r="S22" i="43"/>
  <c r="S16" i="43"/>
  <c r="S26" i="43"/>
  <c r="S37" i="43"/>
  <c r="S18" i="43"/>
  <c r="H15" i="28"/>
  <c r="E15" i="28"/>
  <c r="J15" i="29"/>
  <c r="F15" i="28"/>
  <c r="J15" i="28"/>
  <c r="H15" i="29"/>
  <c r="I15" i="29"/>
  <c r="E15" i="29"/>
  <c r="G15" i="29"/>
  <c r="F15" i="29"/>
  <c r="I15" i="28"/>
  <c r="U39" i="44"/>
  <c r="U37" i="44"/>
  <c r="U43" i="44"/>
  <c r="U33" i="44"/>
  <c r="U24" i="44"/>
  <c r="U31" i="44"/>
  <c r="U29" i="44"/>
  <c r="U35" i="44"/>
  <c r="U25" i="44"/>
  <c r="U16" i="44"/>
  <c r="U23" i="44"/>
  <c r="U21" i="44"/>
  <c r="U27" i="44"/>
  <c r="U17" i="44"/>
  <c r="U26" i="44"/>
  <c r="U15" i="44"/>
  <c r="U19" i="44"/>
  <c r="U36" i="44"/>
  <c r="U22" i="44"/>
  <c r="U42" i="44"/>
  <c r="U40" i="44"/>
  <c r="U38" i="44"/>
  <c r="U20" i="44"/>
  <c r="U28" i="44"/>
  <c r="U41" i="44"/>
  <c r="U34" i="44"/>
  <c r="U32" i="44"/>
  <c r="U30" i="44"/>
  <c r="U18" i="44"/>
  <c r="W14" i="44" l="1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J16" i="29"/>
  <c r="J18" i="29" s="1"/>
  <c r="J17" i="29"/>
  <c r="F16" i="29"/>
  <c r="F18" i="29" s="1"/>
  <c r="F17" i="29"/>
  <c r="I16" i="29"/>
  <c r="I18" i="29" s="1"/>
  <c r="I17" i="29"/>
  <c r="E16" i="29"/>
  <c r="E18" i="29" s="1"/>
  <c r="E17" i="29"/>
  <c r="H17" i="29"/>
  <c r="H16" i="29"/>
  <c r="H18" i="29" s="1"/>
  <c r="G17" i="29"/>
  <c r="G16" i="29"/>
  <c r="G18" i="29" s="1"/>
  <c r="H16" i="28"/>
  <c r="H18" i="28" s="1"/>
  <c r="H25" i="28" s="1"/>
  <c r="H28" i="28" s="1"/>
  <c r="H17" i="28"/>
  <c r="E17" i="28"/>
  <c r="E16" i="28"/>
  <c r="E18" i="28" s="1"/>
  <c r="I16" i="28"/>
  <c r="I18" i="28" s="1"/>
  <c r="I25" i="28" s="1"/>
  <c r="I28" i="28" s="1"/>
  <c r="I17" i="28"/>
  <c r="F17" i="28"/>
  <c r="F16" i="28"/>
  <c r="F18" i="28" s="1"/>
  <c r="J17" i="28"/>
  <c r="J16" i="28"/>
  <c r="J18" i="28" s="1"/>
  <c r="H21" i="28"/>
  <c r="G14" i="28"/>
  <c r="E21" i="28"/>
  <c r="I21" i="28"/>
  <c r="F21" i="28"/>
  <c r="V31" i="42"/>
  <c r="V15" i="42"/>
  <c r="V24" i="42"/>
  <c r="V18" i="42"/>
  <c r="V22" i="42"/>
  <c r="V19" i="42"/>
  <c r="V23" i="42"/>
  <c r="V27" i="42"/>
  <c r="V16" i="42"/>
  <c r="V20" i="42"/>
  <c r="V17" i="42"/>
  <c r="V21" i="42"/>
  <c r="V28" i="42"/>
  <c r="V25" i="42"/>
  <c r="V29" i="42"/>
  <c r="V26" i="42"/>
  <c r="V30" i="42"/>
  <c r="T38" i="43"/>
  <c r="T41" i="43"/>
  <c r="T25" i="43"/>
  <c r="T39" i="43"/>
  <c r="T31" i="43"/>
  <c r="T18" i="43"/>
  <c r="T20" i="43"/>
  <c r="T37" i="43"/>
  <c r="T23" i="43"/>
  <c r="T36" i="43"/>
  <c r="T28" i="43"/>
  <c r="T21" i="43"/>
  <c r="T16" i="43"/>
  <c r="T33" i="43"/>
  <c r="T19" i="43"/>
  <c r="T35" i="43"/>
  <c r="T27" i="43"/>
  <c r="T17" i="43"/>
  <c r="T15" i="43"/>
  <c r="T26" i="43"/>
  <c r="T29" i="43"/>
  <c r="T40" i="43"/>
  <c r="T32" i="43"/>
  <c r="T22" i="43"/>
  <c r="T24" i="43"/>
  <c r="T34" i="43"/>
  <c r="T30" i="43"/>
  <c r="G15" i="28"/>
  <c r="V42" i="44"/>
  <c r="V32" i="44"/>
  <c r="V38" i="44"/>
  <c r="V28" i="44"/>
  <c r="V17" i="44"/>
  <c r="V34" i="44"/>
  <c r="V24" i="44"/>
  <c r="V30" i="44"/>
  <c r="V20" i="44"/>
  <c r="V39" i="44"/>
  <c r="V23" i="44"/>
  <c r="V26" i="44"/>
  <c r="V16" i="44"/>
  <c r="V22" i="44"/>
  <c r="V27" i="44"/>
  <c r="V18" i="44"/>
  <c r="V41" i="44"/>
  <c r="V31" i="44"/>
  <c r="V25" i="44"/>
  <c r="V37" i="44"/>
  <c r="V43" i="44"/>
  <c r="V33" i="44"/>
  <c r="V15" i="44"/>
  <c r="V21" i="44"/>
  <c r="V29" i="44"/>
  <c r="V35" i="44"/>
  <c r="V40" i="44"/>
  <c r="V19" i="44"/>
  <c r="V36" i="44"/>
  <c r="X14" i="44" l="1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24" i="29"/>
  <c r="G27" i="29" s="1"/>
  <c r="G25" i="29"/>
  <c r="G28" i="29" s="1"/>
  <c r="E20" i="29"/>
  <c r="E19" i="29"/>
  <c r="F20" i="29"/>
  <c r="F19" i="29"/>
  <c r="G19" i="29"/>
  <c r="G20" i="29"/>
  <c r="E25" i="29"/>
  <c r="E28" i="29" s="1"/>
  <c r="E24" i="29"/>
  <c r="E27" i="29" s="1"/>
  <c r="F25" i="29"/>
  <c r="F28" i="29" s="1"/>
  <c r="F24" i="29"/>
  <c r="F27" i="29" s="1"/>
  <c r="H24" i="29"/>
  <c r="H27" i="29" s="1"/>
  <c r="H25" i="29"/>
  <c r="H28" i="29" s="1"/>
  <c r="I20" i="29"/>
  <c r="I19" i="29"/>
  <c r="J20" i="29"/>
  <c r="J19" i="29"/>
  <c r="H19" i="29"/>
  <c r="H20" i="29"/>
  <c r="I25" i="29"/>
  <c r="I28" i="29" s="1"/>
  <c r="I24" i="29"/>
  <c r="I27" i="29" s="1"/>
  <c r="J25" i="29"/>
  <c r="J28" i="29" s="1"/>
  <c r="J24" i="29"/>
  <c r="J27" i="29" s="1"/>
  <c r="G16" i="28"/>
  <c r="G18" i="28" s="1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W31" i="42"/>
  <c r="W15" i="42"/>
  <c r="W24" i="42"/>
  <c r="W18" i="42"/>
  <c r="W22" i="42"/>
  <c r="W19" i="42"/>
  <c r="W23" i="42"/>
  <c r="W27" i="42"/>
  <c r="W16" i="42"/>
  <c r="W20" i="42"/>
  <c r="W17" i="42"/>
  <c r="W21" i="42"/>
  <c r="W28" i="42"/>
  <c r="W25" i="42"/>
  <c r="W29" i="42"/>
  <c r="W26" i="42"/>
  <c r="W30" i="42"/>
  <c r="U41" i="43"/>
  <c r="U25" i="43"/>
  <c r="U28" i="43"/>
  <c r="U27" i="43"/>
  <c r="U17" i="43"/>
  <c r="U38" i="43"/>
  <c r="U23" i="43"/>
  <c r="U37" i="43"/>
  <c r="U40" i="43"/>
  <c r="U39" i="43"/>
  <c r="U22" i="43"/>
  <c r="U34" i="43"/>
  <c r="U19" i="43"/>
  <c r="U33" i="43"/>
  <c r="U36" i="43"/>
  <c r="U35" i="43"/>
  <c r="U18" i="43"/>
  <c r="U30" i="43"/>
  <c r="U29" i="43"/>
  <c r="U32" i="43"/>
  <c r="U31" i="43"/>
  <c r="U21" i="43"/>
  <c r="U16" i="43"/>
  <c r="U26" i="43"/>
  <c r="U15" i="43"/>
  <c r="U24" i="43"/>
  <c r="U20" i="43"/>
  <c r="W37" i="44"/>
  <c r="W43" i="44"/>
  <c r="W33" i="44"/>
  <c r="W23" i="44"/>
  <c r="W30" i="44"/>
  <c r="W39" i="44"/>
  <c r="W29" i="44"/>
  <c r="W35" i="44"/>
  <c r="W25" i="44"/>
  <c r="W15" i="44"/>
  <c r="W22" i="44"/>
  <c r="W21" i="44"/>
  <c r="W27" i="44"/>
  <c r="W17" i="44"/>
  <c r="W34" i="44"/>
  <c r="W24" i="44"/>
  <c r="W40" i="44"/>
  <c r="W19" i="44"/>
  <c r="W36" i="44"/>
  <c r="W42" i="44"/>
  <c r="W18" i="44"/>
  <c r="W32" i="44"/>
  <c r="W38" i="44"/>
  <c r="W28" i="44"/>
  <c r="W26" i="44"/>
  <c r="W20" i="44"/>
  <c r="W41" i="44"/>
  <c r="W31" i="44"/>
  <c r="W16" i="44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X31" i="42"/>
  <c r="X15" i="42"/>
  <c r="X24" i="42"/>
  <c r="X18" i="42"/>
  <c r="X22" i="42"/>
  <c r="X19" i="42"/>
  <c r="X23" i="42"/>
  <c r="X27" i="42"/>
  <c r="X16" i="42"/>
  <c r="X20" i="42"/>
  <c r="X17" i="42"/>
  <c r="X21" i="42"/>
  <c r="X28" i="42"/>
  <c r="X25" i="42"/>
  <c r="X29" i="42"/>
  <c r="X26" i="42"/>
  <c r="X30" i="42"/>
  <c r="V40" i="43"/>
  <c r="V39" i="43"/>
  <c r="V21" i="43"/>
  <c r="V29" i="43"/>
  <c r="V16" i="43"/>
  <c r="V30" i="43"/>
  <c r="V15" i="43"/>
  <c r="V35" i="43"/>
  <c r="V41" i="43"/>
  <c r="V25" i="43"/>
  <c r="V26" i="43"/>
  <c r="V22" i="43"/>
  <c r="V31" i="43"/>
  <c r="V37" i="43"/>
  <c r="V24" i="43"/>
  <c r="V38" i="43"/>
  <c r="V23" i="43"/>
  <c r="V17" i="43"/>
  <c r="V28" i="43"/>
  <c r="V27" i="43"/>
  <c r="V33" i="43"/>
  <c r="V20" i="43"/>
  <c r="V34" i="43"/>
  <c r="V19" i="43"/>
  <c r="V18" i="43"/>
  <c r="V36" i="43"/>
  <c r="V32" i="43"/>
  <c r="G15" i="27"/>
  <c r="F15" i="27"/>
  <c r="H15" i="27"/>
  <c r="E15" i="27"/>
  <c r="X40" i="44"/>
  <c r="X38" i="44"/>
  <c r="X28" i="44"/>
  <c r="X26" i="44"/>
  <c r="X25" i="44"/>
  <c r="X32" i="44"/>
  <c r="X30" i="44"/>
  <c r="X20" i="44"/>
  <c r="X18" i="44"/>
  <c r="X17" i="44"/>
  <c r="X24" i="44"/>
  <c r="X22" i="44"/>
  <c r="X39" i="44"/>
  <c r="X37" i="44"/>
  <c r="X35" i="44"/>
  <c r="X42" i="44"/>
  <c r="X16" i="44"/>
  <c r="X41" i="44"/>
  <c r="X31" i="44"/>
  <c r="X29" i="44"/>
  <c r="X27" i="44"/>
  <c r="X43" i="44"/>
  <c r="X33" i="44"/>
  <c r="X23" i="44"/>
  <c r="X21" i="44"/>
  <c r="X15" i="44"/>
  <c r="X19" i="44"/>
  <c r="X36" i="44"/>
  <c r="X34" i="44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W39" i="43"/>
  <c r="W38" i="43"/>
  <c r="W41" i="43"/>
  <c r="W33" i="43"/>
  <c r="W25" i="43"/>
  <c r="W19" i="43"/>
  <c r="W21" i="43"/>
  <c r="W35" i="43"/>
  <c r="W34" i="43"/>
  <c r="W40" i="43"/>
  <c r="W32" i="43"/>
  <c r="W24" i="43"/>
  <c r="W15" i="43"/>
  <c r="W31" i="43"/>
  <c r="W30" i="43"/>
  <c r="W37" i="43"/>
  <c r="W20" i="43"/>
  <c r="W22" i="43"/>
  <c r="W27" i="43"/>
  <c r="W36" i="43"/>
  <c r="W23" i="43"/>
  <c r="W18" i="43"/>
  <c r="W29" i="43"/>
  <c r="W17" i="43"/>
  <c r="W26" i="43"/>
  <c r="W28" i="43"/>
  <c r="W16" i="43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X38" i="43"/>
  <c r="X34" i="43"/>
  <c r="X37" i="43"/>
  <c r="X23" i="43"/>
  <c r="X21" i="43"/>
  <c r="X36" i="43"/>
  <c r="X28" i="43"/>
  <c r="X16" i="43"/>
  <c r="X19" i="43"/>
  <c r="X17" i="43"/>
  <c r="X27" i="43"/>
  <c r="X15" i="43"/>
  <c r="X29" i="43"/>
  <c r="X40" i="43"/>
  <c r="X24" i="43"/>
  <c r="X41" i="43"/>
  <c r="X18" i="43"/>
  <c r="X31" i="43"/>
  <c r="X30" i="43"/>
  <c r="X33" i="43"/>
  <c r="X35" i="43"/>
  <c r="X26" i="43"/>
  <c r="X22" i="43"/>
  <c r="X32" i="43"/>
  <c r="X25" i="43"/>
  <c r="X39" i="43"/>
  <c r="X20" i="43"/>
  <c r="R23" i="26"/>
  <c r="P38" i="26"/>
  <c r="R42" i="26"/>
  <c r="D27" i="26"/>
  <c r="C27" i="26"/>
  <c r="P42" i="26"/>
  <c r="C44" i="26"/>
  <c r="C26" i="26" l="1"/>
  <c r="F26" i="26"/>
  <c r="G26" i="26"/>
  <c r="D26" i="26"/>
  <c r="H26" i="26"/>
  <c r="E26" i="26"/>
  <c r="O38" i="26"/>
  <c r="L38" i="26"/>
  <c r="Q38" i="26"/>
  <c r="N42" i="26"/>
  <c r="F44" i="26"/>
  <c r="H27" i="26"/>
  <c r="R38" i="26"/>
  <c r="L42" i="26"/>
  <c r="N23" i="26"/>
  <c r="Q42" i="26"/>
  <c r="N38" i="26"/>
  <c r="E27" i="26"/>
  <c r="M38" i="26"/>
  <c r="O42" i="26"/>
  <c r="G27" i="26"/>
  <c r="G44" i="26"/>
  <c r="F27" i="26"/>
  <c r="M42" i="26"/>
  <c r="L23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H42" i="26"/>
  <c r="O23" i="26"/>
  <c r="C24" i="26"/>
  <c r="H24" i="26"/>
  <c r="M23" i="26"/>
  <c r="D42" i="26"/>
  <c r="D44" i="26"/>
  <c r="G24" i="26"/>
  <c r="F24" i="26"/>
  <c r="Q23" i="26"/>
  <c r="G31" i="26" l="1"/>
  <c r="G36" i="26" s="1"/>
  <c r="F31" i="26"/>
  <c r="H31" i="26"/>
  <c r="C31" i="26"/>
  <c r="C33" i="26" s="1"/>
  <c r="P23" i="26"/>
  <c r="G42" i="26"/>
  <c r="C42" i="26"/>
  <c r="G33" i="26" l="1"/>
  <c r="C36" i="26"/>
  <c r="F33" i="26"/>
  <c r="F36" i="26"/>
  <c r="H33" i="26"/>
  <c r="H36" i="26"/>
  <c r="C25" i="26"/>
  <c r="C32" i="26" s="1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25" i="26"/>
  <c r="H32" i="26" s="1"/>
  <c r="G25" i="26"/>
  <c r="G32" i="26" s="1"/>
  <c r="F25" i="26"/>
  <c r="F32" i="26" s="1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2" i="26"/>
  <c r="E24" i="26"/>
  <c r="F19" i="16"/>
  <c r="D24" i="26"/>
  <c r="E44" i="26"/>
  <c r="F19" i="25"/>
  <c r="H44" i="26"/>
  <c r="E19" i="16"/>
  <c r="J19" i="16"/>
  <c r="E19" i="25"/>
  <c r="G19" i="25"/>
  <c r="M19" i="16"/>
  <c r="L19" i="16"/>
  <c r="I19" i="16"/>
  <c r="N19" i="16"/>
  <c r="F42" i="26"/>
  <c r="D31" i="26" l="1"/>
  <c r="E31" i="26"/>
  <c r="H37" i="26"/>
  <c r="F34" i="26"/>
  <c r="F37" i="26"/>
  <c r="G34" i="26"/>
  <c r="G37" i="26"/>
  <c r="C34" i="26"/>
  <c r="C37" i="26"/>
  <c r="E25" i="26"/>
  <c r="E32" i="26" s="1"/>
  <c r="H45" i="26"/>
  <c r="F43" i="26"/>
  <c r="D25" i="26"/>
  <c r="D32" i="26" s="1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0" i="25"/>
  <c r="G22" i="25" s="1"/>
  <c r="G27" i="25" s="1"/>
  <c r="G30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J19" i="24"/>
  <c r="M19" i="24"/>
  <c r="L35" i="24"/>
  <c r="N33" i="24"/>
  <c r="P19" i="24"/>
  <c r="G29" i="24"/>
  <c r="R29" i="24"/>
  <c r="Q29" i="24"/>
  <c r="O19" i="24"/>
  <c r="L19" i="24"/>
  <c r="R33" i="24"/>
  <c r="M29" i="24"/>
  <c r="M33" i="24"/>
  <c r="G19" i="24"/>
  <c r="E29" i="24"/>
  <c r="P33" i="24"/>
  <c r="O33" i="24"/>
  <c r="J29" i="24"/>
  <c r="O29" i="24"/>
  <c r="H19" i="16"/>
  <c r="I29" i="24"/>
  <c r="K19" i="16"/>
  <c r="Q19" i="24"/>
  <c r="H29" i="24"/>
  <c r="L33" i="24"/>
  <c r="F29" i="24"/>
  <c r="L29" i="24"/>
  <c r="Q33" i="24"/>
  <c r="O35" i="24"/>
  <c r="G19" i="16"/>
  <c r="P29" i="24"/>
  <c r="N29" i="24"/>
  <c r="F19" i="24"/>
  <c r="D34" i="26" l="1"/>
  <c r="D37" i="26"/>
  <c r="E34" i="26"/>
  <c r="E37" i="26"/>
  <c r="D33" i="26"/>
  <c r="D36" i="26"/>
  <c r="E33" i="26"/>
  <c r="E36" i="26"/>
  <c r="H34" i="26"/>
  <c r="G23" i="25"/>
  <c r="G26" i="25"/>
  <c r="G29" i="25" s="1"/>
  <c r="G24" i="25"/>
  <c r="E27" i="25"/>
  <c r="F27" i="25"/>
  <c r="E26" i="25"/>
  <c r="E23" i="25"/>
  <c r="E24" i="25"/>
  <c r="F23" i="25"/>
  <c r="F26" i="25"/>
  <c r="F24" i="25"/>
  <c r="H21" i="16"/>
  <c r="H24" i="16" s="1"/>
  <c r="H20" i="16"/>
  <c r="H22" i="16" s="1"/>
  <c r="H27" i="16" s="1"/>
  <c r="G21" i="16"/>
  <c r="G26" i="16" s="1"/>
  <c r="G20" i="16"/>
  <c r="G22" i="16" s="1"/>
  <c r="G27" i="16" s="1"/>
  <c r="K20" i="16"/>
  <c r="K22" i="16" s="1"/>
  <c r="K27" i="16" s="1"/>
  <c r="K21" i="16"/>
  <c r="K23" i="16" s="1"/>
  <c r="M23" i="16"/>
  <c r="M26" i="16"/>
  <c r="M24" i="16"/>
  <c r="L24" i="16"/>
  <c r="L23" i="16"/>
  <c r="L26" i="16"/>
  <c r="L27" i="16"/>
  <c r="K24" i="16"/>
  <c r="M27" i="16"/>
  <c r="N27" i="16"/>
  <c r="N26" i="16"/>
  <c r="N24" i="16"/>
  <c r="N23" i="16"/>
  <c r="J27" i="16"/>
  <c r="F27" i="16"/>
  <c r="E27" i="16"/>
  <c r="I27" i="16"/>
  <c r="J23" i="16"/>
  <c r="J26" i="16"/>
  <c r="J24" i="16"/>
  <c r="I23" i="16"/>
  <c r="I26" i="16"/>
  <c r="I24" i="16"/>
  <c r="F23" i="16"/>
  <c r="F26" i="16"/>
  <c r="F24" i="16"/>
  <c r="E23" i="16"/>
  <c r="E26" i="16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H19" i="24"/>
  <c r="N19" i="24"/>
  <c r="L35" i="23"/>
  <c r="E29" i="23"/>
  <c r="L33" i="23"/>
  <c r="E33" i="24"/>
  <c r="G35" i="23"/>
  <c r="F33" i="24"/>
  <c r="P35" i="23"/>
  <c r="F35" i="23"/>
  <c r="E35" i="24"/>
  <c r="I19" i="24"/>
  <c r="P33" i="23"/>
  <c r="H35" i="24"/>
  <c r="M29" i="23"/>
  <c r="J35" i="23"/>
  <c r="J33" i="23"/>
  <c r="H35" i="23"/>
  <c r="P35" i="24"/>
  <c r="J29" i="23"/>
  <c r="M35" i="24"/>
  <c r="F29" i="23"/>
  <c r="R33" i="23"/>
  <c r="I35" i="24"/>
  <c r="J33" i="24"/>
  <c r="N35" i="24"/>
  <c r="F35" i="24"/>
  <c r="O33" i="23"/>
  <c r="O29" i="23"/>
  <c r="F33" i="23"/>
  <c r="G33" i="24"/>
  <c r="Q29" i="23"/>
  <c r="G35" i="24"/>
  <c r="R35" i="24"/>
  <c r="Q35" i="24"/>
  <c r="R29" i="23"/>
  <c r="L29" i="23"/>
  <c r="P29" i="23"/>
  <c r="O35" i="23"/>
  <c r="I35" i="23"/>
  <c r="N33" i="23"/>
  <c r="M33" i="23"/>
  <c r="I33" i="24"/>
  <c r="Q33" i="23"/>
  <c r="L19" i="23"/>
  <c r="I29" i="23"/>
  <c r="E19" i="24"/>
  <c r="H33" i="24"/>
  <c r="E35" i="23"/>
  <c r="R19" i="24"/>
  <c r="G29" i="23"/>
  <c r="H29" i="23"/>
  <c r="J35" i="24"/>
  <c r="N29" i="23"/>
  <c r="K26" i="16" l="1"/>
  <c r="K29" i="16" s="1"/>
  <c r="G23" i="16"/>
  <c r="G24" i="16"/>
  <c r="H26" i="16"/>
  <c r="H37" i="16" s="1"/>
  <c r="E29" i="16"/>
  <c r="E37" i="16"/>
  <c r="F38" i="16"/>
  <c r="F30" i="16"/>
  <c r="N37" i="16"/>
  <c r="N29" i="16"/>
  <c r="G37" i="16"/>
  <c r="G29" i="16"/>
  <c r="F37" i="25"/>
  <c r="F29" i="25"/>
  <c r="E37" i="25"/>
  <c r="E29" i="25"/>
  <c r="F37" i="16"/>
  <c r="F29" i="16"/>
  <c r="G38" i="16"/>
  <c r="G30" i="16"/>
  <c r="J37" i="16"/>
  <c r="J29" i="16"/>
  <c r="I38" i="16"/>
  <c r="I30" i="16"/>
  <c r="J38" i="16"/>
  <c r="J30" i="16"/>
  <c r="N38" i="16"/>
  <c r="N30" i="16"/>
  <c r="H38" i="16"/>
  <c r="H30" i="16"/>
  <c r="F38" i="25"/>
  <c r="F30" i="25"/>
  <c r="E38" i="16"/>
  <c r="E30" i="16"/>
  <c r="L37" i="16"/>
  <c r="L29" i="16"/>
  <c r="M37" i="16"/>
  <c r="M29" i="16"/>
  <c r="I37" i="16"/>
  <c r="I29" i="16"/>
  <c r="M38" i="16"/>
  <c r="M30" i="16"/>
  <c r="L38" i="16"/>
  <c r="L30" i="16"/>
  <c r="K38" i="16"/>
  <c r="K30" i="16"/>
  <c r="E38" i="25"/>
  <c r="E30" i="25"/>
  <c r="H23" i="16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M33" i="22"/>
  <c r="E29" i="22"/>
  <c r="P33" i="22"/>
  <c r="I35" i="22"/>
  <c r="L19" i="22"/>
  <c r="M29" i="22"/>
  <c r="P29" i="22"/>
  <c r="Q29" i="22"/>
  <c r="G35" i="22"/>
  <c r="Q19" i="23"/>
  <c r="G33" i="23"/>
  <c r="L29" i="22"/>
  <c r="E19" i="23"/>
  <c r="R35" i="23"/>
  <c r="J19" i="23"/>
  <c r="G19" i="23"/>
  <c r="G33" i="22"/>
  <c r="J29" i="22"/>
  <c r="F19" i="23"/>
  <c r="L33" i="22"/>
  <c r="F29" i="22"/>
  <c r="R19" i="23"/>
  <c r="G29" i="22"/>
  <c r="H29" i="22"/>
  <c r="I19" i="23"/>
  <c r="J33" i="22"/>
  <c r="Q35" i="23"/>
  <c r="L35" i="22"/>
  <c r="O19" i="23"/>
  <c r="P19" i="23"/>
  <c r="Q33" i="22"/>
  <c r="O33" i="22"/>
  <c r="H33" i="23"/>
  <c r="R29" i="22"/>
  <c r="N19" i="23"/>
  <c r="E33" i="23"/>
  <c r="M35" i="23"/>
  <c r="F33" i="22"/>
  <c r="P35" i="22"/>
  <c r="H35" i="22"/>
  <c r="I33" i="23"/>
  <c r="M19" i="23"/>
  <c r="N33" i="22"/>
  <c r="E35" i="22"/>
  <c r="I29" i="22"/>
  <c r="O29" i="22"/>
  <c r="H19" i="23"/>
  <c r="N35" i="23"/>
  <c r="N29" i="22"/>
  <c r="R33" i="22"/>
  <c r="K37" i="16" l="1"/>
  <c r="H29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O19" i="21"/>
  <c r="I19" i="21"/>
  <c r="E35" i="21"/>
  <c r="N33" i="21"/>
  <c r="I29" i="21"/>
  <c r="J33" i="21"/>
  <c r="I35" i="21"/>
  <c r="F19" i="22"/>
  <c r="M33" i="21"/>
  <c r="R35" i="22"/>
  <c r="E19" i="21"/>
  <c r="O35" i="21"/>
  <c r="N19" i="21"/>
  <c r="R33" i="21"/>
  <c r="H35" i="21"/>
  <c r="Q19" i="22"/>
  <c r="F29" i="21"/>
  <c r="Q19" i="21"/>
  <c r="M35" i="21"/>
  <c r="P35" i="21"/>
  <c r="O29" i="21"/>
  <c r="M29" i="21"/>
  <c r="G29" i="21"/>
  <c r="P19" i="22"/>
  <c r="O19" i="22"/>
  <c r="L35" i="21"/>
  <c r="F35" i="22"/>
  <c r="F19" i="21"/>
  <c r="H19" i="21"/>
  <c r="F33" i="21"/>
  <c r="H29" i="21"/>
  <c r="Q29" i="21"/>
  <c r="P19" i="21"/>
  <c r="F35" i="21"/>
  <c r="P29" i="21"/>
  <c r="Q35" i="21"/>
  <c r="G19" i="21"/>
  <c r="L29" i="21"/>
  <c r="M35" i="22"/>
  <c r="E33" i="21"/>
  <c r="N35" i="22"/>
  <c r="O33" i="21"/>
  <c r="G33" i="21"/>
  <c r="E33" i="22"/>
  <c r="J35" i="21"/>
  <c r="L33" i="21"/>
  <c r="I33" i="21"/>
  <c r="R29" i="21"/>
  <c r="P33" i="21"/>
  <c r="G19" i="22"/>
  <c r="H33" i="21"/>
  <c r="G35" i="21"/>
  <c r="M19" i="21"/>
  <c r="E19" i="22"/>
  <c r="H33" i="22"/>
  <c r="R19" i="22"/>
  <c r="J35" i="22"/>
  <c r="I33" i="22"/>
  <c r="E29" i="21"/>
  <c r="I19" i="22"/>
  <c r="O35" i="22"/>
  <c r="R19" i="21"/>
  <c r="J19" i="21"/>
  <c r="H19" i="22"/>
  <c r="N35" i="21"/>
  <c r="Q33" i="21"/>
  <c r="Q35" i="22"/>
  <c r="J19" i="22"/>
  <c r="M19" i="22"/>
  <c r="N19" i="22"/>
  <c r="R35" i="21"/>
  <c r="N29" i="21"/>
  <c r="J29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F15" i="19"/>
  <c r="G15" i="19"/>
  <c r="H15" i="17"/>
  <c r="F15" i="17"/>
  <c r="G15" i="17"/>
  <c r="F15" i="20"/>
  <c r="G15" i="18"/>
  <c r="I15" i="17"/>
  <c r="H15" i="18"/>
  <c r="I15" i="18"/>
  <c r="F15" i="18"/>
  <c r="H15" i="20"/>
  <c r="E15" i="18"/>
  <c r="I15" i="19"/>
  <c r="E15" i="19"/>
  <c r="J15" i="18"/>
  <c r="J15" i="17"/>
  <c r="G15" i="20"/>
  <c r="J15" i="19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J26" i="17" s="1"/>
  <c r="I16" i="17"/>
  <c r="I18" i="17" s="1"/>
  <c r="I23" i="17" s="1"/>
  <c r="I26" i="17" s="1"/>
  <c r="H16" i="17"/>
  <c r="H18" i="17" s="1"/>
  <c r="H23" i="17" s="1"/>
  <c r="H26" i="17" s="1"/>
  <c r="F16" i="17"/>
  <c r="F18" i="17" s="1"/>
  <c r="F23" i="17" s="1"/>
  <c r="F26" i="17" s="1"/>
  <c r="G16" i="17"/>
  <c r="G18" i="17" s="1"/>
  <c r="G23" i="17" s="1"/>
  <c r="G26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F26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F26" i="18" s="1"/>
  <c r="G17" i="18"/>
  <c r="G16" i="18"/>
  <c r="G18" i="18" s="1"/>
  <c r="G23" i="18" s="1"/>
  <c r="G26" i="18" s="1"/>
  <c r="H16" i="18"/>
  <c r="H18" i="18" s="1"/>
  <c r="H23" i="18" s="1"/>
  <c r="H26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I15" i="20"/>
  <c r="E15" i="17"/>
  <c r="J15" i="20"/>
  <c r="H15" i="19"/>
  <c r="E16" i="17" l="1"/>
  <c r="E18" i="17" s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6" i="20"/>
  <c r="E18" i="20" s="1"/>
  <c r="E23" i="20" s="1"/>
  <c r="E26" i="20" s="1"/>
  <c r="J16" i="20"/>
  <c r="J18" i="20" s="1"/>
  <c r="J17" i="20"/>
  <c r="I16" i="20"/>
  <c r="I18" i="20" s="1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6" i="19"/>
  <c r="H18" i="19" s="1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7" i="6"/>
  <c r="B10" i="6"/>
  <c r="B20" i="6"/>
  <c r="B16" i="6"/>
  <c r="B6" i="6"/>
  <c r="B15" i="6"/>
  <c r="B21" i="6"/>
  <c r="B12" i="6"/>
  <c r="B9" i="6"/>
  <c r="B22" i="6"/>
  <c r="B8" i="6"/>
  <c r="B17" i="6"/>
  <c r="B11" i="6"/>
  <c r="B19" i="6"/>
  <c r="B13" i="6"/>
  <c r="B18" i="6"/>
  <c r="B14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20" i="12"/>
  <c r="E5" i="12"/>
  <c r="E9" i="12"/>
  <c r="E24" i="12"/>
  <c r="E23" i="12"/>
  <c r="E27" i="12"/>
  <c r="E7" i="12"/>
  <c r="E10" i="12"/>
  <c r="E17" i="12"/>
  <c r="E16" i="12"/>
  <c r="B6" i="4"/>
  <c r="E8" i="12"/>
  <c r="E11" i="12"/>
  <c r="E6" i="12"/>
  <c r="E25" i="12"/>
  <c r="E30" i="12"/>
  <c r="E14" i="12"/>
  <c r="E12" i="12"/>
  <c r="E32" i="12"/>
  <c r="E26" i="12"/>
  <c r="E28" i="12"/>
  <c r="E35" i="12"/>
  <c r="E13" i="12"/>
  <c r="E34" i="12"/>
  <c r="E31" i="12"/>
  <c r="E33" i="12"/>
  <c r="E15" i="12"/>
  <c r="E18" i="12"/>
  <c r="E22" i="12"/>
  <c r="E29" i="12"/>
  <c r="E21" i="12"/>
  <c r="E19" i="12"/>
  <c r="E36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8" i="5"/>
  <c r="B25" i="5"/>
  <c r="B14" i="7"/>
  <c r="B20" i="9"/>
  <c r="B6" i="7"/>
  <c r="B24" i="4"/>
  <c r="B35" i="8"/>
  <c r="B16" i="5"/>
  <c r="B11" i="8"/>
  <c r="B14" i="5"/>
  <c r="B14" i="9"/>
  <c r="B7" i="9"/>
  <c r="B17" i="9"/>
  <c r="B10" i="8"/>
  <c r="B13" i="5"/>
  <c r="B11" i="9"/>
  <c r="B30" i="8"/>
  <c r="B11" i="7"/>
  <c r="B12" i="7"/>
  <c r="B22" i="5"/>
  <c r="B22" i="8"/>
  <c r="B14" i="8"/>
  <c r="B17" i="8"/>
  <c r="B21" i="7"/>
  <c r="B13" i="4"/>
  <c r="B18" i="7"/>
  <c r="B15" i="5"/>
  <c r="B23" i="4"/>
  <c r="B25" i="8"/>
  <c r="B20" i="7"/>
  <c r="B27" i="8"/>
  <c r="B23" i="8"/>
  <c r="B22" i="7"/>
  <c r="B36" i="8"/>
  <c r="B7" i="8"/>
  <c r="B9" i="8"/>
  <c r="B25" i="4"/>
  <c r="B33" i="8"/>
  <c r="B13" i="8"/>
  <c r="B13" i="7"/>
  <c r="B21" i="5"/>
  <c r="B15" i="9"/>
  <c r="B28" i="8"/>
  <c r="B14" i="4"/>
  <c r="B8" i="8"/>
  <c r="B12" i="4"/>
  <c r="B19" i="8"/>
  <c r="B18" i="8"/>
  <c r="B5" i="9"/>
  <c r="B12" i="9"/>
  <c r="B8" i="7"/>
  <c r="B9" i="5"/>
  <c r="B21" i="8"/>
  <c r="B7" i="5"/>
  <c r="B7" i="7"/>
  <c r="B21" i="4"/>
  <c r="B16" i="9"/>
  <c r="B31" i="8"/>
  <c r="B19" i="4"/>
  <c r="B12" i="8"/>
  <c r="B15" i="8"/>
  <c r="B16" i="4"/>
  <c r="B17" i="7"/>
  <c r="B16" i="8"/>
  <c r="B7" i="4"/>
  <c r="B15" i="4"/>
  <c r="B9" i="7"/>
  <c r="B26" i="8"/>
  <c r="B34" i="8"/>
  <c r="B24" i="8"/>
  <c r="B15" i="7"/>
  <c r="B17" i="5"/>
  <c r="B11" i="4"/>
  <c r="B10" i="5"/>
  <c r="B9" i="4"/>
  <c r="B19" i="9"/>
  <c r="B12" i="5"/>
  <c r="B18" i="5"/>
  <c r="B29" i="8"/>
  <c r="B23" i="5"/>
  <c r="B24" i="5"/>
  <c r="B6" i="5"/>
  <c r="B20" i="8"/>
  <c r="B17" i="4"/>
  <c r="B16" i="7"/>
  <c r="B13" i="9"/>
  <c r="B8" i="9"/>
  <c r="B18" i="4"/>
  <c r="B19" i="7"/>
  <c r="B6" i="8"/>
  <c r="B10" i="7"/>
  <c r="B6" i="9"/>
  <c r="B11" i="5"/>
  <c r="B19" i="5"/>
  <c r="B8" i="4"/>
  <c r="B32" i="8"/>
  <c r="B18" i="9"/>
  <c r="B10" i="9"/>
  <c r="B9" i="9"/>
  <c r="B10" i="4"/>
  <c r="B20" i="4"/>
  <c r="B5" i="8"/>
  <c r="B20" i="5"/>
  <c r="B22" i="4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22" i="2"/>
  <c r="B33" i="1"/>
  <c r="B12" i="1"/>
  <c r="B49" i="2"/>
  <c r="B22" i="1"/>
  <c r="B70" i="2"/>
  <c r="B10" i="1"/>
  <c r="B17" i="2"/>
  <c r="B57" i="2"/>
  <c r="B26" i="2"/>
  <c r="B7" i="2"/>
  <c r="B68" i="2"/>
  <c r="B21" i="1"/>
  <c r="B15" i="2"/>
  <c r="B36" i="1"/>
  <c r="B33" i="2"/>
  <c r="B20" i="1"/>
  <c r="B59" i="2"/>
  <c r="B30" i="1"/>
  <c r="B36" i="2"/>
  <c r="B27" i="2"/>
  <c r="B53" i="2"/>
  <c r="B52" i="2"/>
  <c r="B67" i="2"/>
  <c r="B9" i="2"/>
  <c r="B47" i="2"/>
  <c r="B30" i="2"/>
  <c r="B34" i="2"/>
  <c r="B15" i="1"/>
  <c r="B6" i="2"/>
  <c r="B9" i="1"/>
  <c r="B5" i="1"/>
  <c r="B21" i="2"/>
  <c r="B29" i="1"/>
  <c r="B16" i="2"/>
  <c r="B46" i="2"/>
  <c r="B13" i="1"/>
  <c r="B28" i="1"/>
  <c r="B72" i="2"/>
  <c r="B24" i="2"/>
  <c r="B41" i="2"/>
  <c r="B10" i="2"/>
  <c r="B24" i="1"/>
  <c r="B61" i="2"/>
  <c r="B32" i="2"/>
  <c r="B18" i="1"/>
  <c r="B51" i="2"/>
  <c r="B58" i="2"/>
  <c r="B71" i="2"/>
  <c r="B63" i="2"/>
  <c r="B6" i="1"/>
  <c r="B64" i="2"/>
  <c r="B65" i="2"/>
  <c r="B11" i="1"/>
  <c r="B48" i="2"/>
  <c r="B66" i="2"/>
  <c r="B14" i="2"/>
  <c r="B69" i="2"/>
  <c r="B31" i="2"/>
  <c r="B29" i="2"/>
  <c r="B42" i="2"/>
  <c r="B18" i="2"/>
  <c r="B14" i="1"/>
  <c r="B23" i="1"/>
  <c r="B26" i="1"/>
  <c r="B7" i="1"/>
  <c r="B31" i="1"/>
  <c r="B20" i="2"/>
  <c r="B56" i="2"/>
  <c r="B16" i="1"/>
  <c r="B27" i="1"/>
  <c r="B8" i="2"/>
  <c r="B17" i="1"/>
  <c r="B35" i="1"/>
  <c r="B43" i="2"/>
  <c r="B35" i="2"/>
  <c r="B44" i="2"/>
  <c r="B13" i="2"/>
  <c r="B60" i="2"/>
  <c r="B34" i="1"/>
  <c r="B45" i="2"/>
  <c r="B50" i="2"/>
  <c r="B19" i="1"/>
  <c r="B28" i="2"/>
  <c r="B25" i="1"/>
  <c r="B62" i="2"/>
  <c r="B54" i="2"/>
  <c r="B8" i="1"/>
  <c r="B25" i="2"/>
  <c r="B19" i="2"/>
  <c r="B12" i="2"/>
  <c r="B32" i="1"/>
  <c r="B11" i="2"/>
  <c r="B55" i="2"/>
  <c r="B23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D6EF9549-F5C2-4973-B50F-954AEF66F10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0923E74-2AD7-420D-B8D0-DFE29215FC6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3DFB54FE-C355-4D09-BB2C-6BA9D0D8E61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0F428E93-8DF0-4822-8796-800C3BDF9DA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944CC527-3608-4420-84A9-88DCCCC5707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9734A0A3-E864-4ACA-A6A5-55E7653AD3D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82566A68-7AC7-496F-AAC2-9B49F8C13EA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23C85E64-DD3D-4DFA-9DFB-8E8F12F119D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20AB5F6-2C78-4928-960A-17BD0706604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0B7CFB58-4068-4973-B79F-5C79644D32F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2B1D69ED-7FE1-4133-A3E4-190BEB84895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0840D28F-CAA9-4FC8-AF6B-3E2038F3143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7807F690-F9F5-4B18-9413-56BA49514A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3D84E6CE-7E12-41CA-940C-E631A3B6B0A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53C97840-9919-49AA-A072-E6F50811A33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DCE4225-DC2B-4D31-8182-F850406F934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824265E3-E578-482C-BE59-6D54D347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F1CBB476-C0F5-4981-AFAC-01D8B6E9281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26F21A70-184D-42BA-8DFD-893F8759882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DADCE761-C60D-4732-AFD6-5C297FF0E3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E0DEE345-56BE-457D-8DAA-E357DE9CB43C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B0A9CBE6-74EC-42A5-A214-AE2C8C7C5AC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102C22E-FF12-461C-BF55-5811E226BDD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696A4DE0-EF8A-4B15-B55D-B96CE51CF29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B39C5B41-EFA6-4D2B-95D3-C3CBBE45081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D8A44FDA-4173-4531-B253-0F42B9F25141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E7944D9C-5FF3-4B75-827A-9C6C2D5F421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07015883-1653-40BB-85AB-434E1D59E9A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44" authorId="1" shapeId="0" xr:uid="{F6D48DF7-A1A7-45D3-ABAE-2991508C719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44" authorId="2" shapeId="0" xr:uid="{0CA8EFEE-5221-41BF-A6B1-8536A7B4126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44" authorId="3" shapeId="0" xr:uid="{D0EABE00-5001-4D89-A261-641347E7CDB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44" authorId="4" shapeId="0" xr:uid="{E8960FD6-43D8-4A4D-BCF8-E239FAC97A6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44" authorId="5" shapeId="0" xr:uid="{FBF590CE-98C6-456F-BBCA-7C67A88A4A35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44" authorId="6" shapeId="0" xr:uid="{EB70AD47-F6F1-48D2-91D9-7D2A1FE4113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44" authorId="7" shapeId="0" xr:uid="{2325AD1E-6BA5-4C61-BA98-B5DD89EF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sharedStrings.xml><?xml version="1.0" encoding="utf-8"?>
<sst xmlns="http://schemas.openxmlformats.org/spreadsheetml/2006/main" count="1603" uniqueCount="481">
  <si>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</si>
  <si>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</si>
  <si>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</si>
  <si>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</si>
  <si>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</si>
  <si>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</si>
  <si>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</si>
  <si>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</si>
  <si>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</si>
  <si>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</si>
  <si>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</si>
  <si>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</si>
  <si>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</si>
  <si>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</si>
  <si>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</si>
  <si>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</si>
  <si>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</si>
  <si>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</si>
  <si>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</si>
  <si>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</si>
  <si>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</si>
  <si>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</si>
  <si>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</si>
  <si>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</si>
  <si>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</si>
  <si>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</si>
  <si>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</si>
  <si>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</si>
  <si>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</si>
  <si>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</si>
  <si>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</si>
  <si>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</si>
  <si>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</si>
  <si>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</si>
  <si>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</si>
  <si>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</si>
  <si>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</si>
  <si>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</si>
  <si>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</si>
  <si>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</si>
  <si>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</si>
  <si>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</si>
  <si>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</si>
  <si>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</si>
  <si>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</si>
  <si>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</si>
  <si>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</si>
  <si>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</si>
  <si>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</si>
  <si>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</si>
  <si>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</si>
  <si>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</si>
  <si>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</si>
  <si>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</si>
  <si>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</si>
  <si>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</si>
  <si>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</si>
  <si>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</si>
  <si>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</si>
  <si>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</si>
  <si>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</si>
  <si>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</si>
  <si>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</si>
  <si>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</si>
  <si>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</si>
  <si>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</si>
  <si>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</si>
  <si>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</si>
  <si>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</si>
  <si>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</si>
  <si>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</si>
  <si>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</si>
  <si>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</si>
  <si>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</si>
  <si>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</si>
  <si>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</si>
  <si>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</si>
  <si>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</si>
  <si>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</si>
  <si>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</si>
  <si>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</si>
  <si>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</si>
  <si>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</si>
  <si>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</si>
  <si>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</si>
  <si>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</si>
  <si>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</si>
  <si>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</si>
  <si>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</si>
  <si>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</si>
  <si>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</si>
  <si>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</si>
  <si>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</si>
  <si>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</si>
  <si>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</si>
  <si>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</si>
  <si>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</si>
  <si>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</si>
  <si>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</si>
  <si>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</si>
  <si>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</si>
  <si>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</si>
  <si>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</si>
  <si>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</si>
  <si>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</si>
  <si>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</si>
  <si>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</si>
  <si>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</si>
  <si>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</si>
  <si>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</si>
  <si>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</si>
  <si>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</si>
  <si>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</si>
  <si>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</si>
  <si>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</si>
  <si>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</si>
  <si>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</si>
  <si>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</si>
  <si>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</si>
  <si>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</si>
  <si>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</si>
  <si>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</si>
  <si>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</si>
  <si>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</si>
  <si>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</si>
  <si>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</si>
  <si>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</si>
  <si>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</si>
  <si>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</si>
  <si>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</si>
  <si>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</si>
  <si>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</si>
  <si>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</si>
  <si>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</si>
  <si>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</si>
  <si>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</si>
  <si>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</si>
  <si>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</si>
  <si>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</si>
  <si>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</si>
  <si>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</si>
  <si>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</si>
  <si>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</si>
  <si>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</si>
  <si>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</si>
  <si>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</si>
  <si>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</si>
  <si>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</si>
  <si>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</si>
  <si>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</si>
  <si>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</si>
  <si>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</si>
  <si>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</si>
  <si>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</si>
  <si>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</si>
  <si>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</si>
  <si>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</si>
  <si>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</si>
  <si>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</si>
  <si>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</si>
  <si>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</si>
  <si>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</si>
  <si>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</si>
  <si>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</si>
  <si>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</si>
  <si>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</si>
  <si>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</si>
  <si>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</si>
  <si>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</si>
  <si>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</si>
  <si>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</si>
  <si>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</si>
  <si>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</si>
  <si>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</si>
  <si>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</si>
  <si>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</si>
  <si>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</si>
  <si>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</si>
  <si>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</si>
  <si>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</si>
  <si>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</si>
  <si>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</si>
  <si>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</si>
  <si>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</si>
  <si>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</si>
  <si>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</si>
  <si>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</si>
  <si>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</si>
  <si>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</si>
  <si>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</si>
  <si>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</si>
  <si>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</si>
  <si>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</si>
  <si>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</si>
  <si>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</si>
  <si>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</si>
  <si>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</si>
  <si>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</si>
  <si>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</si>
  <si>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</si>
  <si>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</si>
  <si>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</si>
  <si>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</si>
  <si>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</si>
  <si>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</si>
  <si>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</si>
  <si>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</si>
  <si>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</si>
  <si>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</si>
  <si>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</si>
  <si>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</si>
  <si>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</si>
  <si>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</si>
  <si>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</si>
  <si>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</si>
  <si>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</si>
  <si>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</si>
  <si>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</si>
  <si>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</si>
  <si>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</si>
  <si>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</si>
  <si>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</si>
  <si>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</si>
  <si>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</si>
  <si>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</si>
  <si>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</si>
  <si>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</si>
  <si>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</si>
  <si>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</si>
  <si>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</si>
  <si>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</si>
  <si>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</si>
  <si>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</si>
  <si>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</si>
  <si>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</si>
  <si>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</si>
  <si>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</si>
  <si>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</si>
  <si>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</si>
  <si>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</si>
  <si>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</si>
  <si>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</si>
  <si>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</si>
  <si>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</si>
  <si>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</si>
  <si>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</si>
  <si>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</si>
  <si>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</si>
  <si>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</si>
  <si>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</si>
  <si>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</si>
  <si>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</si>
  <si>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</si>
  <si>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</si>
  <si>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</si>
  <si>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</si>
  <si>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</si>
  <si>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</si>
  <si>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</si>
  <si>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</si>
  <si>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</si>
  <si>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</si>
  <si>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</si>
  <si>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</si>
  <si>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</si>
  <si>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</si>
  <si>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</si>
  <si>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</si>
  <si>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</si>
  <si>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</si>
  <si>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</si>
  <si>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</si>
  <si>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</si>
  <si>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</si>
  <si>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</si>
  <si>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</si>
  <si>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</si>
  <si>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</si>
  <si>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</si>
  <si>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</si>
  <si>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</si>
  <si>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</si>
  <si>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</si>
  <si>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</si>
  <si>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</si>
  <si>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</si>
  <si>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</si>
  <si>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</si>
  <si>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</si>
  <si>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</si>
  <si>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</si>
  <si>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</si>
  <si>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</si>
  <si>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</si>
  <si>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</si>
  <si>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</si>
  <si>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</si>
  <si>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</si>
  <si>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</si>
  <si>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</si>
  <si>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</si>
  <si>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</si>
  <si>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</si>
  <si>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</si>
  <si>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</si>
  <si>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</si>
  <si>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</si>
  <si>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</si>
  <si>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</si>
  <si>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</si>
  <si>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</si>
  <si>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</si>
  <si>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</si>
  <si>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</si>
  <si>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</si>
  <si>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</si>
  <si>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</si>
  <si>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</si>
  <si>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</si>
  <si>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</si>
  <si>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</si>
  <si>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</si>
  <si>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</si>
  <si>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</si>
  <si>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</si>
  <si>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</si>
  <si>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</si>
  <si>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</si>
  <si>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</si>
  <si>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</si>
  <si>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</si>
  <si>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</si>
  <si>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</si>
  <si>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</si>
  <si>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</si>
  <si>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</si>
  <si>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</si>
  <si>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</si>
  <si>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</si>
  <si>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</si>
  <si>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</si>
  <si>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</si>
  <si>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</si>
  <si>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</si>
  <si>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</si>
  <si>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</si>
  <si>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</si>
  <si>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</si>
  <si>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</si>
  <si>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</si>
  <si>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</si>
  <si>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</si>
  <si>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</si>
  <si>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</si>
  <si>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</si>
  <si>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</si>
  <si>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</si>
  <si>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</si>
  <si>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</si>
  <si>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</si>
  <si>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</si>
  <si>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</si>
  <si>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</si>
  <si>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</si>
  <si>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</si>
  <si>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</si>
  <si>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</si>
  <si>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</si>
  <si>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</si>
  <si>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</si>
  <si>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</si>
  <si>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</si>
  <si>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</si>
  <si>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</si>
  <si>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</si>
  <si>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</si>
  <si>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</si>
  <si>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</si>
  <si>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</si>
  <si>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</si>
  <si>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</si>
  <si>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</si>
  <si>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</si>
  <si>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</si>
  <si>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</si>
  <si>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</si>
  <si>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</si>
  <si>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</si>
  <si>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</si>
  <si>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</si>
  <si>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</si>
  <si>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</si>
  <si>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</si>
  <si>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</si>
  <si>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</si>
  <si>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</si>
  <si>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</si>
  <si>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</si>
  <si>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</si>
  <si>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</si>
  <si>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</si>
  <si>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</si>
  <si>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</si>
  <si>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</si>
  <si>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</si>
  <si>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</si>
  <si>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</si>
  <si>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</si>
  <si>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</si>
  <si>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</si>
  <si>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</si>
  <si>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</si>
  <si>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</si>
  <si>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</si>
  <si>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</si>
  <si>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</si>
  <si>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</si>
  <si>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</si>
  <si>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</si>
  <si>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</si>
  <si>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</si>
  <si>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</si>
  <si>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</si>
  <si>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</si>
  <si>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</si>
  <si>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</si>
  <si>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</si>
  <si>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</si>
  <si>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===&gt; giá bán TB 900đ/a4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</si>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</sst>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6" fillId="0" borderId="0" xfId="0" quotePrefix="1" applyFont="1"/>
    <xf numFmtId="0" fontId="13" fillId="0" borderId="0" xfId="0" applyFont="1"/>
  </cellXfs>
  <cellStyles count="6">
    <cellStyle name="Calculation" xfId="5" builtinId="22"/>
    <cellStyle name="Comma" xfId="3" builtinId="3"/>
    <cellStyle name="Currency" xfId="1" builtinId="4"/>
    <cellStyle name="Good" xfId="4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D22" sqref="D2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 t="shared" ref="E15:J15" si="2">PhiMayInToner4M(E$14)</f>
        <v>177941.3333</v>
      </c>
      <c r="F15" s="36">
        <f t="shared" si="2"/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300</v>
      </c>
      <c r="E16" s="36">
        <f t="shared" ref="E16:J16" si="3">E$15*2</f>
        <v>355882.6666</v>
      </c>
      <c r="F16" s="36">
        <f t="shared" si="3"/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293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296</v>
      </c>
      <c r="E18" s="29">
        <f t="shared" ref="E18:J18" si="5">E$16*(1+$D$7)</f>
        <v>622794.66654999997</v>
      </c>
      <c r="F18" s="29">
        <f t="shared" si="5"/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288</v>
      </c>
      <c r="E19" s="7">
        <f t="shared" ref="E19:J19" si="6">E$17/E$13</f>
        <v>4097.3333325657895</v>
      </c>
      <c r="F19" s="7">
        <f t="shared" si="6"/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290</v>
      </c>
      <c r="E20" s="7">
        <f t="shared" ref="E20:J20" si="7">E$17/E$14</f>
        <v>2048.6666662828948</v>
      </c>
      <c r="F20" s="7">
        <f t="shared" si="7"/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379892.33327499998</v>
      </c>
      <c r="F22" s="29">
        <f t="shared" si="9"/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295</v>
      </c>
      <c r="E23" s="29">
        <f t="shared" ref="E23:J23" si="10">E$18+E$21</f>
        <v>691289.66654999997</v>
      </c>
      <c r="F23" s="29">
        <f t="shared" si="10"/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379000</v>
      </c>
      <c r="F25" s="7">
        <f t="shared" si="11"/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365</v>
      </c>
      <c r="E26" s="7">
        <f t="shared" ref="E26:J26" si="12">E$23-MOD(E$23,1000)</f>
        <v>691000</v>
      </c>
      <c r="F26" s="7">
        <f t="shared" si="12"/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 t="shared" ref="E15:J15" si="2">PhiMayInToner4M(E$14)</f>
        <v>84445.333299999998</v>
      </c>
      <c r="F15" s="36">
        <f t="shared" si="2"/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 t="shared" ref="E16:J16" si="3">E$15*2</f>
        <v>168890.6666</v>
      </c>
      <c r="F16" s="36">
        <f t="shared" si="3"/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 t="shared" ref="E18:J18" si="5">E$16*(1+$D$7)</f>
        <v>295558.66654999997</v>
      </c>
      <c r="F18" s="29">
        <f t="shared" si="5"/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 t="shared" ref="E19:J19" si="6">E$17/E$13</f>
        <v>10555.666662499998</v>
      </c>
      <c r="F19" s="7">
        <f t="shared" si="6"/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 t="shared" ref="E20:J20" si="7">E$17/E$14</f>
        <v>5277.833331249999</v>
      </c>
      <c r="F20" s="7">
        <f t="shared" si="7"/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160396.83327499998</v>
      </c>
      <c r="F22" s="29">
        <f t="shared" si="9"/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295</v>
      </c>
      <c r="E23" s="29">
        <f t="shared" ref="E23:J23" si="10">E$18+E$21</f>
        <v>308176.16654999997</v>
      </c>
      <c r="F23" s="29">
        <f t="shared" si="10"/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160000</v>
      </c>
      <c r="F25" s="7">
        <f t="shared" si="11"/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365</v>
      </c>
      <c r="E26" s="7">
        <f t="shared" ref="E26:J26" si="12">E$23-MOD(E$23,1000)</f>
        <v>308000</v>
      </c>
      <c r="F26" s="7">
        <f t="shared" si="12"/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 t="shared" ref="E15:J15" si="2">PhiMayInToner4M(E$14)</f>
        <v>75397.333299999998</v>
      </c>
      <c r="F15" s="36">
        <f t="shared" si="2"/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300</v>
      </c>
      <c r="E16" s="36">
        <f t="shared" ref="E16:J16" si="3">E$15*2</f>
        <v>150794.6666</v>
      </c>
      <c r="F16" s="36">
        <f t="shared" si="3"/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293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296</v>
      </c>
      <c r="E18" s="29">
        <f t="shared" ref="E18:J18" si="5">E$16*(1+$D$7)</f>
        <v>263890.66654999997</v>
      </c>
      <c r="F18" s="29">
        <f t="shared" si="5"/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288</v>
      </c>
      <c r="E19" s="7">
        <f t="shared" ref="E19:J19" si="6">E$17/E$13</f>
        <v>16493.166659374998</v>
      </c>
      <c r="F19" s="7">
        <f t="shared" si="6"/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290</v>
      </c>
      <c r="E20" s="7">
        <f t="shared" ref="E20:J20" si="7">E$17/E$14</f>
        <v>8246.5833296874989</v>
      </c>
      <c r="F20" s="7">
        <f t="shared" si="7"/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139155.33327499998</v>
      </c>
      <c r="F22" s="29">
        <f t="shared" si="9"/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295</v>
      </c>
      <c r="E23" s="29">
        <f t="shared" ref="E23:J23" si="10">E$18+E$21</f>
        <v>271100.66654999997</v>
      </c>
      <c r="F23" s="29">
        <f t="shared" si="10"/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139000</v>
      </c>
      <c r="F25" s="7">
        <f t="shared" si="11"/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365</v>
      </c>
      <c r="E26" s="7">
        <f t="shared" ref="E26:J26" si="12">E$23-MOD(E$23,1000)</f>
        <v>271000</v>
      </c>
      <c r="F26" s="7">
        <f t="shared" si="12"/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 t="shared" ref="E15:J15" si="2">PhiMayInToner4M(E$14)</f>
        <v>78413.333299999998</v>
      </c>
      <c r="F15" s="36">
        <f t="shared" si="2"/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 t="shared" ref="E16:J16" si="3">E$15*2</f>
        <v>156826.6666</v>
      </c>
      <c r="F16" s="36">
        <f t="shared" si="3"/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 t="shared" ref="E18:J18" si="5">E$16*(1+$D$7)</f>
        <v>274446.66654999997</v>
      </c>
      <c r="F18" s="29">
        <f t="shared" si="5"/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 t="shared" ref="E19:J19" si="6">E$17/E$13</f>
        <v>13722.333327499999</v>
      </c>
      <c r="F19" s="7">
        <f t="shared" si="6"/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 t="shared" ref="E20:J20" si="7">E$17/E$14</f>
        <v>6861.1666637499993</v>
      </c>
      <c r="F20" s="7">
        <f t="shared" si="7"/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146235.83327499998</v>
      </c>
      <c r="F22" s="29">
        <f t="shared" si="9"/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295</v>
      </c>
      <c r="E23" s="29">
        <f t="shared" ref="E23:J23" si="10">E$18+E$21</f>
        <v>283459.16654999997</v>
      </c>
      <c r="F23" s="29">
        <f t="shared" si="10"/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146000</v>
      </c>
      <c r="F25" s="7">
        <f t="shared" si="11"/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365</v>
      </c>
      <c r="E26" s="7">
        <f t="shared" ref="E26:J26" si="12">E$23-MOD(E$23,1000)</f>
        <v>283000</v>
      </c>
      <c r="F26" s="7">
        <f t="shared" si="12"/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B43" sqref="B4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300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293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296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288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290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316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140828.64635</v>
      </c>
      <c r="F33" s="7">
        <f t="shared" si="17"/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317</v>
      </c>
      <c r="E34" s="7">
        <f t="shared" ref="E34:J34" si="19">E$33/E$16</f>
        <v>2816.5729269999997</v>
      </c>
      <c r="F34" s="7">
        <f t="shared" si="19"/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 t="shared" ref="M34:R34" si="20">M$17*$E$14/M$16</f>
        <v>150.25919999999999</v>
      </c>
      <c r="N34" s="7">
        <f t="shared" si="20"/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153323.95925000001</v>
      </c>
      <c r="F35" s="7">
        <f t="shared" si="21"/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318</v>
      </c>
      <c r="E36" s="7">
        <f t="shared" ref="E36:J36" si="23">E$35/E$16</f>
        <v>3066.4791850000001</v>
      </c>
      <c r="F36" s="7">
        <f t="shared" si="23"/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 t="shared" ref="M36:R36" si="24">M$17*2*$E$14/M$16</f>
        <v>300.51839999999999</v>
      </c>
      <c r="N36" s="7">
        <f t="shared" si="24"/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366</v>
      </c>
      <c r="E39" s="7">
        <f t="shared" ref="E39:J39" si="25">E$26-MOD(E$26,1000)</f>
        <v>390000</v>
      </c>
      <c r="F39" s="7">
        <f t="shared" si="25"/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367</v>
      </c>
      <c r="E40" s="7">
        <f t="shared" ref="E40:J40" si="26">E$27-MOD(E$27,1000)</f>
        <v>394000</v>
      </c>
      <c r="F40" s="7">
        <f t="shared" si="26"/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300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293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296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288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290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316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134951.94055</v>
      </c>
      <c r="F33" s="7">
        <f t="shared" si="17"/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317</v>
      </c>
      <c r="E34" s="7">
        <f t="shared" ref="E34:J34" si="19">E$33/E$16</f>
        <v>2699.0388109999999</v>
      </c>
      <c r="F34" s="7">
        <f t="shared" si="19"/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 t="shared" ref="M34:R34" si="20">M$17*$E$14/M$16</f>
        <v>78.019199999999998</v>
      </c>
      <c r="N34" s="7">
        <f t="shared" si="20"/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141570.54765000002</v>
      </c>
      <c r="F35" s="7">
        <f t="shared" si="21"/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318</v>
      </c>
      <c r="E36" s="7">
        <f t="shared" ref="E36:J36" si="23">E$35/E$16</f>
        <v>2831.4109530000005</v>
      </c>
      <c r="F36" s="7">
        <f t="shared" si="23"/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 t="shared" ref="M36:R36" si="24">M$17*2*$E$14/M$16</f>
        <v>156.0384</v>
      </c>
      <c r="N36" s="7">
        <f t="shared" si="24"/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366</v>
      </c>
      <c r="E39" s="7">
        <f t="shared" ref="E39:J39" si="25">E$26-MOD(E$26,1000)</f>
        <v>309000</v>
      </c>
      <c r="F39" s="7">
        <f t="shared" si="25"/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367</v>
      </c>
      <c r="E40" s="7">
        <f t="shared" ref="E40:J40" si="26">E$27-MOD(E$27,1000)</f>
        <v>311000</v>
      </c>
      <c r="F40" s="7">
        <f t="shared" si="26"/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300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293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296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288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290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323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153034.99924999999</v>
      </c>
      <c r="F33" s="7">
        <f t="shared" si="17"/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317</v>
      </c>
      <c r="E34" s="7">
        <f t="shared" ref="E34:J34" si="19">E$33/E$16</f>
        <v>3060.6999849999997</v>
      </c>
      <c r="F34" s="7">
        <f t="shared" si="19"/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 t="shared" ref="M34:R34" si="20">M$17*$E$14/M$16</f>
        <v>294.73919999999998</v>
      </c>
      <c r="N34" s="7">
        <f t="shared" si="20"/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177736.665225</v>
      </c>
      <c r="F35" s="7">
        <f t="shared" si="21"/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318</v>
      </c>
      <c r="E36" s="7">
        <f t="shared" ref="E36:J36" si="23">E$35/E$16</f>
        <v>3554.7333045</v>
      </c>
      <c r="F36" s="7">
        <f t="shared" si="23"/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 t="shared" ref="M36:R36" si="24">M$17*2*$E$14/M$16</f>
        <v>589.47839999999997</v>
      </c>
      <c r="N36" s="7">
        <f t="shared" si="24"/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366</v>
      </c>
      <c r="E39" s="7">
        <f t="shared" ref="E39:J39" si="25">E$26-MOD(E$26,1000)</f>
        <v>560000</v>
      </c>
      <c r="F39" s="7">
        <f t="shared" si="25"/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367</v>
      </c>
      <c r="E40" s="7">
        <f t="shared" ref="E40:J40" si="26">E$27-MOD(E$27,1000)</f>
        <v>582000</v>
      </c>
      <c r="F40" s="7">
        <f t="shared" si="26"/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H46" sqref="H46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300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293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296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288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290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323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147390.13344999999</v>
      </c>
      <c r="F33" s="7">
        <f t="shared" si="17"/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317</v>
      </c>
      <c r="E34" s="7">
        <f t="shared" ref="E34:J34" si="19">E$33/E$16</f>
        <v>5895.6053379999994</v>
      </c>
      <c r="F34" s="7">
        <f t="shared" si="19"/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 t="shared" ref="M34:R34" si="20">M$17*$E$14/M$16</f>
        <v>445.536</v>
      </c>
      <c r="N34" s="7">
        <f t="shared" si="20"/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166446.93345000001</v>
      </c>
      <c r="F35" s="7">
        <f t="shared" si="21"/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318</v>
      </c>
      <c r="E36" s="7">
        <f t="shared" ref="E36:J36" si="23">E$35/E$16</f>
        <v>6657.8773380000002</v>
      </c>
      <c r="F36" s="7">
        <f t="shared" si="23"/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 t="shared" ref="M36:R36" si="24">M$17*2*$E$14/M$16</f>
        <v>891.072</v>
      </c>
      <c r="N36" s="7">
        <f t="shared" si="24"/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366</v>
      </c>
      <c r="E39" s="7">
        <f t="shared" ref="E39:J39" si="25">E$26-MOD(E$26,1000)</f>
        <v>500000</v>
      </c>
      <c r="F39" s="7">
        <f t="shared" si="25"/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367</v>
      </c>
      <c r="E40" s="7">
        <f t="shared" ref="E40:J40" si="26">E$27-MOD(E$27,1000)</f>
        <v>521000</v>
      </c>
      <c r="F40" s="7">
        <f t="shared" si="26"/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workbookViewId="0">
      <selection activeCell="F10" sqref="F1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300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293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296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288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290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291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294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295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29" spans="1:15" ht="30" x14ac:dyDescent="0.25">
      <c r="A29" s="2" t="s">
        <v>369</v>
      </c>
      <c r="E29" s="7">
        <f>E$26-MOD(E$26,1000)</f>
        <v>160000</v>
      </c>
      <c r="F29" s="7">
        <f t="shared" ref="F29:N29" si="12">F$26-MOD(F$26,1000)</f>
        <v>200000</v>
      </c>
      <c r="G29" s="7">
        <f t="shared" si="12"/>
        <v>240000</v>
      </c>
      <c r="H29" s="7">
        <f t="shared" si="12"/>
        <v>280000</v>
      </c>
      <c r="I29" s="7">
        <f t="shared" si="12"/>
        <v>320000</v>
      </c>
      <c r="J29" s="7">
        <f t="shared" si="12"/>
        <v>360000</v>
      </c>
      <c r="K29" s="7">
        <f t="shared" si="12"/>
        <v>400000</v>
      </c>
      <c r="L29" s="7">
        <f t="shared" si="12"/>
        <v>440000</v>
      </c>
      <c r="M29" s="7">
        <f t="shared" si="12"/>
        <v>480000</v>
      </c>
      <c r="N29" s="7">
        <f t="shared" si="12"/>
        <v>520000</v>
      </c>
    </row>
    <row r="30" spans="1:15" ht="30" x14ac:dyDescent="0.25">
      <c r="A30" s="2" t="s">
        <v>370</v>
      </c>
      <c r="E30" s="7">
        <f>E$27-MOD(E$27,1000)</f>
        <v>284000</v>
      </c>
      <c r="F30" s="7">
        <f t="shared" ref="F30:N30" si="13">F$27-MOD(F$27,1000)</f>
        <v>335000</v>
      </c>
      <c r="G30" s="7">
        <f t="shared" si="13"/>
        <v>385000</v>
      </c>
      <c r="H30" s="7">
        <f t="shared" si="13"/>
        <v>436000</v>
      </c>
      <c r="I30" s="7">
        <f t="shared" si="13"/>
        <v>486000</v>
      </c>
      <c r="J30" s="7">
        <f t="shared" si="13"/>
        <v>537000</v>
      </c>
      <c r="K30" s="7">
        <f t="shared" si="13"/>
        <v>587000</v>
      </c>
      <c r="L30" s="7">
        <f t="shared" si="13"/>
        <v>638000</v>
      </c>
      <c r="M30" s="7">
        <f t="shared" si="13"/>
        <v>688000</v>
      </c>
      <c r="N30" s="7">
        <f t="shared" si="13"/>
        <v>739000</v>
      </c>
    </row>
    <row r="37" spans="1:14" x14ac:dyDescent="0.25">
      <c r="A37" s="2" t="s">
        <v>333</v>
      </c>
      <c r="E37" s="7">
        <f>E$26/(E$15)</f>
        <v>160778.33327499998</v>
      </c>
      <c r="F37" s="7">
        <f t="shared" ref="F37:N37" si="14">F$26/(F$16/5)</f>
        <v>125458.95829687499</v>
      </c>
      <c r="G37" s="7">
        <f t="shared" si="14"/>
        <v>100287.63886458334</v>
      </c>
      <c r="H37" s="7">
        <f t="shared" si="14"/>
        <v>87701.979148437487</v>
      </c>
      <c r="I37" s="7">
        <f t="shared" si="14"/>
        <v>80150.583318749996</v>
      </c>
      <c r="J37" s="7">
        <f t="shared" si="14"/>
        <v>75116.319432291668</v>
      </c>
      <c r="K37" s="7">
        <f t="shared" si="14"/>
        <v>71520.416656250003</v>
      </c>
      <c r="L37" s="7">
        <f t="shared" si="14"/>
        <v>68823.489574218736</v>
      </c>
      <c r="M37" s="7">
        <f t="shared" si="14"/>
        <v>66725.879621527769</v>
      </c>
      <c r="N37" s="7">
        <f t="shared" si="14"/>
        <v>65047.791659374998</v>
      </c>
    </row>
    <row r="38" spans="1:14" x14ac:dyDescent="0.25">
      <c r="A38" s="2" t="s">
        <v>334</v>
      </c>
      <c r="E38" s="7">
        <f>E$27/(E$16/5)</f>
        <v>356008.33318749996</v>
      </c>
      <c r="F38" s="7">
        <f t="shared" ref="F38:N38" si="15">F$27/(F$16/5)</f>
        <v>209574.16659374998</v>
      </c>
      <c r="G38" s="7">
        <f t="shared" si="15"/>
        <v>160762.77772916667</v>
      </c>
      <c r="H38" s="7">
        <f t="shared" si="15"/>
        <v>136357.08329687497</v>
      </c>
      <c r="I38" s="7">
        <f t="shared" si="15"/>
        <v>121713.66663749999</v>
      </c>
      <c r="J38" s="7">
        <f t="shared" si="15"/>
        <v>111951.38886458334</v>
      </c>
      <c r="K38" s="7">
        <f t="shared" si="15"/>
        <v>104978.33331250001</v>
      </c>
      <c r="L38" s="7">
        <f t="shared" si="15"/>
        <v>99748.541648437487</v>
      </c>
      <c r="M38" s="7">
        <f t="shared" si="15"/>
        <v>95680.925909722209</v>
      </c>
      <c r="N38" s="7">
        <f t="shared" si="15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10" workbookViewId="0">
      <selection activeCell="E29" sqref="E29:E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343</v>
      </c>
      <c r="E16">
        <f>E$15*$F$6</f>
        <v>25</v>
      </c>
      <c r="F16">
        <f>F$15*$F$6</f>
        <v>50</v>
      </c>
      <c r="G16">
        <f>G$15*$F$6</f>
        <v>100</v>
      </c>
    </row>
    <row r="17" spans="1:7" ht="30" x14ac:dyDescent="0.25">
      <c r="A17" s="2" t="s">
        <v>297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298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292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300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293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296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288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290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291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294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295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29" spans="1:7" x14ac:dyDescent="0.25">
      <c r="A29" s="2" t="s">
        <v>364</v>
      </c>
      <c r="E29" s="7">
        <f>E$26-MOD(E$26,1000)</f>
        <v>193000</v>
      </c>
      <c r="F29" s="7">
        <f>F$26-MOD(F$26,1000)</f>
        <v>272000</v>
      </c>
      <c r="G29" s="7">
        <f>G$26-MOD(G$26,1000)</f>
        <v>431000</v>
      </c>
    </row>
    <row r="30" spans="1:7" x14ac:dyDescent="0.25">
      <c r="A30" s="2" t="s">
        <v>365</v>
      </c>
      <c r="E30" s="7">
        <f>E$27-MOD(E$27,1000)</f>
        <v>338000</v>
      </c>
      <c r="F30" s="7">
        <f>F$27-MOD(F$27,1000)</f>
        <v>450000</v>
      </c>
      <c r="G30" s="7">
        <f>G$27-MOD(G$27,1000)</f>
        <v>675000</v>
      </c>
    </row>
    <row r="37" spans="1:6" x14ac:dyDescent="0.25">
      <c r="A37" s="2" t="s">
        <v>333</v>
      </c>
      <c r="E37" s="7">
        <f>E$26/(E$16/E$15)</f>
        <v>38674.066654999995</v>
      </c>
      <c r="F37" s="7">
        <f>F$26/(F$16/F$15)</f>
        <v>54546.566654999995</v>
      </c>
    </row>
    <row r="38" spans="1:6" x14ac:dyDescent="0.25">
      <c r="A38" s="2" t="s">
        <v>334</v>
      </c>
      <c r="E38" s="7">
        <f>E$27/(E$16/E$15)</f>
        <v>67702.13330999999</v>
      </c>
      <c r="F38" s="7">
        <f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1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64841.333299999998</v>
      </c>
      <c r="M23" s="36">
        <f t="shared" si="5"/>
        <v>140241.3333</v>
      </c>
      <c r="N23" s="36">
        <f t="shared" si="5"/>
        <v>177941.3333</v>
      </c>
      <c r="O23" s="36">
        <f t="shared" si="5"/>
        <v>215641.3333</v>
      </c>
      <c r="P23" s="36">
        <f t="shared" si="5"/>
        <v>253341.3333</v>
      </c>
      <c r="Q23" s="36">
        <f t="shared" si="5"/>
        <v>291041.3333</v>
      </c>
      <c r="R23" s="36">
        <f t="shared" si="5"/>
        <v>366441.3333</v>
      </c>
    </row>
    <row r="24" spans="1:18" x14ac:dyDescent="0.25">
      <c r="A24" s="2" t="s">
        <v>292</v>
      </c>
      <c r="C24" s="36">
        <f t="shared" ref="C24:H24" si="6">PhiMayInToner4M(C$21)</f>
        <v>140241.3333</v>
      </c>
      <c r="D24" s="36">
        <f t="shared" si="6"/>
        <v>177941.3333</v>
      </c>
      <c r="E24" s="36">
        <f t="shared" si="6"/>
        <v>215641.3333</v>
      </c>
      <c r="F24" s="36">
        <f t="shared" si="6"/>
        <v>253341.3333</v>
      </c>
      <c r="G24" s="36">
        <f t="shared" si="6"/>
        <v>291041.3333</v>
      </c>
      <c r="H24" s="36">
        <f t="shared" si="6"/>
        <v>366441.3333</v>
      </c>
      <c r="L24" s="36">
        <f t="shared" ref="L24:R24" si="7">L$23*2</f>
        <v>129682.6666</v>
      </c>
      <c r="M24" s="36">
        <f t="shared" si="7"/>
        <v>280482.6666</v>
      </c>
      <c r="N24" s="36">
        <f t="shared" si="7"/>
        <v>355882.6666</v>
      </c>
      <c r="O24" s="36">
        <f t="shared" si="7"/>
        <v>431282.6666</v>
      </c>
      <c r="P24" s="36">
        <f t="shared" si="7"/>
        <v>506682.6666</v>
      </c>
      <c r="Q24" s="36">
        <f t="shared" si="7"/>
        <v>582082.6666</v>
      </c>
      <c r="R24" s="36">
        <f t="shared" si="7"/>
        <v>732882.6666</v>
      </c>
    </row>
    <row r="25" spans="1:18" x14ac:dyDescent="0.25">
      <c r="A25" s="2" t="s">
        <v>300</v>
      </c>
      <c r="C25" s="36">
        <f t="shared" ref="C25:H25" si="8">C$24*2</f>
        <v>280482.6666</v>
      </c>
      <c r="D25" s="36">
        <f t="shared" si="8"/>
        <v>355882.6666</v>
      </c>
      <c r="E25" s="36">
        <f t="shared" si="8"/>
        <v>431282.6666</v>
      </c>
      <c r="F25" s="36">
        <f t="shared" si="8"/>
        <v>506682.6666</v>
      </c>
      <c r="G25" s="36">
        <f t="shared" si="8"/>
        <v>582082.6666</v>
      </c>
      <c r="H25" s="36">
        <f t="shared" si="8"/>
        <v>732882.6666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113472.333275</v>
      </c>
      <c r="M30" s="29">
        <f t="shared" ref="M30:R30" si="13">M$23*(1+$D$8)</f>
        <v>245422.33327499998</v>
      </c>
      <c r="N30" s="29">
        <f t="shared" si="13"/>
        <v>311397.33327499998</v>
      </c>
      <c r="O30" s="29">
        <f t="shared" si="13"/>
        <v>377372.33327499998</v>
      </c>
      <c r="P30" s="29">
        <f t="shared" si="13"/>
        <v>443347.33327499998</v>
      </c>
      <c r="Q30" s="29">
        <f t="shared" si="13"/>
        <v>509322.33327499998</v>
      </c>
      <c r="R30" s="29">
        <f t="shared" si="13"/>
        <v>641272.33327499998</v>
      </c>
    </row>
    <row r="31" spans="1:18" ht="30" x14ac:dyDescent="0.25">
      <c r="A31" s="2" t="s">
        <v>352</v>
      </c>
      <c r="C31" s="29">
        <f t="shared" ref="C31:H31" si="14">(C$24 + SUM(C$26:C$29))*(1+$D$8)</f>
        <v>872349.91690000007</v>
      </c>
      <c r="D31" s="29">
        <f t="shared" si="14"/>
        <v>1025516.2357999999</v>
      </c>
      <c r="E31" s="29">
        <f t="shared" si="14"/>
        <v>1178682.5557499998</v>
      </c>
      <c r="F31" s="29">
        <f t="shared" si="14"/>
        <v>1331848.875</v>
      </c>
      <c r="G31" s="29">
        <f t="shared" si="14"/>
        <v>1485015.1944250001</v>
      </c>
      <c r="H31" s="29">
        <f t="shared" si="14"/>
        <v>1791347.8329249998</v>
      </c>
      <c r="L31" s="29">
        <f>L$24*(1+$D$8)</f>
        <v>226944.66654999999</v>
      </c>
      <c r="M31" s="29">
        <f t="shared" ref="M31:R31" si="15">M$24*(1+$D$8)</f>
        <v>490844.66654999997</v>
      </c>
      <c r="N31" s="29">
        <f t="shared" si="15"/>
        <v>622794.66654999997</v>
      </c>
      <c r="O31" s="29">
        <f t="shared" si="15"/>
        <v>754744.66654999997</v>
      </c>
      <c r="P31" s="29">
        <f t="shared" si="15"/>
        <v>886694.66654999997</v>
      </c>
      <c r="Q31" s="29">
        <f t="shared" si="15"/>
        <v>1018644.66655</v>
      </c>
      <c r="R31" s="29">
        <f t="shared" si="15"/>
        <v>1282544.66655</v>
      </c>
    </row>
    <row r="32" spans="1:18" ht="30" x14ac:dyDescent="0.25">
      <c r="A32" s="2" t="s">
        <v>353</v>
      </c>
      <c r="C32" s="29">
        <f t="shared" ref="C32:H32" si="16">(C$25 + SUM(C$26:C$29))*(1+$D$8)</f>
        <v>1117772.2501750002</v>
      </c>
      <c r="D32" s="29">
        <f t="shared" si="16"/>
        <v>1336913.569075</v>
      </c>
      <c r="E32" s="29">
        <f t="shared" si="16"/>
        <v>1556054.8890249999</v>
      </c>
      <c r="F32" s="29">
        <f t="shared" si="16"/>
        <v>1775196.2082750001</v>
      </c>
      <c r="G32" s="29">
        <f t="shared" si="16"/>
        <v>1994337.5277</v>
      </c>
      <c r="H32" s="29">
        <f t="shared" si="16"/>
        <v>2432620.1661999999</v>
      </c>
      <c r="L32" s="7">
        <f t="shared" ref="L32:R32" si="17">L$30/L$20</f>
        <v>113472.333275</v>
      </c>
      <c r="M32" s="7">
        <f t="shared" si="17"/>
        <v>4812.2026132352939</v>
      </c>
      <c r="N32" s="7">
        <f t="shared" si="17"/>
        <v>4097.3333325657895</v>
      </c>
      <c r="O32" s="7">
        <f t="shared" si="17"/>
        <v>3736.3597353960395</v>
      </c>
      <c r="P32" s="7">
        <f t="shared" si="17"/>
        <v>3518.6296291666667</v>
      </c>
      <c r="Q32" s="7">
        <f t="shared" si="17"/>
        <v>3372.9955846026487</v>
      </c>
      <c r="R32" s="7">
        <f t="shared" si="17"/>
        <v>3190.4096182835819</v>
      </c>
    </row>
    <row r="33" spans="1:18" x14ac:dyDescent="0.25">
      <c r="A33" s="2" t="s">
        <v>354</v>
      </c>
      <c r="C33" s="7">
        <f t="shared" ref="C33:H33" si="18">C$31/C$19</f>
        <v>17446.998338000001</v>
      </c>
      <c r="D33" s="7">
        <f t="shared" si="18"/>
        <v>13673.549810666666</v>
      </c>
      <c r="E33" s="7">
        <f t="shared" si="18"/>
        <v>11786.825557499998</v>
      </c>
      <c r="F33" s="7">
        <f t="shared" si="18"/>
        <v>10654.790999999999</v>
      </c>
      <c r="G33" s="7">
        <f t="shared" si="18"/>
        <v>9900.1012961666675</v>
      </c>
      <c r="H33" s="7">
        <f t="shared" si="18"/>
        <v>8956.739164624998</v>
      </c>
      <c r="L33" s="7">
        <f t="shared" ref="L33:R33" si="19">L$30/L$21</f>
        <v>56736.166637499999</v>
      </c>
      <c r="M33" s="7">
        <f t="shared" si="19"/>
        <v>2406.101306617647</v>
      </c>
      <c r="N33" s="7">
        <f t="shared" si="19"/>
        <v>2048.6666662828948</v>
      </c>
      <c r="O33" s="7">
        <f t="shared" si="19"/>
        <v>1868.1798676980197</v>
      </c>
      <c r="P33" s="7">
        <f t="shared" si="19"/>
        <v>1759.3148145833334</v>
      </c>
      <c r="Q33" s="7">
        <f t="shared" si="19"/>
        <v>1686.4977923013244</v>
      </c>
      <c r="R33" s="7">
        <f t="shared" si="19"/>
        <v>1595.204809141791</v>
      </c>
    </row>
    <row r="34" spans="1:18" x14ac:dyDescent="0.25">
      <c r="A34" s="2" t="s">
        <v>355</v>
      </c>
      <c r="C34" s="7">
        <f t="shared" ref="C34:H34" si="20">C$32/C$19</f>
        <v>22355.445003500005</v>
      </c>
      <c r="D34" s="7">
        <f t="shared" si="20"/>
        <v>17825.514254333335</v>
      </c>
      <c r="E34" s="7">
        <f t="shared" si="20"/>
        <v>15560.54889025</v>
      </c>
      <c r="F34" s="7">
        <f t="shared" si="20"/>
        <v>14201.569666200001</v>
      </c>
      <c r="G34" s="7">
        <f t="shared" si="20"/>
        <v>13295.583517999999</v>
      </c>
      <c r="H34" s="7">
        <f t="shared" si="20"/>
        <v>12163.100831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229492.66654999999</v>
      </c>
      <c r="M35" s="29">
        <f t="shared" si="21"/>
        <v>620792.66654999997</v>
      </c>
      <c r="N35" s="29">
        <f t="shared" si="21"/>
        <v>816442.66654999997</v>
      </c>
      <c r="O35" s="29">
        <f t="shared" si="21"/>
        <v>1012092.66655</v>
      </c>
      <c r="P35" s="29">
        <f t="shared" si="21"/>
        <v>1207742.66655</v>
      </c>
      <c r="Q35" s="29">
        <f t="shared" si="21"/>
        <v>1403392.66655</v>
      </c>
      <c r="R35" s="29">
        <f t="shared" si="21"/>
        <v>1794692.66655</v>
      </c>
    </row>
    <row r="36" spans="1:18" ht="30" x14ac:dyDescent="0.25">
      <c r="A36" s="2" t="s">
        <v>371</v>
      </c>
      <c r="C36" s="7">
        <f t="shared" ref="C36:H36" si="22">C$31-MOD(C$31,1000)</f>
        <v>872000</v>
      </c>
      <c r="D36" s="7">
        <f t="shared" si="22"/>
        <v>1025000</v>
      </c>
      <c r="E36" s="7">
        <f t="shared" si="22"/>
        <v>1178000</v>
      </c>
      <c r="F36" s="7">
        <f t="shared" si="22"/>
        <v>1331000</v>
      </c>
      <c r="G36" s="7">
        <f t="shared" si="22"/>
        <v>1485000</v>
      </c>
      <c r="H36" s="7">
        <f t="shared" si="22"/>
        <v>1791000</v>
      </c>
      <c r="L36" s="29">
        <f t="shared" ref="L36:R36" si="23">L$31+L$20*$E$11</f>
        <v>226944.66654999999</v>
      </c>
      <c r="M36" s="29">
        <f t="shared" si="23"/>
        <v>490844.66654999997</v>
      </c>
      <c r="N36" s="29">
        <f t="shared" si="23"/>
        <v>622794.66654999997</v>
      </c>
      <c r="O36" s="29">
        <f t="shared" si="23"/>
        <v>754744.66654999997</v>
      </c>
      <c r="P36" s="29">
        <f t="shared" si="23"/>
        <v>886694.66654999997</v>
      </c>
      <c r="Q36" s="29">
        <f t="shared" si="23"/>
        <v>1018644.66655</v>
      </c>
      <c r="R36" s="29">
        <f t="shared" si="23"/>
        <v>1282544.66655</v>
      </c>
    </row>
    <row r="37" spans="1:18" ht="30" x14ac:dyDescent="0.25">
      <c r="A37" s="2" t="s">
        <v>372</v>
      </c>
      <c r="C37" s="7">
        <f t="shared" ref="C37:H37" si="24">C$32-MOD(C$32,1000)</f>
        <v>1117000</v>
      </c>
      <c r="D37" s="7">
        <f t="shared" si="24"/>
        <v>1336000</v>
      </c>
      <c r="E37" s="7">
        <f t="shared" si="24"/>
        <v>1556000</v>
      </c>
      <c r="F37" s="7">
        <f t="shared" si="24"/>
        <v>1775000</v>
      </c>
      <c r="G37" s="7">
        <f t="shared" si="24"/>
        <v>1994000</v>
      </c>
      <c r="H37" s="7">
        <f t="shared" si="24"/>
        <v>2432000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102541.3333</v>
      </c>
      <c r="F15" s="36">
        <f>PhiMayInToner4M(F$14)</f>
        <v>140241.3333</v>
      </c>
      <c r="G15" s="36">
        <f>PhiMayInToner4M(G$14)</f>
        <v>215641.3333</v>
      </c>
      <c r="H15" s="36">
        <f>PhiMayInToner4M(H$14)</f>
        <v>366441.3333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135041.3333</v>
      </c>
      <c r="F17" s="36">
        <f>SUM(F$15:F$16)</f>
        <v>203991.3333</v>
      </c>
      <c r="G17" s="36">
        <f>SUM(G$15:G$16)</f>
        <v>341891.3333</v>
      </c>
      <c r="H17" s="36">
        <f>SUM(H$15:H$16)</f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236322.33327499998</v>
      </c>
      <c r="F23" s="29">
        <f>F$17*(1+$D$7)</f>
        <v>356984.83327499998</v>
      </c>
      <c r="G23" s="29">
        <f>G$17*(1+$D$7)</f>
        <v>598309.83327499998</v>
      </c>
      <c r="H23" s="29">
        <f>H$17*(1+$D$7)</f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236000</v>
      </c>
      <c r="F25" s="7">
        <f>F$23 - MOD(F$23,1000)</f>
        <v>356000</v>
      </c>
      <c r="G25" s="7">
        <f>G$23 - MOD(G$23,1000)</f>
        <v>598000</v>
      </c>
      <c r="H25" s="7">
        <f>H$23 - MOD(H$23,1000)</f>
        <v>1080000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workbookViewId="0">
      <selection activeCell="M15" sqref="M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 t="shared" ref="E15:J15" si="2">PhiMayInToner4M(E$14)</f>
        <v>78413.333299999998</v>
      </c>
      <c r="F15" s="36">
        <f t="shared" si="2"/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 t="shared" ref="E16:J16" si="3">E$15*2</f>
        <v>156826.6666</v>
      </c>
      <c r="F16" s="36">
        <f t="shared" si="3"/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 t="shared" ref="E18:J18" si="5">E$16*(1+$D$7)</f>
        <v>274446.66654999997</v>
      </c>
      <c r="F18" s="29">
        <f t="shared" si="5"/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 t="shared" ref="E19:J19" si="6">E$17/E$13</f>
        <v>13722.333327499999</v>
      </c>
      <c r="F19" s="7">
        <f t="shared" si="6"/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 t="shared" ref="E20:J20" si="7">E$17/E$14</f>
        <v>6861.1666637499993</v>
      </c>
      <c r="F20" s="7">
        <f t="shared" si="7"/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285006.66654999997</v>
      </c>
      <c r="F24" s="29">
        <f t="shared" si="10"/>
        <v>335678.66654999997</v>
      </c>
      <c r="G24" s="29">
        <f t="shared" si="10"/>
        <v>386350.66654999997</v>
      </c>
      <c r="H24" s="29">
        <f t="shared" si="10"/>
        <v>443356.66654999997</v>
      </c>
      <c r="I24" s="29">
        <f t="shared" si="10"/>
        <v>494028.66654999997</v>
      </c>
      <c r="J24" s="29">
        <f t="shared" si="10"/>
        <v>544700.66654999997</v>
      </c>
    </row>
    <row r="25" spans="1:10" ht="30" x14ac:dyDescent="0.25">
      <c r="A25" s="2" t="s">
        <v>380</v>
      </c>
      <c r="E25" s="29">
        <f t="shared" ref="E25:J25" si="11">E$18+E$22</f>
        <v>287166.66654999997</v>
      </c>
      <c r="F25" s="29">
        <f t="shared" si="11"/>
        <v>339566.66654999997</v>
      </c>
      <c r="G25" s="29">
        <f t="shared" si="11"/>
        <v>391966.66654999997</v>
      </c>
      <c r="H25" s="29">
        <f t="shared" si="11"/>
        <v>450916.66654999997</v>
      </c>
      <c r="I25" s="29">
        <f t="shared" si="11"/>
        <v>503316.66654999997</v>
      </c>
      <c r="J25" s="29">
        <f t="shared" si="11"/>
        <v>555716.66654999997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285000</v>
      </c>
      <c r="F27" s="7">
        <f t="shared" si="12"/>
        <v>335000</v>
      </c>
      <c r="G27" s="7">
        <f t="shared" si="12"/>
        <v>386000</v>
      </c>
      <c r="H27" s="7">
        <f t="shared" si="12"/>
        <v>443000</v>
      </c>
      <c r="I27" s="7">
        <f t="shared" si="12"/>
        <v>494000</v>
      </c>
      <c r="J27" s="7">
        <f t="shared" si="12"/>
        <v>544000</v>
      </c>
    </row>
    <row r="28" spans="1:10" x14ac:dyDescent="0.25">
      <c r="A28" s="2" t="s">
        <v>382</v>
      </c>
      <c r="E28" s="7">
        <f t="shared" ref="E28:J28" si="13">E$25-MOD(E$25,1000)</f>
        <v>287000</v>
      </c>
      <c r="F28" s="7">
        <f t="shared" si="13"/>
        <v>339000</v>
      </c>
      <c r="G28" s="7">
        <f t="shared" si="13"/>
        <v>391000</v>
      </c>
      <c r="H28" s="7">
        <f t="shared" si="13"/>
        <v>450000</v>
      </c>
      <c r="I28" s="7">
        <f t="shared" si="13"/>
        <v>503000</v>
      </c>
      <c r="J28" s="7">
        <f t="shared" si="13"/>
        <v>555000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M24" sqref="M24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 t="shared" ref="E15:J15" si="2">PhiMayInToner4M(E$14)</f>
        <v>84445.333299999998</v>
      </c>
      <c r="F15" s="36">
        <f t="shared" si="2"/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 t="shared" ref="E16:J16" si="3">E$15*2</f>
        <v>168890.6666</v>
      </c>
      <c r="F16" s="36">
        <f t="shared" si="3"/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 t="shared" ref="E18:J18" si="5">E$16*(1+$D$7)</f>
        <v>295558.66654999997</v>
      </c>
      <c r="F18" s="29">
        <f t="shared" si="5"/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 t="shared" ref="E19:J19" si="6">E$17/E$13</f>
        <v>10555.666662499998</v>
      </c>
      <c r="F19" s="7">
        <f t="shared" si="6"/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 t="shared" ref="E20:J20" si="7">E$17/E$14</f>
        <v>5277.833331249999</v>
      </c>
      <c r="F20" s="7">
        <f t="shared" si="7"/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377</v>
      </c>
      <c r="E21" s="29">
        <f t="shared" ref="E21:J21" si="8">$E$9*E$13</f>
        <v>14784</v>
      </c>
      <c r="F21" s="29">
        <f t="shared" si="8"/>
        <v>27456</v>
      </c>
      <c r="G21" s="29">
        <f t="shared" si="8"/>
        <v>41184</v>
      </c>
      <c r="H21" s="29">
        <f t="shared" si="8"/>
        <v>53856</v>
      </c>
      <c r="I21" s="29">
        <f t="shared" si="8"/>
        <v>67584</v>
      </c>
      <c r="J21" s="29">
        <f t="shared" si="8"/>
        <v>80256</v>
      </c>
    </row>
    <row r="22" spans="1:10" x14ac:dyDescent="0.25">
      <c r="A22" s="2" t="s">
        <v>378</v>
      </c>
      <c r="E22" s="29">
        <f t="shared" ref="E22:J22" si="9">$E$10*E$13</f>
        <v>17808</v>
      </c>
      <c r="F22" s="29">
        <f t="shared" si="9"/>
        <v>33072</v>
      </c>
      <c r="G22" s="29">
        <f t="shared" si="9"/>
        <v>49608</v>
      </c>
      <c r="H22" s="29">
        <f t="shared" si="9"/>
        <v>64872</v>
      </c>
      <c r="I22" s="29">
        <f t="shared" si="9"/>
        <v>81408</v>
      </c>
      <c r="J22" s="29">
        <f t="shared" si="9"/>
        <v>96672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310342.66654999997</v>
      </c>
      <c r="F24" s="29">
        <f t="shared" si="10"/>
        <v>386350.66654999997</v>
      </c>
      <c r="G24" s="29">
        <f t="shared" si="10"/>
        <v>468692.66654999997</v>
      </c>
      <c r="H24" s="29">
        <f t="shared" si="10"/>
        <v>544700.66654999997</v>
      </c>
      <c r="I24" s="29">
        <f t="shared" si="10"/>
        <v>627042.66654999997</v>
      </c>
      <c r="J24" s="29">
        <f t="shared" si="10"/>
        <v>703050.66654999997</v>
      </c>
    </row>
    <row r="25" spans="1:10" ht="30" x14ac:dyDescent="0.25">
      <c r="A25" s="2" t="s">
        <v>380</v>
      </c>
      <c r="E25" s="29">
        <f t="shared" ref="E25:J25" si="11">E$18+E$22</f>
        <v>313366.66654999997</v>
      </c>
      <c r="F25" s="29">
        <f t="shared" si="11"/>
        <v>391966.66654999997</v>
      </c>
      <c r="G25" s="29">
        <f t="shared" si="11"/>
        <v>477116.66654999997</v>
      </c>
      <c r="H25" s="29">
        <f t="shared" si="11"/>
        <v>555716.66654999997</v>
      </c>
      <c r="I25" s="29">
        <f t="shared" si="11"/>
        <v>640866.66654999997</v>
      </c>
      <c r="J25" s="29">
        <f t="shared" si="11"/>
        <v>719466.66654999997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310000</v>
      </c>
      <c r="F27" s="7">
        <f t="shared" si="12"/>
        <v>386000</v>
      </c>
      <c r="G27" s="7">
        <f t="shared" si="12"/>
        <v>468000</v>
      </c>
      <c r="H27" s="7">
        <f t="shared" si="12"/>
        <v>544000</v>
      </c>
      <c r="I27" s="7">
        <f t="shared" si="12"/>
        <v>627000</v>
      </c>
      <c r="J27" s="7">
        <f t="shared" si="12"/>
        <v>703000</v>
      </c>
    </row>
    <row r="28" spans="1:10" x14ac:dyDescent="0.25">
      <c r="A28" s="2" t="s">
        <v>382</v>
      </c>
      <c r="E28" s="7">
        <f t="shared" ref="E28:J28" si="13">E$25-MOD(E$25,1000)</f>
        <v>313000</v>
      </c>
      <c r="F28" s="7">
        <f t="shared" si="13"/>
        <v>391000</v>
      </c>
      <c r="G28" s="7">
        <f t="shared" si="13"/>
        <v>477000</v>
      </c>
      <c r="H28" s="7">
        <f t="shared" si="13"/>
        <v>555000</v>
      </c>
      <c r="I28" s="7">
        <f t="shared" si="13"/>
        <v>640000</v>
      </c>
      <c r="J28" s="7">
        <f t="shared" si="13"/>
        <v>719000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4" workbookViewId="0">
      <selection activeCell="I20" sqref="I20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403885.33323333331</v>
      </c>
      <c r="D27" s="29">
        <f t="shared" ref="D27:I27" si="7">SUM(D$21:D$26)</f>
        <v>474751.99996666663</v>
      </c>
      <c r="E27" s="29">
        <f t="shared" si="7"/>
        <v>546035.33320000011</v>
      </c>
      <c r="F27" s="29">
        <f t="shared" si="7"/>
        <v>617318.66673333338</v>
      </c>
      <c r="G27" s="29">
        <f t="shared" si="7"/>
        <v>688185.33296666667</v>
      </c>
      <c r="H27" s="29">
        <f t="shared" si="7"/>
        <v>759468.66650000005</v>
      </c>
      <c r="I27" s="29">
        <f t="shared" si="7"/>
        <v>1044185.3326333333</v>
      </c>
    </row>
    <row r="28" spans="1:9" ht="30" x14ac:dyDescent="0.25">
      <c r="A28" s="2" t="s">
        <v>398</v>
      </c>
      <c r="C28" s="29">
        <f>C$27*(1+$D$8)</f>
        <v>706799.33315833332</v>
      </c>
      <c r="D28" s="29">
        <f t="shared" ref="D28:I28" si="8">D$27*(1+$D$8)</f>
        <v>830815.99994166661</v>
      </c>
      <c r="E28" s="29">
        <f t="shared" si="8"/>
        <v>955561.83310000016</v>
      </c>
      <c r="F28" s="29">
        <f t="shared" si="8"/>
        <v>1080307.6667833333</v>
      </c>
      <c r="G28" s="29">
        <f t="shared" si="8"/>
        <v>1204324.3326916667</v>
      </c>
      <c r="H28" s="29">
        <f t="shared" si="8"/>
        <v>1329070.166375</v>
      </c>
      <c r="I28" s="29">
        <f t="shared" si="8"/>
        <v>1827324.3321083332</v>
      </c>
    </row>
    <row r="29" spans="1:9" x14ac:dyDescent="0.25">
      <c r="A29" s="2" t="s">
        <v>395</v>
      </c>
      <c r="C29" s="7">
        <f t="shared" ref="C29:I29" si="9">C$27/C$17</f>
        <v>8077.7066646666663</v>
      </c>
      <c r="D29" s="7">
        <f t="shared" si="9"/>
        <v>4747.5199996666661</v>
      </c>
      <c r="E29" s="7">
        <f t="shared" si="9"/>
        <v>3640.2355546666672</v>
      </c>
      <c r="F29" s="7">
        <f t="shared" si="9"/>
        <v>3086.5933336666667</v>
      </c>
      <c r="G29" s="7">
        <f t="shared" si="9"/>
        <v>2752.7413318666668</v>
      </c>
      <c r="H29" s="7">
        <f t="shared" si="9"/>
        <v>2531.562221666667</v>
      </c>
      <c r="I29" s="7">
        <f t="shared" si="9"/>
        <v>2088.3706652666665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706000</v>
      </c>
      <c r="D31" s="7">
        <f t="shared" ref="D31:I31" si="10">D$28-MOD(D$28,1000)</f>
        <v>830000</v>
      </c>
      <c r="E31" s="7">
        <f t="shared" si="10"/>
        <v>955000</v>
      </c>
      <c r="F31" s="7">
        <f t="shared" si="10"/>
        <v>1080000</v>
      </c>
      <c r="G31" s="7">
        <f t="shared" si="10"/>
        <v>1204000</v>
      </c>
      <c r="H31" s="7">
        <f t="shared" si="10"/>
        <v>1329000</v>
      </c>
      <c r="I31" s="7">
        <f t="shared" si="10"/>
        <v>1827000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223181.3333</v>
      </c>
      <c r="D21" s="36">
        <f t="shared" si="3"/>
        <v>373981.3333</v>
      </c>
      <c r="E21" s="36">
        <f t="shared" si="3"/>
        <v>524781.33330000006</v>
      </c>
      <c r="F21" s="36">
        <f t="shared" si="3"/>
        <v>675581.33330000006</v>
      </c>
      <c r="G21" s="36">
        <f t="shared" si="3"/>
        <v>826381.33330000006</v>
      </c>
      <c r="H21" s="36">
        <f t="shared" si="3"/>
        <v>977181.33330000006</v>
      </c>
      <c r="I21" s="36">
        <f t="shared" si="3"/>
        <v>1580381.3333000001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559811.33323333331</v>
      </c>
      <c r="D27" s="29">
        <f t="shared" ref="D27:I27" si="7">SUM(D$21:D$26)</f>
        <v>777777.9999666668</v>
      </c>
      <c r="E27" s="29">
        <f t="shared" si="7"/>
        <v>996161.33320000011</v>
      </c>
      <c r="F27" s="29">
        <f t="shared" si="7"/>
        <v>1214544.6667333334</v>
      </c>
      <c r="G27" s="29">
        <f t="shared" si="7"/>
        <v>1432511.3329666669</v>
      </c>
      <c r="H27" s="29">
        <f t="shared" si="7"/>
        <v>1650894.6665000001</v>
      </c>
      <c r="I27" s="29">
        <f t="shared" si="7"/>
        <v>2524011.3326333337</v>
      </c>
    </row>
    <row r="28" spans="1:9" ht="30" x14ac:dyDescent="0.25">
      <c r="A28" s="2" t="s">
        <v>398</v>
      </c>
      <c r="C28" s="29">
        <f>C$27*(1+$D$8)</f>
        <v>979669.83315833332</v>
      </c>
      <c r="D28" s="29">
        <f t="shared" ref="D28:I28" si="8">D$27*(1+$D$8)</f>
        <v>1361111.4999416668</v>
      </c>
      <c r="E28" s="29">
        <f t="shared" si="8"/>
        <v>1743282.3331000002</v>
      </c>
      <c r="F28" s="29">
        <f t="shared" si="8"/>
        <v>2125453.1667833333</v>
      </c>
      <c r="G28" s="29">
        <f t="shared" si="8"/>
        <v>2506894.8326916671</v>
      </c>
      <c r="H28" s="29">
        <f t="shared" si="8"/>
        <v>2889065.666375</v>
      </c>
      <c r="I28" s="29">
        <f t="shared" si="8"/>
        <v>4417019.8321083337</v>
      </c>
    </row>
    <row r="29" spans="1:9" x14ac:dyDescent="0.25">
      <c r="A29" s="2" t="s">
        <v>395</v>
      </c>
      <c r="C29" s="7">
        <f t="shared" ref="C29:I29" si="9">C$27/C$17</f>
        <v>11196.226664666667</v>
      </c>
      <c r="D29" s="7">
        <f t="shared" si="9"/>
        <v>7777.7799996666681</v>
      </c>
      <c r="E29" s="7">
        <f t="shared" si="9"/>
        <v>6641.0755546666678</v>
      </c>
      <c r="F29" s="7">
        <f t="shared" si="9"/>
        <v>6072.7233336666668</v>
      </c>
      <c r="G29" s="7">
        <f t="shared" si="9"/>
        <v>5730.0453318666678</v>
      </c>
      <c r="H29" s="7">
        <f t="shared" si="9"/>
        <v>5502.9822216666671</v>
      </c>
      <c r="I29" s="7">
        <f t="shared" si="9"/>
        <v>5048.0226652666679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979000</v>
      </c>
      <c r="D31" s="7">
        <f t="shared" ref="D31:I31" si="10">D$28-MOD(D$28,1000)</f>
        <v>1361000</v>
      </c>
      <c r="E31" s="7">
        <f t="shared" si="10"/>
        <v>1743000</v>
      </c>
      <c r="F31" s="7">
        <f t="shared" si="10"/>
        <v>2125000</v>
      </c>
      <c r="G31" s="7">
        <f t="shared" si="10"/>
        <v>2506000</v>
      </c>
      <c r="H31" s="7">
        <f t="shared" si="10"/>
        <v>2889000</v>
      </c>
      <c r="I31" s="7">
        <f t="shared" si="10"/>
        <v>4417000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E29" sqref="E2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131945.33327499998</v>
      </c>
      <c r="D18" s="29">
        <f t="shared" si="5"/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 t="shared" ref="C19:H19" si="6">(C$16)*(1+$D$7)</f>
        <v>263890.66654999997</v>
      </c>
      <c r="D19" s="29">
        <f t="shared" si="6"/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146365.33327499998</v>
      </c>
      <c r="D23" s="29">
        <f t="shared" si="10"/>
        <v>173014.33327499998</v>
      </c>
      <c r="E23" s="29">
        <f t="shared" si="10"/>
        <v>199663.33327499998</v>
      </c>
      <c r="F23" s="29">
        <f t="shared" si="10"/>
        <v>226312.33327499998</v>
      </c>
      <c r="G23" s="29">
        <f t="shared" si="10"/>
        <v>257402.83327499998</v>
      </c>
      <c r="H23" s="29">
        <f t="shared" si="10"/>
        <v>284051.83327499998</v>
      </c>
    </row>
    <row r="24" spans="1:8" ht="30" x14ac:dyDescent="0.25">
      <c r="A24" s="2" t="s">
        <v>295</v>
      </c>
      <c r="C24" s="29">
        <f t="shared" ref="C24:H24" si="11">C$19+C$22</f>
        <v>278310.66654999997</v>
      </c>
      <c r="D24" s="29">
        <f t="shared" si="11"/>
        <v>320793.66654999997</v>
      </c>
      <c r="E24" s="29">
        <f t="shared" si="11"/>
        <v>363276.66654999997</v>
      </c>
      <c r="F24" s="29">
        <f t="shared" si="11"/>
        <v>405759.66654999997</v>
      </c>
      <c r="G24" s="29">
        <f t="shared" si="11"/>
        <v>455323.16654999997</v>
      </c>
      <c r="H24" s="29">
        <f t="shared" si="11"/>
        <v>497806.16654999997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173000</v>
      </c>
      <c r="E26" s="7">
        <f t="shared" si="12"/>
        <v>199000</v>
      </c>
      <c r="F26" s="7">
        <f t="shared" si="12"/>
        <v>226000</v>
      </c>
      <c r="G26" s="7">
        <f t="shared" si="12"/>
        <v>257000</v>
      </c>
      <c r="H26" s="7">
        <f t="shared" si="12"/>
        <v>284000</v>
      </c>
    </row>
    <row r="27" spans="1:8" x14ac:dyDescent="0.25">
      <c r="A27" s="2" t="s">
        <v>365</v>
      </c>
      <c r="C27" s="7">
        <f t="shared" ref="C27:H27" si="13">C$24-MOD(C$24,1000)</f>
        <v>278000</v>
      </c>
      <c r="D27" s="7">
        <f t="shared" si="13"/>
        <v>320000</v>
      </c>
      <c r="E27" s="7">
        <f t="shared" si="13"/>
        <v>363000</v>
      </c>
      <c r="F27" s="7">
        <f t="shared" si="13"/>
        <v>405000</v>
      </c>
      <c r="G27" s="7">
        <f t="shared" si="13"/>
        <v>455000</v>
      </c>
      <c r="H27" s="7">
        <f t="shared" si="13"/>
        <v>497000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A9" sqref="A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78413.333299999998</v>
      </c>
      <c r="D15" s="36">
        <f t="shared" si="2"/>
        <v>90477.333299999998</v>
      </c>
      <c r="E15" s="36">
        <f t="shared" si="2"/>
        <v>102541.3333</v>
      </c>
      <c r="F15" s="36">
        <f t="shared" si="2"/>
        <v>116113.3333</v>
      </c>
      <c r="G15" s="36">
        <f t="shared" si="2"/>
        <v>128177.3333</v>
      </c>
      <c r="H15" s="36">
        <f t="shared" si="2"/>
        <v>140241.3333</v>
      </c>
    </row>
    <row r="16" spans="1:8" x14ac:dyDescent="0.25">
      <c r="A16" s="2" t="s">
        <v>300</v>
      </c>
      <c r="C16" s="36">
        <f t="shared" ref="C16:H16" si="3">C$15*2</f>
        <v>156826.6666</v>
      </c>
      <c r="D16" s="36">
        <f t="shared" si="3"/>
        <v>180954.6666</v>
      </c>
      <c r="E16" s="36">
        <f t="shared" si="3"/>
        <v>205082.6666</v>
      </c>
      <c r="F16" s="36">
        <f t="shared" si="3"/>
        <v>232226.6666</v>
      </c>
      <c r="G16" s="36">
        <f t="shared" si="3"/>
        <v>256354.6666</v>
      </c>
      <c r="H16" s="36">
        <f t="shared" si="3"/>
        <v>280482.6666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137223.33327499998</v>
      </c>
      <c r="D18" s="29">
        <f t="shared" si="5"/>
        <v>158335.33327499998</v>
      </c>
      <c r="E18" s="29">
        <f t="shared" si="5"/>
        <v>179447.33327499998</v>
      </c>
      <c r="F18" s="29">
        <f t="shared" si="5"/>
        <v>203198.33327499998</v>
      </c>
      <c r="G18" s="29">
        <f t="shared" si="5"/>
        <v>224310.33327499998</v>
      </c>
      <c r="H18" s="29">
        <f t="shared" si="5"/>
        <v>245422.33327499998</v>
      </c>
    </row>
    <row r="19" spans="1:8" ht="30" x14ac:dyDescent="0.25">
      <c r="A19" s="2" t="s">
        <v>413</v>
      </c>
      <c r="C19" s="29">
        <f t="shared" ref="C19:H19" si="6">(C$16)*(1+$D$7)</f>
        <v>274446.66654999997</v>
      </c>
      <c r="D19" s="29">
        <f t="shared" si="6"/>
        <v>316670.66654999997</v>
      </c>
      <c r="E19" s="29">
        <f t="shared" si="6"/>
        <v>358894.66654999997</v>
      </c>
      <c r="F19" s="29">
        <f t="shared" si="6"/>
        <v>406396.66654999997</v>
      </c>
      <c r="G19" s="29">
        <f t="shared" si="6"/>
        <v>448620.66654999997</v>
      </c>
      <c r="H19" s="29">
        <f t="shared" si="6"/>
        <v>490844.66654999997</v>
      </c>
    </row>
    <row r="20" spans="1:8" x14ac:dyDescent="0.25">
      <c r="A20" s="2" t="s">
        <v>288</v>
      </c>
      <c r="C20" s="7">
        <f t="shared" ref="C20:H20" si="7">C$18/C$13</f>
        <v>13722.333327499999</v>
      </c>
      <c r="D20" s="7">
        <f t="shared" si="7"/>
        <v>8796.4074041666663</v>
      </c>
      <c r="E20" s="7">
        <f t="shared" si="7"/>
        <v>6901.8205105769221</v>
      </c>
      <c r="F20" s="7">
        <f t="shared" si="7"/>
        <v>5805.6666649999997</v>
      </c>
      <c r="G20" s="7">
        <f t="shared" si="7"/>
        <v>5216.5193784883713</v>
      </c>
      <c r="H20" s="7">
        <f t="shared" si="7"/>
        <v>4812.2026132352939</v>
      </c>
    </row>
    <row r="21" spans="1:8" x14ac:dyDescent="0.25">
      <c r="A21" s="2" t="s">
        <v>290</v>
      </c>
      <c r="C21" s="7">
        <f t="shared" ref="C21:H21" si="8">C$18/C$14</f>
        <v>6861.1666637499993</v>
      </c>
      <c r="D21" s="7">
        <f t="shared" si="8"/>
        <v>4398.2037020833332</v>
      </c>
      <c r="E21" s="7">
        <f t="shared" si="8"/>
        <v>3450.910255288461</v>
      </c>
      <c r="F21" s="7">
        <f t="shared" si="8"/>
        <v>2902.8333324999999</v>
      </c>
      <c r="G21" s="7">
        <f t="shared" si="8"/>
        <v>2608.2596892441857</v>
      </c>
      <c r="H21" s="7">
        <f t="shared" si="8"/>
        <v>2406.101306617647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155248.33327499998</v>
      </c>
      <c r="D23" s="29">
        <f t="shared" si="10"/>
        <v>190780.33327499998</v>
      </c>
      <c r="E23" s="29">
        <f t="shared" si="10"/>
        <v>226312.33327499998</v>
      </c>
      <c r="F23" s="29">
        <f t="shared" si="10"/>
        <v>266285.83327499998</v>
      </c>
      <c r="G23" s="29">
        <f t="shared" si="10"/>
        <v>301817.83327499998</v>
      </c>
      <c r="H23" s="29">
        <f t="shared" si="10"/>
        <v>337349.83327499998</v>
      </c>
    </row>
    <row r="24" spans="1:8" ht="30" x14ac:dyDescent="0.25">
      <c r="A24" s="2" t="s">
        <v>295</v>
      </c>
      <c r="C24" s="29">
        <f t="shared" ref="C24:H24" si="11">C$19+C$22</f>
        <v>292471.66654999997</v>
      </c>
      <c r="D24" s="29">
        <f t="shared" si="11"/>
        <v>349115.66654999997</v>
      </c>
      <c r="E24" s="29">
        <f t="shared" si="11"/>
        <v>405759.66654999997</v>
      </c>
      <c r="F24" s="29">
        <f t="shared" si="11"/>
        <v>469484.16654999997</v>
      </c>
      <c r="G24" s="29">
        <f t="shared" si="11"/>
        <v>526128.16654999997</v>
      </c>
      <c r="H24" s="29">
        <f t="shared" si="11"/>
        <v>582772.16654999997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155000</v>
      </c>
      <c r="D26" s="7">
        <f t="shared" si="12"/>
        <v>190000</v>
      </c>
      <c r="E26" s="7">
        <f t="shared" si="12"/>
        <v>226000</v>
      </c>
      <c r="F26" s="7">
        <f t="shared" si="12"/>
        <v>266000</v>
      </c>
      <c r="G26" s="7">
        <f t="shared" si="12"/>
        <v>301000</v>
      </c>
      <c r="H26" s="7">
        <f t="shared" si="12"/>
        <v>337000</v>
      </c>
    </row>
    <row r="27" spans="1:8" x14ac:dyDescent="0.25">
      <c r="A27" s="2" t="s">
        <v>365</v>
      </c>
      <c r="C27" s="7">
        <f t="shared" ref="C27:H27" si="13">C$24-MOD(C$24,1000)</f>
        <v>292000</v>
      </c>
      <c r="D27" s="7">
        <f t="shared" si="13"/>
        <v>349000</v>
      </c>
      <c r="E27" s="7">
        <f t="shared" si="13"/>
        <v>405000</v>
      </c>
      <c r="F27" s="7">
        <f t="shared" si="13"/>
        <v>469000</v>
      </c>
      <c r="G27" s="7">
        <f t="shared" si="13"/>
        <v>526000</v>
      </c>
      <c r="H27" s="7">
        <f t="shared" si="13"/>
        <v>582000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A26" sqref="A26:H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 t="shared" ref="C18:H18" si="5">(C$15)*(1+$D$7)</f>
        <v>131945.33327499998</v>
      </c>
      <c r="D18" s="29">
        <f t="shared" si="5"/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 t="shared" ref="C19:H19" si="6">(C$16)*(1+$D$7)</f>
        <v>263890.66654999997</v>
      </c>
      <c r="D19" s="29">
        <f t="shared" si="6"/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 t="shared" ref="C22:H22" si="9">C$17*(1+$D$7)</f>
        <v>20384</v>
      </c>
      <c r="D22" s="29">
        <f t="shared" si="9"/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152329.33327499998</v>
      </c>
      <c r="D23" s="29">
        <f t="shared" si="10"/>
        <v>183451.33327499998</v>
      </c>
      <c r="E23" s="29">
        <f t="shared" si="10"/>
        <v>214573.33327499998</v>
      </c>
      <c r="F23" s="29">
        <f t="shared" si="10"/>
        <v>245695.33327499998</v>
      </c>
      <c r="G23" s="29">
        <f t="shared" si="10"/>
        <v>282004.33327499998</v>
      </c>
      <c r="H23" s="29">
        <f t="shared" si="10"/>
        <v>313126.33327499998</v>
      </c>
    </row>
    <row r="24" spans="1:8" ht="30" x14ac:dyDescent="0.25">
      <c r="A24" s="2" t="s">
        <v>295</v>
      </c>
      <c r="C24" s="29">
        <f t="shared" ref="C24:H24" si="11">C$19+C$22</f>
        <v>284274.66654999997</v>
      </c>
      <c r="D24" s="29">
        <f t="shared" si="11"/>
        <v>331230.66654999997</v>
      </c>
      <c r="E24" s="29">
        <f t="shared" si="11"/>
        <v>378186.66654999997</v>
      </c>
      <c r="F24" s="29">
        <f t="shared" si="11"/>
        <v>425142.66654999997</v>
      </c>
      <c r="G24" s="29">
        <f t="shared" si="11"/>
        <v>479924.66654999997</v>
      </c>
      <c r="H24" s="29">
        <f t="shared" si="11"/>
        <v>526880.66654999997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152000</v>
      </c>
      <c r="D26" s="7">
        <f t="shared" si="12"/>
        <v>183000</v>
      </c>
      <c r="E26" s="7">
        <f t="shared" si="12"/>
        <v>214000</v>
      </c>
      <c r="F26" s="7">
        <f t="shared" si="12"/>
        <v>245000</v>
      </c>
      <c r="G26" s="7">
        <f t="shared" si="12"/>
        <v>282000</v>
      </c>
      <c r="H26" s="7">
        <f t="shared" si="12"/>
        <v>313000</v>
      </c>
    </row>
    <row r="27" spans="1:8" x14ac:dyDescent="0.25">
      <c r="A27" s="2" t="s">
        <v>365</v>
      </c>
      <c r="C27" s="7">
        <f t="shared" ref="C27:H27" si="13">C$24-MOD(C$24,1000)</f>
        <v>284000</v>
      </c>
      <c r="D27" s="7">
        <f t="shared" si="13"/>
        <v>331000</v>
      </c>
      <c r="E27" s="7">
        <f t="shared" si="13"/>
        <v>378000</v>
      </c>
      <c r="F27" s="7">
        <f t="shared" si="13"/>
        <v>425000</v>
      </c>
      <c r="G27" s="7">
        <f t="shared" si="13"/>
        <v>479000</v>
      </c>
      <c r="H27" s="7">
        <f t="shared" si="13"/>
        <v>526000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J54"/>
  <sheetViews>
    <sheetView workbookViewId="0">
      <selection activeCell="B16" sqref="B1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</cols>
  <sheetData>
    <row r="1" spans="1:10" x14ac:dyDescent="0.25">
      <c r="A1" s="1" t="s">
        <v>423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207</v>
      </c>
    </row>
    <row r="4" spans="1:10" x14ac:dyDescent="0.25">
      <c r="A4" t="s">
        <v>276</v>
      </c>
      <c r="B4">
        <v>21</v>
      </c>
      <c r="C4">
        <v>29.7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1" spans="1:10" x14ac:dyDescent="0.25">
      <c r="J11" s="43" t="s">
        <v>428</v>
      </c>
    </row>
    <row r="12" spans="1:10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</row>
    <row r="13" spans="1:10" x14ac:dyDescent="0.25">
      <c r="A13" s="2">
        <v>8</v>
      </c>
      <c r="B13">
        <f>$A13*C$12</f>
        <v>80</v>
      </c>
      <c r="C13" s="7">
        <f>PhiMayInToner1M($A13*C$12)*(1+$D$7)/($A13*C$12)</f>
        <v>2092.4166659374996</v>
      </c>
      <c r="D13" s="7">
        <f t="shared" ref="D13:H25" si="0">PhiMayInToner1M($A13*D$12)*(1+$D$7)/($A13*D$12)</f>
        <v>1399.7083329687498</v>
      </c>
      <c r="E13" s="7">
        <f t="shared" si="0"/>
        <v>984.08333318749999</v>
      </c>
      <c r="F13" s="7">
        <f t="shared" si="0"/>
        <v>845.54166659374994</v>
      </c>
      <c r="G13" s="7">
        <f t="shared" si="0"/>
        <v>799.36111106250007</v>
      </c>
      <c r="H13" s="7">
        <f t="shared" si="0"/>
        <v>776.27083329687503</v>
      </c>
    </row>
    <row r="14" spans="1:10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PhiMayInToner1M($A14*C$12)*(1+$D$7)/($A14*C$12)</f>
        <v>1630.6111106249998</v>
      </c>
      <c r="D14" s="7">
        <f t="shared" si="0"/>
        <v>1168.8055553125</v>
      </c>
      <c r="E14" s="7">
        <f t="shared" si="0"/>
        <v>891.72222212499992</v>
      </c>
      <c r="F14" s="7">
        <f t="shared" si="0"/>
        <v>799.36111106250007</v>
      </c>
      <c r="G14" s="7">
        <f t="shared" si="0"/>
        <v>768.57407404166668</v>
      </c>
      <c r="H14" s="7">
        <f t="shared" si="0"/>
        <v>753.18055553125009</v>
      </c>
    </row>
    <row r="15" spans="1:10" x14ac:dyDescent="0.25">
      <c r="A15" s="2">
        <f t="shared" ref="A15:A36" si="3">A14+4</f>
        <v>16</v>
      </c>
      <c r="B15">
        <f t="shared" si="1"/>
        <v>160</v>
      </c>
      <c r="C15" s="7">
        <f t="shared" si="2"/>
        <v>1399.7083329687498</v>
      </c>
      <c r="D15" s="7">
        <f t="shared" si="0"/>
        <v>1053.3541664843749</v>
      </c>
      <c r="E15" s="7">
        <f t="shared" si="0"/>
        <v>845.54166659374994</v>
      </c>
      <c r="F15" s="7">
        <f t="shared" si="0"/>
        <v>776.27083329687503</v>
      </c>
      <c r="G15" s="7">
        <f t="shared" si="0"/>
        <v>753.18055553125009</v>
      </c>
      <c r="H15" s="7">
        <f t="shared" si="0"/>
        <v>741.63541664843751</v>
      </c>
    </row>
    <row r="16" spans="1:10" x14ac:dyDescent="0.25">
      <c r="A16" s="2">
        <f t="shared" si="3"/>
        <v>20</v>
      </c>
      <c r="B16">
        <f t="shared" si="1"/>
        <v>200</v>
      </c>
      <c r="C16" s="7">
        <f t="shared" si="2"/>
        <v>1261.166666375</v>
      </c>
      <c r="D16" s="7">
        <f t="shared" si="0"/>
        <v>984.08333318749999</v>
      </c>
      <c r="E16" s="7">
        <f t="shared" si="0"/>
        <v>817.83333327499997</v>
      </c>
      <c r="F16" s="7">
        <f t="shared" si="0"/>
        <v>762.41666663750004</v>
      </c>
      <c r="G16" s="7">
        <f t="shared" si="0"/>
        <v>743.94444442500003</v>
      </c>
      <c r="H16" s="7">
        <f t="shared" si="0"/>
        <v>734.70833331875008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1168.8055553125</v>
      </c>
      <c r="D17" s="7">
        <f t="shared" si="0"/>
        <v>937.90277765625001</v>
      </c>
      <c r="E17" s="7">
        <f t="shared" si="0"/>
        <v>799.36111106250007</v>
      </c>
      <c r="F17" s="7">
        <f t="shared" si="0"/>
        <v>753.18055553125009</v>
      </c>
      <c r="G17" s="7">
        <f t="shared" si="0"/>
        <v>737.7870370208334</v>
      </c>
      <c r="H17" s="7">
        <f t="shared" si="0"/>
        <v>730.09027776562505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1102.8333331249999</v>
      </c>
      <c r="D18" s="7">
        <f t="shared" si="0"/>
        <v>904.91666656249993</v>
      </c>
      <c r="E18" s="7">
        <f t="shared" si="0"/>
        <v>786.16666662500006</v>
      </c>
      <c r="F18" s="7">
        <f t="shared" si="0"/>
        <v>746.58333331250003</v>
      </c>
      <c r="G18" s="7">
        <f t="shared" si="0"/>
        <v>733.38888887500002</v>
      </c>
      <c r="H18" s="7">
        <f t="shared" si="0"/>
        <v>726.79166665625007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1053.3541664843749</v>
      </c>
      <c r="D19" s="7">
        <f t="shared" si="0"/>
        <v>880.17708324218745</v>
      </c>
      <c r="E19" s="7">
        <f t="shared" si="0"/>
        <v>776.27083329687503</v>
      </c>
      <c r="F19" s="7">
        <f t="shared" si="0"/>
        <v>741.63541664843751</v>
      </c>
      <c r="G19" s="7">
        <f t="shared" si="0"/>
        <v>730.09027776562505</v>
      </c>
      <c r="H19" s="7">
        <f t="shared" si="0"/>
        <v>724.31770832421864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1014.8703702083333</v>
      </c>
      <c r="D20" s="7">
        <f t="shared" si="0"/>
        <v>860.93518510416664</v>
      </c>
      <c r="E20" s="7">
        <f t="shared" si="0"/>
        <v>768.57407404166668</v>
      </c>
      <c r="F20" s="7">
        <f t="shared" si="0"/>
        <v>737.7870370208334</v>
      </c>
      <c r="G20" s="7">
        <f t="shared" si="0"/>
        <v>727.52469134722219</v>
      </c>
      <c r="H20" s="7">
        <f t="shared" si="0"/>
        <v>722.39351851041658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984.08333318749999</v>
      </c>
      <c r="D21" s="7">
        <f t="shared" si="0"/>
        <v>845.54166659374994</v>
      </c>
      <c r="E21" s="7">
        <f t="shared" si="0"/>
        <v>762.41666663750004</v>
      </c>
      <c r="F21" s="7">
        <f t="shared" si="0"/>
        <v>734.70833331875008</v>
      </c>
      <c r="G21" s="7">
        <f t="shared" si="0"/>
        <v>725.4722222124999</v>
      </c>
      <c r="H21" s="7">
        <f t="shared" si="0"/>
        <v>720.85416665937498</v>
      </c>
    </row>
    <row r="22" spans="1:8" x14ac:dyDescent="0.25">
      <c r="A22" s="2">
        <f t="shared" si="3"/>
        <v>44</v>
      </c>
      <c r="C22" s="7">
        <f t="shared" si="2"/>
        <v>958.89393926136358</v>
      </c>
      <c r="D22" s="7">
        <f t="shared" si="0"/>
        <v>832.94696963068179</v>
      </c>
      <c r="E22" s="7">
        <f t="shared" si="0"/>
        <v>757.37878785227281</v>
      </c>
      <c r="F22" s="7">
        <f t="shared" si="0"/>
        <v>732.1893939261364</v>
      </c>
      <c r="G22" s="7">
        <f t="shared" si="0"/>
        <v>723.79292928409086</v>
      </c>
      <c r="H22" s="7">
        <f t="shared" si="0"/>
        <v>719.59469696306815</v>
      </c>
    </row>
    <row r="23" spans="1:8" x14ac:dyDescent="0.25">
      <c r="A23" s="2">
        <f t="shared" si="3"/>
        <v>48</v>
      </c>
      <c r="C23" s="7">
        <f t="shared" si="2"/>
        <v>937.90277765625001</v>
      </c>
      <c r="D23" s="7">
        <f t="shared" si="0"/>
        <v>822.451388828125</v>
      </c>
      <c r="E23" s="7">
        <f t="shared" si="0"/>
        <v>753.18055553125009</v>
      </c>
      <c r="F23" s="7">
        <f t="shared" si="0"/>
        <v>730.09027776562505</v>
      </c>
      <c r="G23" s="7">
        <f t="shared" si="0"/>
        <v>722.39351851041658</v>
      </c>
      <c r="H23" s="7">
        <f t="shared" si="0"/>
        <v>718.54513888281247</v>
      </c>
    </row>
    <row r="24" spans="1:8" x14ac:dyDescent="0.25">
      <c r="A24" s="2">
        <f t="shared" si="3"/>
        <v>52</v>
      </c>
      <c r="C24" s="7">
        <f t="shared" si="2"/>
        <v>920.14102552884617</v>
      </c>
      <c r="D24" s="7">
        <f t="shared" si="0"/>
        <v>813.57051276442303</v>
      </c>
      <c r="E24" s="7">
        <f t="shared" si="0"/>
        <v>749.62820510576933</v>
      </c>
      <c r="F24" s="7">
        <f t="shared" si="0"/>
        <v>728.31410255288461</v>
      </c>
      <c r="G24" s="7">
        <f t="shared" si="0"/>
        <v>721.20940170192307</v>
      </c>
      <c r="H24" s="7">
        <f t="shared" si="0"/>
        <v>717.6570512764423</v>
      </c>
    </row>
    <row r="25" spans="1:8" x14ac:dyDescent="0.25">
      <c r="A25" s="2">
        <f t="shared" si="3"/>
        <v>56</v>
      </c>
      <c r="C25" s="7">
        <f t="shared" si="2"/>
        <v>904.91666656249993</v>
      </c>
      <c r="D25" s="7">
        <f t="shared" si="0"/>
        <v>805.95833328125002</v>
      </c>
      <c r="E25" s="7">
        <f t="shared" si="0"/>
        <v>746.58333331250003</v>
      </c>
      <c r="F25" s="7">
        <f t="shared" si="0"/>
        <v>726.79166665625007</v>
      </c>
      <c r="G25" s="7">
        <f t="shared" si="0"/>
        <v>720.19444443750001</v>
      </c>
      <c r="H25" s="7">
        <f t="shared" si="0"/>
        <v>716.89583332812492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topLeftCell="A13" workbookViewId="0">
      <selection activeCell="P17" sqref="P1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433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432</v>
      </c>
      <c r="C23" s="29">
        <f t="shared" ref="C23:H23" si="7" xml:space="preserve"> (C$17+C$18+C$20)*(1+$D$7)</f>
        <v>294946.37252500001</v>
      </c>
      <c r="D23" s="29">
        <f t="shared" si="7"/>
        <v>345408.13737499999</v>
      </c>
      <c r="E23" s="29">
        <f t="shared" si="7"/>
        <v>497246.37252500001</v>
      </c>
      <c r="F23" s="29">
        <f t="shared" si="7"/>
        <v>750008.13737500005</v>
      </c>
      <c r="G23" s="29">
        <f t="shared" si="7"/>
        <v>1003222.843175</v>
      </c>
      <c r="H23" s="29">
        <f t="shared" si="7"/>
        <v>1255984.60785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 t="shared" ref="C29:H29" si="11">C$23+C$27</f>
        <v>541404.7058</v>
      </c>
      <c r="D29" s="7">
        <f t="shared" si="11"/>
        <v>619574.80410000007</v>
      </c>
      <c r="E29" s="7">
        <f t="shared" si="11"/>
        <v>854538.03925000003</v>
      </c>
      <c r="F29" s="7">
        <f t="shared" si="11"/>
        <v>1245841.47065</v>
      </c>
      <c r="G29" s="7">
        <f t="shared" si="11"/>
        <v>1637597.843175</v>
      </c>
      <c r="H29" s="7">
        <f t="shared" si="11"/>
        <v>2028901.2745750002</v>
      </c>
    </row>
    <row r="30" spans="1:8" x14ac:dyDescent="0.25">
      <c r="A30" s="2" t="s">
        <v>435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429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436</v>
      </c>
      <c r="C34" s="7">
        <f t="shared" ref="C34:H34" si="14">C$29-MOD(C$29,1000)</f>
        <v>541000</v>
      </c>
      <c r="D34" s="7">
        <f t="shared" si="14"/>
        <v>619000</v>
      </c>
      <c r="E34" s="7">
        <f t="shared" si="14"/>
        <v>854000</v>
      </c>
      <c r="F34" s="7">
        <f t="shared" si="14"/>
        <v>1245000</v>
      </c>
      <c r="G34" s="7">
        <f t="shared" si="14"/>
        <v>1637000</v>
      </c>
      <c r="H34" s="7">
        <f t="shared" si="14"/>
        <v>2028000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3" workbookViewId="0">
      <selection activeCell="H33" sqref="H33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437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433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440</v>
      </c>
      <c r="C23" s="29">
        <f t="shared" ref="C23:H23" si="7" xml:space="preserve"> (C$17+C$20)*(1+$D$7)</f>
        <v>160190.33327499998</v>
      </c>
      <c r="D23" s="29">
        <f t="shared" si="7"/>
        <v>205060.33327499998</v>
      </c>
      <c r="E23" s="29">
        <f t="shared" si="7"/>
        <v>339670.33327499998</v>
      </c>
      <c r="F23" s="29">
        <f t="shared" si="7"/>
        <v>564020.33327499998</v>
      </c>
      <c r="G23" s="29">
        <f t="shared" si="7"/>
        <v>788370.33327499998</v>
      </c>
      <c r="H23" s="29">
        <f t="shared" si="7"/>
        <v>1012720.3332750001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438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439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 t="shared" ref="C29:H29" si="10">C$23+C$27</f>
        <v>532065.33327499998</v>
      </c>
      <c r="D29" s="7">
        <f t="shared" si="10"/>
        <v>598810.33327499998</v>
      </c>
      <c r="E29" s="7">
        <f t="shared" si="10"/>
        <v>799045.33327499998</v>
      </c>
      <c r="F29" s="7">
        <f t="shared" si="10"/>
        <v>1132770.3332750001</v>
      </c>
      <c r="G29" s="7">
        <f t="shared" si="10"/>
        <v>1466495.3332750001</v>
      </c>
      <c r="H29" s="7">
        <f t="shared" si="10"/>
        <v>1800220.3332750001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436</v>
      </c>
      <c r="C34" s="7">
        <f>LamChanHangNgan(C$29)</f>
        <v>532000</v>
      </c>
      <c r="D34" s="7">
        <f t="shared" ref="D34:H34" si="11">LamChanHangNgan(D$29)</f>
        <v>598000</v>
      </c>
      <c r="E34" s="7">
        <f t="shared" si="11"/>
        <v>799000</v>
      </c>
      <c r="F34" s="7">
        <f t="shared" si="11"/>
        <v>1132000</v>
      </c>
      <c r="G34" s="7">
        <f t="shared" si="11"/>
        <v>1466000</v>
      </c>
      <c r="H34" s="7">
        <f t="shared" si="11"/>
        <v>1800000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topLeftCell="A4" workbookViewId="0">
      <pane xSplit="6" topLeftCell="P1" activePane="topRight" state="frozen"/>
      <selection pane="topRight" activeCell="A35" sqref="A35:C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441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469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C15" t="str">
        <f>$D15&amp;" x "&amp;$E15&amp;" cm"</f>
        <v>3 x 3 cm</v>
      </c>
      <c r="D15">
        <v>3</v>
      </c>
      <c r="E15">
        <v>3</v>
      </c>
      <c r="F15" s="44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140000</v>
      </c>
      <c r="I15" s="7">
        <f>LamChanHangNgan((PhiMayCatDecalVuong(I$14,$D15,$E15)+ PhiMayInToner4M(ROUNDUP(I$14/$F15,0)*$E$6)+ (ROUNDUP(I$14/$F15,0)*$D$11))*(1+$D$7))</f>
        <v>144000</v>
      </c>
      <c r="J15" s="7">
        <f>LamChanHangNgan((PhiMayCatDecalVuong(J$14,$D15,$E15)+ PhiMayInToner4M(ROUNDUP(J$14/$F15,0)*$E$6)+ (ROUNDUP(J$14/$F15,0)*$D$11))*(1+$D$7))</f>
        <v>147000</v>
      </c>
      <c r="K15" s="7">
        <f>LamChanHangNgan((PhiMayCatDecalVuong(K$14,$D15,$E15)+ PhiMayInToner4M(ROUNDUP(K$14/$F15,0)*$E$6)+ (ROUNDUP(K$14/$F15,0)*$D$11))*(1+$D$7))</f>
        <v>148000</v>
      </c>
      <c r="L15" s="7">
        <f>LamChanHangNgan((PhiMayCatDecalVuong(L$14,$D15,$E15)+ PhiMayInToner4M(ROUNDUP(L$14/$F15,0)*$E$6)+ (ROUNDUP(L$14/$F15,0)*$D$11))*(1+$D$7))</f>
        <v>151000</v>
      </c>
      <c r="M15" s="7">
        <f>LamChanHangNgan((PhiMayCatDecalVuong(M$14,$D15,$E15)+ PhiMayInToner4M(ROUNDUP(M$14/$F15,0)*$E$6)+ (ROUNDUP(M$14/$F15,0)*$D$11))*(1+$D$7))</f>
        <v>155000</v>
      </c>
      <c r="N15" s="7">
        <f>LamChanHangNgan((PhiMayCatDecalVuong(N$14,$D15,$E15)+ PhiMayInToner4M(ROUNDUP(N$14/$F15,0)*$E$6)+ (ROUNDUP(N$14/$F15,0)*$D$11))*(1+$D$7))</f>
        <v>159000</v>
      </c>
      <c r="O15" s="7">
        <f>LamChanHangNgan((PhiMayCatDecalVuong(O$14,$D15,$E15)+ PhiMayInToner4M(ROUNDUP(O$14/$F15,0)*$E$6)+ (ROUNDUP(O$14/$F15,0)*$D$11))*(1+$D$7))</f>
        <v>159000</v>
      </c>
      <c r="P15" s="7">
        <f>LamChanHangNgan((PhiMayCatDecalVuong(P$14,$D15,$E15)+ PhiMayInToner4M(ROUNDUP(P$14/$F15,0)*$E$6)+ (ROUNDUP(P$14/$F15,0)*$D$11))*(1+$D$7))</f>
        <v>163000</v>
      </c>
      <c r="Q15" s="7">
        <f>LamChanHangNgan((PhiMayCatDecalVuong(Q$14,$D15,$E15)+ PhiMayInToner4M(ROUNDUP(Q$14/$F15,0)*$E$6)+ (ROUNDUP(Q$14/$F15,0)*$D$11))*(1+$D$7))</f>
        <v>179000</v>
      </c>
      <c r="R15" s="7">
        <f>LamChanHangNgan((PhiMayCatDecalVuong(R$14,$D15,$E15)+ PhiMayInToner4M(ROUNDUP(R$14/$F15,0)*$E$6)+ (ROUNDUP(R$14/$F15,0)*$D$11))*(1+$D$7))</f>
        <v>194000</v>
      </c>
      <c r="S15" s="7">
        <f>LamChanHangNgan((PhiMayCatDecalVuong(S$14,$D15,$E15)+ PhiMayInToner4M(ROUNDUP(S$14/$F15,0)*$E$6)+ (ROUNDUP(S$14/$F15,0)*$D$11))*(1+$D$7))</f>
        <v>209000</v>
      </c>
      <c r="T15" s="7">
        <f>LamChanHangNgan((PhiMayCatDecalVuong(T$14,$D15,$E15)+ PhiMayInToner4M(ROUNDUP(T$14/$F15,0)*$E$6)+ (ROUNDUP(T$14/$F15,0)*$D$11))*(1+$D$7))</f>
        <v>225000</v>
      </c>
      <c r="U15" s="7">
        <f>LamChanHangNgan((PhiMayCatDecalVuong(U$14,$D15,$E15)+ PhiMayInToner4M(ROUNDUP(U$14/$F15,0)*$E$6)+ (ROUNDUP(U$14/$F15,0)*$D$11))*(1+$D$7))</f>
        <v>237000</v>
      </c>
      <c r="V15" s="7">
        <f>LamChanHangNgan((PhiMayCatDecalVuong(V$14,$D15,$E15)+ PhiMayInToner4M(ROUNDUP(V$14/$F15,0)*$E$6)+ (ROUNDUP(V$14/$F15,0)*$D$11))*(1+$D$7))</f>
        <v>252000</v>
      </c>
      <c r="W15" s="7">
        <f>LamChanHangNgan((PhiMayCatDecalVuong(W$14,$D15,$E15)+ PhiMayInToner4M(ROUNDUP(W$14/$F15,0)*$E$6)+ (ROUNDUP(W$14/$F15,0)*$D$11))*(1+$D$7))</f>
        <v>268000</v>
      </c>
      <c r="X15" s="7">
        <f>LamChanHangNgan((PhiMayCatDecalVuong(X$14,$D15,$E15)+ PhiMayInToner4M(ROUNDUP(X$14/$F15,0)*$E$6)+ (ROUNDUP(X$14/$F15,0)*$D$11))*(1+$D$7))</f>
        <v>283000</v>
      </c>
      <c r="Y15" s="7">
        <f>LamChanHangNgan((PhiMayCatDecalVuong(Y$14,$D15,$E15)+ PhiMayInToner4M(ROUNDUP(Y$14/$F15,0)*$E$6)+ (ROUNDUP(Y$14/$F15,0)*$D$11))*(1+$D$7))</f>
        <v>430000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4">
        <f t="shared" si="2"/>
        <v>99</v>
      </c>
      <c r="G16" s="7">
        <f>LamChanHangNgan((PhiMayCatDecalVuong(G$14,$D16,$E16)+ PhiMayInToner4M(ROUNDUP(G$14/$F16,0)*$E$6)+ (ROUNDUP(G$14/$F16,0)*$D$11))*(1+$D$7))</f>
        <v>140000</v>
      </c>
      <c r="H16" s="7">
        <f>LamChanHangNgan((PhiMayCatDecalVuong(H$14,$D16,$E16)+ PhiMayInToner4M(ROUNDUP(H$14/$F16,0)*$E$6)+ (ROUNDUP(H$14/$F16,0)*$D$11))*(1+$D$7))</f>
        <v>143000</v>
      </c>
      <c r="I16" s="7">
        <f>LamChanHangNgan((PhiMayCatDecalVuong(I$14,$D16,$E16)+ PhiMayInToner4M(ROUNDUP(I$14/$F16,0)*$E$6)+ (ROUNDUP(I$14/$F16,0)*$D$11))*(1+$D$7))</f>
        <v>147000</v>
      </c>
      <c r="J16" s="7">
        <f>LamChanHangNgan((PhiMayCatDecalVuong(J$14,$D16,$E16)+ PhiMayInToner4M(ROUNDUP(J$14/$F16,0)*$E$6)+ (ROUNDUP(J$14/$F16,0)*$D$11))*(1+$D$7))</f>
        <v>151000</v>
      </c>
      <c r="K16" s="7">
        <f>LamChanHangNgan((PhiMayCatDecalVuong(K$14,$D16,$E16)+ PhiMayInToner4M(ROUNDUP(K$14/$F16,0)*$E$6)+ (ROUNDUP(K$14/$F16,0)*$D$11))*(1+$D$7))</f>
        <v>155000</v>
      </c>
      <c r="L16" s="7">
        <f>LamChanHangNgan((PhiMayCatDecalVuong(L$14,$D16,$E16)+ PhiMayInToner4M(ROUNDUP(L$14/$F16,0)*$E$6)+ (ROUNDUP(L$14/$F16,0)*$D$11))*(1+$D$7))</f>
        <v>159000</v>
      </c>
      <c r="M16" s="7">
        <f>LamChanHangNgan((PhiMayCatDecalVuong(M$14,$D16,$E16)+ PhiMayInToner4M(ROUNDUP(M$14/$F16,0)*$E$6)+ (ROUNDUP(M$14/$F16,0)*$D$11))*(1+$D$7))</f>
        <v>163000</v>
      </c>
      <c r="N16" s="7">
        <f>LamChanHangNgan((PhiMayCatDecalVuong(N$14,$D16,$E16)+ PhiMayInToner4M(ROUNDUP(N$14/$F16,0)*$E$6)+ (ROUNDUP(N$14/$F16,0)*$D$11))*(1+$D$7))</f>
        <v>166000</v>
      </c>
      <c r="O16" s="7">
        <f>LamChanHangNgan((PhiMayCatDecalVuong(O$14,$D16,$E16)+ PhiMayInToner4M(ROUNDUP(O$14/$F16,0)*$E$6)+ (ROUNDUP(O$14/$F16,0)*$D$11))*(1+$D$7))</f>
        <v>170000</v>
      </c>
      <c r="P16" s="7">
        <f>LamChanHangNgan((PhiMayCatDecalVuong(P$14,$D16,$E16)+ PhiMayInToner4M(ROUNDUP(P$14/$F16,0)*$E$6)+ (ROUNDUP(P$14/$F16,0)*$D$11))*(1+$D$7))</f>
        <v>174000</v>
      </c>
      <c r="Q16" s="7">
        <f>LamChanHangNgan((PhiMayCatDecalVuong(Q$14,$D16,$E16)+ PhiMayInToner4M(ROUNDUP(Q$14/$F16,0)*$E$6)+ (ROUNDUP(Q$14/$F16,0)*$D$11))*(1+$D$7))</f>
        <v>193000</v>
      </c>
      <c r="R16" s="7">
        <f>LamChanHangNgan((PhiMayCatDecalVuong(R$14,$D16,$E16)+ PhiMayInToner4M(ROUNDUP(R$14/$F16,0)*$E$6)+ (ROUNDUP(R$14/$F16,0)*$D$11))*(1+$D$7))</f>
        <v>212000</v>
      </c>
      <c r="S16" s="7">
        <f>LamChanHangNgan((PhiMayCatDecalVuong(S$14,$D16,$E16)+ PhiMayInToner4M(ROUNDUP(S$14/$F16,0)*$E$6)+ (ROUNDUP(S$14/$F16,0)*$D$11))*(1+$D$7))</f>
        <v>232000</v>
      </c>
      <c r="T16" s="7">
        <f>LamChanHangNgan((PhiMayCatDecalVuong(T$14,$D16,$E16)+ PhiMayInToner4M(ROUNDUP(T$14/$F16,0)*$E$6)+ (ROUNDUP(T$14/$F16,0)*$D$11))*(1+$D$7))</f>
        <v>251000</v>
      </c>
      <c r="U16" s="7">
        <f>LamChanHangNgan((PhiMayCatDecalVuong(U$14,$D16,$E16)+ PhiMayInToner4M(ROUNDUP(U$14/$F16,0)*$E$6)+ (ROUNDUP(U$14/$F16,0)*$D$11))*(1+$D$7))</f>
        <v>270000</v>
      </c>
      <c r="V16" s="7">
        <f>LamChanHangNgan((PhiMayCatDecalVuong(V$14,$D16,$E16)+ PhiMayInToner4M(ROUNDUP(V$14/$F16,0)*$E$6)+ (ROUNDUP(V$14/$F16,0)*$D$11))*(1+$D$7))</f>
        <v>289000</v>
      </c>
      <c r="W16" s="7">
        <f>LamChanHangNgan((PhiMayCatDecalVuong(W$14,$D16,$E16)+ PhiMayInToner4M(ROUNDUP(W$14/$F16,0)*$E$6)+ (ROUNDUP(W$14/$F16,0)*$D$11))*(1+$D$7))</f>
        <v>308000</v>
      </c>
      <c r="X16" s="7">
        <f>LamChanHangNgan((PhiMayCatDecalVuong(X$14,$D16,$E16)+ PhiMayInToner4M(ROUNDUP(X$14/$F16,0)*$E$6)+ (ROUNDUP(X$14/$F16,0)*$D$11))*(1+$D$7))</f>
        <v>328000</v>
      </c>
      <c r="Y16" s="7">
        <f>LamChanHangNgan((PhiMayCatDecalVuong(Y$14,$D16,$E16)+ PhiMayInToner4M(ROUNDUP(Y$14/$F16,0)*$E$6)+ (ROUNDUP(Y$14/$F16,0)*$D$11))*(1+$D$7))</f>
        <v>523000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4">
        <f t="shared" si="2"/>
        <v>72</v>
      </c>
      <c r="G17" s="7">
        <f>LamChanHangNgan((PhiMayCatDecalVuong(G$14,$D17,$E17)+ PhiMayInToner4M(ROUNDUP(G$14/$F17,0)*$E$6)+ (ROUNDUP(G$14/$F17,0)*$D$11))*(1+$D$7))</f>
        <v>140000</v>
      </c>
      <c r="H17" s="7">
        <f>LamChanHangNgan((PhiMayCatDecalVuong(H$14,$D17,$E17)+ PhiMayInToner4M(ROUNDUP(H$14/$F17,0)*$E$6)+ (ROUNDUP(H$14/$F17,0)*$D$11))*(1+$D$7))</f>
        <v>143000</v>
      </c>
      <c r="I17" s="7">
        <f>LamChanHangNgan((PhiMayCatDecalVuong(I$14,$D17,$E17)+ PhiMayInToner4M(ROUNDUP(I$14/$F17,0)*$E$6)+ (ROUNDUP(I$14/$F17,0)*$D$11))*(1+$D$7))</f>
        <v>151000</v>
      </c>
      <c r="J17" s="7">
        <f>LamChanHangNgan((PhiMayCatDecalVuong(J$14,$D17,$E17)+ PhiMayInToner4M(ROUNDUP(J$14/$F17,0)*$E$6)+ (ROUNDUP(J$14/$F17,0)*$D$11))*(1+$D$7))</f>
        <v>155000</v>
      </c>
      <c r="K17" s="7">
        <f>LamChanHangNgan((PhiMayCatDecalVuong(K$14,$D17,$E17)+ PhiMayInToner4M(ROUNDUP(K$14/$F17,0)*$E$6)+ (ROUNDUP(K$14/$F17,0)*$D$11))*(1+$D$7))</f>
        <v>159000</v>
      </c>
      <c r="L17" s="7">
        <f>LamChanHangNgan((PhiMayCatDecalVuong(L$14,$D17,$E17)+ PhiMayInToner4M(ROUNDUP(L$14/$F17,0)*$E$6)+ (ROUNDUP(L$14/$F17,0)*$D$11))*(1+$D$7))</f>
        <v>166000</v>
      </c>
      <c r="M17" s="7">
        <f>LamChanHangNgan((PhiMayCatDecalVuong(M$14,$D17,$E17)+ PhiMayInToner4M(ROUNDUP(M$14/$F17,0)*$E$6)+ (ROUNDUP(M$14/$F17,0)*$D$11))*(1+$D$7))</f>
        <v>170000</v>
      </c>
      <c r="N17" s="7">
        <f>LamChanHangNgan((PhiMayCatDecalVuong(N$14,$D17,$E17)+ PhiMayInToner4M(ROUNDUP(N$14/$F17,0)*$E$6)+ (ROUNDUP(N$14/$F17,0)*$D$11))*(1+$D$7))</f>
        <v>177000</v>
      </c>
      <c r="O17" s="7">
        <f>LamChanHangNgan((PhiMayCatDecalVuong(O$14,$D17,$E17)+ PhiMayInToner4M(ROUNDUP(O$14/$F17,0)*$E$6)+ (ROUNDUP(O$14/$F17,0)*$D$11))*(1+$D$7))</f>
        <v>181000</v>
      </c>
      <c r="P17" s="7">
        <f>LamChanHangNgan((PhiMayCatDecalVuong(P$14,$D17,$E17)+ PhiMayInToner4M(ROUNDUP(P$14/$F17,0)*$E$6)+ (ROUNDUP(P$14/$F17,0)*$D$11))*(1+$D$7))</f>
        <v>185000</v>
      </c>
      <c r="Q17" s="7">
        <f>LamChanHangNgan((PhiMayCatDecalVuong(Q$14,$D17,$E17)+ PhiMayInToner4M(ROUNDUP(Q$14/$F17,0)*$E$6)+ (ROUNDUP(Q$14/$F17,0)*$D$11))*(1+$D$7))</f>
        <v>211000</v>
      </c>
      <c r="R17" s="7">
        <f>LamChanHangNgan((PhiMayCatDecalVuong(R$14,$D17,$E17)+ PhiMayInToner4M(ROUNDUP(R$14/$F17,0)*$E$6)+ (ROUNDUP(R$14/$F17,0)*$D$11))*(1+$D$7))</f>
        <v>238000</v>
      </c>
      <c r="S17" s="7">
        <f>LamChanHangNgan((PhiMayCatDecalVuong(S$14,$D17,$E17)+ PhiMayInToner4M(ROUNDUP(S$14/$F17,0)*$E$6)+ (ROUNDUP(S$14/$F17,0)*$D$11))*(1+$D$7))</f>
        <v>264000</v>
      </c>
      <c r="T17" s="7">
        <f>LamChanHangNgan((PhiMayCatDecalVuong(T$14,$D17,$E17)+ PhiMayInToner4M(ROUNDUP(T$14/$F17,0)*$E$6)+ (ROUNDUP(T$14/$F17,0)*$D$11))*(1+$D$7))</f>
        <v>291000</v>
      </c>
      <c r="U17" s="7">
        <f>LamChanHangNgan((PhiMayCatDecalVuong(U$14,$D17,$E17)+ PhiMayInToner4M(ROUNDUP(U$14/$F17,0)*$E$6)+ (ROUNDUP(U$14/$F17,0)*$D$11))*(1+$D$7))</f>
        <v>317000</v>
      </c>
      <c r="V17" s="7">
        <f>LamChanHangNgan((PhiMayCatDecalVuong(V$14,$D17,$E17)+ PhiMayInToner4M(ROUNDUP(V$14/$F17,0)*$E$6)+ (ROUNDUP(V$14/$F17,0)*$D$11))*(1+$D$7))</f>
        <v>344000</v>
      </c>
      <c r="W17" s="7">
        <f>LamChanHangNgan((PhiMayCatDecalVuong(W$14,$D17,$E17)+ PhiMayInToner4M(ROUNDUP(W$14/$F17,0)*$E$6)+ (ROUNDUP(W$14/$F17,0)*$D$11))*(1+$D$7))</f>
        <v>370000</v>
      </c>
      <c r="X17" s="7">
        <f>LamChanHangNgan((PhiMayCatDecalVuong(X$14,$D17,$E17)+ PhiMayInToner4M(ROUNDUP(X$14/$F17,0)*$E$6)+ (ROUNDUP(X$14/$F17,0)*$D$11))*(1+$D$7))</f>
        <v>396000</v>
      </c>
      <c r="Y17" s="7">
        <f>LamChanHangNgan((PhiMayCatDecalVuong(Y$14,$D17,$E17)+ PhiMayInToner4M(ROUNDUP(Y$14/$F17,0)*$E$6)+ (ROUNDUP(Y$14/$F17,0)*$D$11))*(1+$D$7))</f>
        <v>657000</v>
      </c>
    </row>
    <row r="18" spans="1:25" x14ac:dyDescent="0.25">
      <c r="A18" s="1" t="s">
        <v>450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4">
        <f t="shared" si="2"/>
        <v>56</v>
      </c>
      <c r="G18" s="7">
        <f>LamChanHangNgan((PhiMayCatDecalVuong(G$14,$D18,$E18)+ PhiMayInToner4M(ROUNDUP(G$14/$F18,0)*$E$6)+ (ROUNDUP(G$14/$F18,0)*$D$11))*(1+$D$7))</f>
        <v>140000</v>
      </c>
      <c r="H18" s="7">
        <f>LamChanHangNgan((PhiMayCatDecalVuong(H$14,$D18,$E18)+ PhiMayInToner4M(ROUNDUP(H$14/$F18,0)*$E$6)+ (ROUNDUP(H$14/$F18,0)*$D$11))*(1+$D$7))</f>
        <v>147000</v>
      </c>
      <c r="I18" s="7">
        <f>LamChanHangNgan((PhiMayCatDecalVuong(I$14,$D18,$E18)+ PhiMayInToner4M(ROUNDUP(I$14/$F18,0)*$E$6)+ (ROUNDUP(I$14/$F18,0)*$D$11))*(1+$D$7))</f>
        <v>155000</v>
      </c>
      <c r="J18" s="7">
        <f>LamChanHangNgan((PhiMayCatDecalVuong(J$14,$D18,$E18)+ PhiMayInToner4M(ROUNDUP(J$14/$F18,0)*$E$6)+ (ROUNDUP(J$14/$F18,0)*$D$11))*(1+$D$7))</f>
        <v>162000</v>
      </c>
      <c r="K18" s="7">
        <f>LamChanHangNgan((PhiMayCatDecalVuong(K$14,$D18,$E18)+ PhiMayInToner4M(ROUNDUP(K$14/$F18,0)*$E$6)+ (ROUNDUP(K$14/$F18,0)*$D$11))*(1+$D$7))</f>
        <v>166000</v>
      </c>
      <c r="L18" s="7">
        <f>LamChanHangNgan((PhiMayCatDecalVuong(L$14,$D18,$E18)+ PhiMayInToner4M(ROUNDUP(L$14/$F18,0)*$E$6)+ (ROUNDUP(L$14/$F18,0)*$D$11))*(1+$D$7))</f>
        <v>173000</v>
      </c>
      <c r="M18" s="7">
        <f>LamChanHangNgan((PhiMayCatDecalVuong(M$14,$D18,$E18)+ PhiMayInToner4M(ROUNDUP(M$14/$F18,0)*$E$6)+ (ROUNDUP(M$14/$F18,0)*$D$11))*(1+$D$7))</f>
        <v>181000</v>
      </c>
      <c r="N18" s="7">
        <f>LamChanHangNgan((PhiMayCatDecalVuong(N$14,$D18,$E18)+ PhiMayInToner4M(ROUNDUP(N$14/$F18,0)*$E$6)+ (ROUNDUP(N$14/$F18,0)*$D$11))*(1+$D$7))</f>
        <v>188000</v>
      </c>
      <c r="O18" s="7">
        <f>LamChanHangNgan((PhiMayCatDecalVuong(O$14,$D18,$E18)+ PhiMayInToner4M(ROUNDUP(O$14/$F18,0)*$E$6)+ (ROUNDUP(O$14/$F18,0)*$D$11))*(1+$D$7))</f>
        <v>196000</v>
      </c>
      <c r="P18" s="7">
        <f>LamChanHangNgan((PhiMayCatDecalVuong(P$14,$D18,$E18)+ PhiMayInToner4M(ROUNDUP(P$14/$F18,0)*$E$6)+ (ROUNDUP(P$14/$F18,0)*$D$11))*(1+$D$7))</f>
        <v>200000</v>
      </c>
      <c r="Q18" s="7">
        <f>LamChanHangNgan((PhiMayCatDecalVuong(Q$14,$D18,$E18)+ PhiMayInToner4M(ROUNDUP(Q$14/$F18,0)*$E$6)+ (ROUNDUP(Q$14/$F18,0)*$D$11))*(1+$D$7))</f>
        <v>233000</v>
      </c>
      <c r="R18" s="7">
        <f>LamChanHangNgan((PhiMayCatDecalVuong(R$14,$D18,$E18)+ PhiMayInToner4M(ROUNDUP(R$14/$F18,0)*$E$6)+ (ROUNDUP(R$14/$F18,0)*$D$11))*(1+$D$7))</f>
        <v>267000</v>
      </c>
      <c r="S18" s="7">
        <f>LamChanHangNgan((PhiMayCatDecalVuong(S$14,$D18,$E18)+ PhiMayInToner4M(ROUNDUP(S$14/$F18,0)*$E$6)+ (ROUNDUP(S$14/$F18,0)*$D$11))*(1+$D$7))</f>
        <v>301000</v>
      </c>
      <c r="T18" s="7">
        <f>LamChanHangNgan((PhiMayCatDecalVuong(T$14,$D18,$E18)+ PhiMayInToner4M(ROUNDUP(T$14/$F18,0)*$E$6)+ (ROUNDUP(T$14/$F18,0)*$D$11))*(1+$D$7))</f>
        <v>334000</v>
      </c>
      <c r="U18" s="7">
        <f>LamChanHangNgan((PhiMayCatDecalVuong(U$14,$D18,$E18)+ PhiMayInToner4M(ROUNDUP(U$14/$F18,0)*$E$6)+ (ROUNDUP(U$14/$F18,0)*$D$11))*(1+$D$7))</f>
        <v>368000</v>
      </c>
      <c r="V18" s="7">
        <f>LamChanHangNgan((PhiMayCatDecalVuong(V$14,$D18,$E18)+ PhiMayInToner4M(ROUNDUP(V$14/$F18,0)*$E$6)+ (ROUNDUP(V$14/$F18,0)*$D$11))*(1+$D$7))</f>
        <v>402000</v>
      </c>
      <c r="W18" s="7">
        <f>LamChanHangNgan((PhiMayCatDecalVuong(W$14,$D18,$E18)+ PhiMayInToner4M(ROUNDUP(W$14/$F18,0)*$E$6)+ (ROUNDUP(W$14/$F18,0)*$D$11))*(1+$D$7))</f>
        <v>435000</v>
      </c>
      <c r="X18" s="7">
        <f>LamChanHangNgan((PhiMayCatDecalVuong(X$14,$D18,$E18)+ PhiMayInToner4M(ROUNDUP(X$14/$F18,0)*$E$6)+ (ROUNDUP(X$14/$F18,0)*$D$11))*(1+$D$7))</f>
        <v>469000</v>
      </c>
      <c r="Y18" s="7">
        <f>LamChanHangNgan((PhiMayCatDecalVuong(Y$14,$D18,$E18)+ PhiMayInToner4M(ROUNDUP(Y$14/$F18,0)*$E$6)+ (ROUNDUP(Y$14/$F18,0)*$D$11))*(1+$D$7))</f>
        <v>802000</v>
      </c>
    </row>
    <row r="19" spans="1:25" ht="30" x14ac:dyDescent="0.25">
      <c r="A19" s="2" t="s">
        <v>451</v>
      </c>
      <c r="B19" s="42" t="s">
        <v>455</v>
      </c>
      <c r="C19" t="str">
        <f t="shared" si="3"/>
        <v>5 x 5 cm</v>
      </c>
      <c r="D19">
        <v>5</v>
      </c>
      <c r="E19">
        <v>5</v>
      </c>
      <c r="F19" s="44">
        <f t="shared" si="2"/>
        <v>42</v>
      </c>
      <c r="G19" s="7">
        <f>LamChanHangNgan((PhiMayCatDecalVuong(G$14,$D19,$E19)+ PhiMayInToner4M(ROUNDUP(G$14/$F19,0)*$E$6)+ (ROUNDUP(G$14/$F19,0)*$D$11))*(1+$D$7))</f>
        <v>143000</v>
      </c>
      <c r="H19" s="7">
        <f>LamChanHangNgan((PhiMayCatDecalVuong(H$14,$D19,$E19)+ PhiMayInToner4M(ROUNDUP(H$14/$F19,0)*$E$6)+ (ROUNDUP(H$14/$F19,0)*$D$11))*(1+$D$7))</f>
        <v>151000</v>
      </c>
      <c r="I19" s="7">
        <f>LamChanHangNgan((PhiMayCatDecalVuong(I$14,$D19,$E19)+ PhiMayInToner4M(ROUNDUP(I$14/$F19,0)*$E$6)+ (ROUNDUP(I$14/$F19,0)*$D$11))*(1+$D$7))</f>
        <v>162000</v>
      </c>
      <c r="J19" s="7">
        <f>LamChanHangNgan((PhiMayCatDecalVuong(J$14,$D19,$E19)+ PhiMayInToner4M(ROUNDUP(J$14/$F19,0)*$E$6)+ (ROUNDUP(J$14/$F19,0)*$D$11))*(1+$D$7))</f>
        <v>169000</v>
      </c>
      <c r="K19" s="7">
        <f>LamChanHangNgan((PhiMayCatDecalVuong(K$14,$D19,$E19)+ PhiMayInToner4M(ROUNDUP(K$14/$F19,0)*$E$6)+ (ROUNDUP(K$14/$F19,0)*$D$11))*(1+$D$7))</f>
        <v>177000</v>
      </c>
      <c r="L19" s="7">
        <f>LamChanHangNgan((PhiMayCatDecalVuong(L$14,$D19,$E19)+ PhiMayInToner4M(ROUNDUP(L$14/$F19,0)*$E$6)+ (ROUNDUP(L$14/$F19,0)*$D$11))*(1+$D$7))</f>
        <v>188000</v>
      </c>
      <c r="M19" s="7">
        <f>LamChanHangNgan((PhiMayCatDecalVuong(M$14,$D19,$E19)+ PhiMayInToner4M(ROUNDUP(M$14/$F19,0)*$E$6)+ (ROUNDUP(M$14/$F19,0)*$D$11))*(1+$D$7))</f>
        <v>195000</v>
      </c>
      <c r="N19" s="7">
        <f>LamChanHangNgan((PhiMayCatDecalVuong(N$14,$D19,$E19)+ PhiMayInToner4M(ROUNDUP(N$14/$F19,0)*$E$6)+ (ROUNDUP(N$14/$F19,0)*$D$11))*(1+$D$7))</f>
        <v>206000</v>
      </c>
      <c r="O19" s="7">
        <f>LamChanHangNgan((PhiMayCatDecalVuong(O$14,$D19,$E19)+ PhiMayInToner4M(ROUNDUP(O$14/$F19,0)*$E$6)+ (ROUNDUP(O$14/$F19,0)*$D$11))*(1+$D$7))</f>
        <v>214000</v>
      </c>
      <c r="P19" s="7">
        <f>LamChanHangNgan((PhiMayCatDecalVuong(P$14,$D19,$E19)+ PhiMayInToner4M(ROUNDUP(P$14/$F19,0)*$E$6)+ (ROUNDUP(P$14/$F19,0)*$D$11))*(1+$D$7))</f>
        <v>221000</v>
      </c>
      <c r="Q19" s="7">
        <f>LamChanHangNgan((PhiMayCatDecalVuong(Q$14,$D19,$E19)+ PhiMayInToner4M(ROUNDUP(Q$14/$F19,0)*$E$6)+ (ROUNDUP(Q$14/$F19,0)*$D$11))*(1+$D$7))</f>
        <v>266000</v>
      </c>
      <c r="R19" s="7">
        <f>LamChanHangNgan((PhiMayCatDecalVuong(R$14,$D19,$E19)+ PhiMayInToner4M(ROUNDUP(R$14/$F19,0)*$E$6)+ (ROUNDUP(R$14/$F19,0)*$D$11))*(1+$D$7))</f>
        <v>310000</v>
      </c>
      <c r="S19" s="7">
        <f>LamChanHangNgan((PhiMayCatDecalVuong(S$14,$D19,$E19)+ PhiMayInToner4M(ROUNDUP(S$14/$F19,0)*$E$6)+ (ROUNDUP(S$14/$F19,0)*$D$11))*(1+$D$7))</f>
        <v>354000</v>
      </c>
      <c r="T19" s="7">
        <f>LamChanHangNgan((PhiMayCatDecalVuong(T$14,$D19,$E19)+ PhiMayInToner4M(ROUNDUP(T$14/$F19,0)*$E$6)+ (ROUNDUP(T$14/$F19,0)*$D$11))*(1+$D$7))</f>
        <v>399000</v>
      </c>
      <c r="U19" s="7">
        <f>LamChanHangNgan((PhiMayCatDecalVuong(U$14,$D19,$E19)+ PhiMayInToner4M(ROUNDUP(U$14/$F19,0)*$E$6)+ (ROUNDUP(U$14/$F19,0)*$D$11))*(1+$D$7))</f>
        <v>443000</v>
      </c>
      <c r="V19" s="7">
        <f>LamChanHangNgan((PhiMayCatDecalVuong(V$14,$D19,$E19)+ PhiMayInToner4M(ROUNDUP(V$14/$F19,0)*$E$6)+ (ROUNDUP(V$14/$F19,0)*$D$11))*(1+$D$7))</f>
        <v>488000</v>
      </c>
      <c r="W19" s="7">
        <f>LamChanHangNgan((PhiMayCatDecalVuong(W$14,$D19,$E19)+ PhiMayInToner4M(ROUNDUP(W$14/$F19,0)*$E$6)+ (ROUNDUP(W$14/$F19,0)*$D$11))*(1+$D$7))</f>
        <v>532000</v>
      </c>
      <c r="X19" s="7">
        <f>LamChanHangNgan((PhiMayCatDecalVuong(X$14,$D19,$E19)+ PhiMayInToner4M(ROUNDUP(X$14/$F19,0)*$E$6)+ (ROUNDUP(X$14/$F19,0)*$D$11))*(1+$D$7))</f>
        <v>577000</v>
      </c>
      <c r="Y19" s="7">
        <f>LamChanHangNgan((PhiMayCatDecalVuong(Y$14,$D19,$E19)+ PhiMayInToner4M(ROUNDUP(Y$14/$F19,0)*$E$6)+ (ROUNDUP(Y$14/$F19,0)*$D$11))*(1+$D$7))</f>
        <v>1017000</v>
      </c>
    </row>
    <row r="20" spans="1:25" x14ac:dyDescent="0.25">
      <c r="A20" s="2" t="s">
        <v>452</v>
      </c>
      <c r="B20">
        <f xml:space="preserve"> PhiMayInToner4M(ROUNDUP($G18/H$16,0)*$E$6)</f>
        <v>64087.333299999998</v>
      </c>
      <c r="C20" t="str">
        <f t="shared" si="3"/>
        <v>5.5 x 5.5 cm</v>
      </c>
      <c r="D20">
        <v>5.5</v>
      </c>
      <c r="E20">
        <v>5.5</v>
      </c>
      <c r="F20" s="44">
        <f t="shared" si="2"/>
        <v>35</v>
      </c>
      <c r="G20" s="7">
        <f>LamChanHangNgan((PhiMayCatDecalVuong(G$14,$D20,$E20)+ PhiMayInToner4M(ROUNDUP(G$14/$F20,0)*$E$6)+ (ROUNDUP(G$14/$F20,0)*$D$11))*(1+$D$7))</f>
        <v>143000</v>
      </c>
      <c r="H20" s="7">
        <f>LamChanHangNgan((PhiMayCatDecalVuong(H$14,$D20,$E20)+ PhiMayInToner4M(ROUNDUP(H$14/$F20,0)*$E$6)+ (ROUNDUP(H$14/$F20,0)*$D$11))*(1+$D$7))</f>
        <v>154000</v>
      </c>
      <c r="I20" s="7">
        <f>LamChanHangNgan((PhiMayCatDecalVuong(I$14,$D20,$E20)+ PhiMayInToner4M(ROUNDUP(I$14/$F20,0)*$E$6)+ (ROUNDUP(I$14/$F20,0)*$D$11))*(1+$D$7))</f>
        <v>165000</v>
      </c>
      <c r="J20" s="7">
        <f>LamChanHangNgan((PhiMayCatDecalVuong(J$14,$D20,$E20)+ PhiMayInToner4M(ROUNDUP(J$14/$F20,0)*$E$6)+ (ROUNDUP(J$14/$F20,0)*$D$11))*(1+$D$7))</f>
        <v>176000</v>
      </c>
      <c r="K20" s="7">
        <f>LamChanHangNgan((PhiMayCatDecalVuong(K$14,$D20,$E20)+ PhiMayInToner4M(ROUNDUP(K$14/$F20,0)*$E$6)+ (ROUNDUP(K$14/$F20,0)*$D$11))*(1+$D$7))</f>
        <v>187000</v>
      </c>
      <c r="L20" s="7">
        <f>LamChanHangNgan((PhiMayCatDecalVuong(L$14,$D20,$E20)+ PhiMayInToner4M(ROUNDUP(L$14/$F20,0)*$E$6)+ (ROUNDUP(L$14/$F20,0)*$D$11))*(1+$D$7))</f>
        <v>198000</v>
      </c>
      <c r="M20" s="7">
        <f>LamChanHangNgan((PhiMayCatDecalVuong(M$14,$D20,$E20)+ PhiMayInToner4M(ROUNDUP(M$14/$F20,0)*$E$6)+ (ROUNDUP(M$14/$F20,0)*$D$11))*(1+$D$7))</f>
        <v>206000</v>
      </c>
      <c r="N20" s="7">
        <f>LamChanHangNgan((PhiMayCatDecalVuong(N$14,$D20,$E20)+ PhiMayInToner4M(ROUNDUP(N$14/$F20,0)*$E$6)+ (ROUNDUP(N$14/$F20,0)*$D$11))*(1+$D$7))</f>
        <v>217000</v>
      </c>
      <c r="O20" s="7">
        <f>LamChanHangNgan((PhiMayCatDecalVuong(O$14,$D20,$E20)+ PhiMayInToner4M(ROUNDUP(O$14/$F20,0)*$E$6)+ (ROUNDUP(O$14/$F20,0)*$D$11))*(1+$D$7))</f>
        <v>228000</v>
      </c>
      <c r="P20" s="7">
        <f>LamChanHangNgan((PhiMayCatDecalVuong(P$14,$D20,$E20)+ PhiMayInToner4M(ROUNDUP(P$14/$F20,0)*$E$6)+ (ROUNDUP(P$14/$F20,0)*$D$11))*(1+$D$7))</f>
        <v>239000</v>
      </c>
      <c r="Q20" s="7">
        <f>LamChanHangNgan((PhiMayCatDecalVuong(Q$14,$D20,$E20)+ PhiMayInToner4M(ROUNDUP(Q$14/$F20,0)*$E$6)+ (ROUNDUP(Q$14/$F20,0)*$D$11))*(1+$D$7))</f>
        <v>291000</v>
      </c>
      <c r="R20" s="7">
        <f>LamChanHangNgan((PhiMayCatDecalVuong(R$14,$D20,$E20)+ PhiMayInToner4M(ROUNDUP(R$14/$F20,0)*$E$6)+ (ROUNDUP(R$14/$F20,0)*$D$11))*(1+$D$7))</f>
        <v>346000</v>
      </c>
      <c r="S20" s="7">
        <f>LamChanHangNgan((PhiMayCatDecalVuong(S$14,$D20,$E20)+ PhiMayInToner4M(ROUNDUP(S$14/$F20,0)*$E$6)+ (ROUNDUP(S$14/$F20,0)*$D$11))*(1+$D$7))</f>
        <v>398000</v>
      </c>
      <c r="T20" s="7">
        <f>LamChanHangNgan((PhiMayCatDecalVuong(T$14,$D20,$E20)+ PhiMayInToner4M(ROUNDUP(T$14/$F20,0)*$E$6)+ (ROUNDUP(T$14/$F20,0)*$D$11))*(1+$D$7))</f>
        <v>449000</v>
      </c>
      <c r="U20" s="7">
        <f>LamChanHangNgan((PhiMayCatDecalVuong(U$14,$D20,$E20)+ PhiMayInToner4M(ROUNDUP(U$14/$F20,0)*$E$6)+ (ROUNDUP(U$14/$F20,0)*$D$11))*(1+$D$7))</f>
        <v>501000</v>
      </c>
      <c r="V20" s="7">
        <f>LamChanHangNgan((PhiMayCatDecalVuong(V$14,$D20,$E20)+ PhiMayInToner4M(ROUNDUP(V$14/$F20,0)*$E$6)+ (ROUNDUP(V$14/$F20,0)*$D$11))*(1+$D$7))</f>
        <v>556000</v>
      </c>
      <c r="W20" s="7">
        <f>LamChanHangNgan((PhiMayCatDecalVuong(W$14,$D20,$E20)+ PhiMayInToner4M(ROUNDUP(W$14/$F20,0)*$E$6)+ (ROUNDUP(W$14/$F20,0)*$D$11))*(1+$D$7))</f>
        <v>608000</v>
      </c>
      <c r="X20" s="7">
        <f>LamChanHangNgan((PhiMayCatDecalVuong(X$14,$D20,$E20)+ PhiMayInToner4M(ROUNDUP(X$14/$F20,0)*$E$6)+ (ROUNDUP(X$14/$F20,0)*$D$11))*(1+$D$7))</f>
        <v>660000</v>
      </c>
      <c r="Y20" s="7">
        <f>LamChanHangNgan((PhiMayCatDecalVuong(Y$14,$D20,$E20)+ PhiMayInToner4M(ROUNDUP(Y$14/$F20,0)*$E$6)+ (ROUNDUP(Y$14/$F20,0)*$D$11))*(1+$D$7))</f>
        <v>1187000</v>
      </c>
    </row>
    <row r="21" spans="1:25" x14ac:dyDescent="0.25">
      <c r="A21" s="2" t="s">
        <v>453</v>
      </c>
      <c r="C21" t="str">
        <f t="shared" si="3"/>
        <v>6 x 6 cm</v>
      </c>
      <c r="D21">
        <v>6</v>
      </c>
      <c r="E21">
        <v>6</v>
      </c>
      <c r="F21" s="44">
        <f t="shared" si="2"/>
        <v>30</v>
      </c>
      <c r="G21" s="7">
        <f>LamChanHangNgan((PhiMayCatDecalVuong(G$14,$D21,$E21)+ PhiMayInToner4M(ROUNDUP(G$14/$F21,0)*$E$6)+ (ROUNDUP(G$14/$F21,0)*$D$11))*(1+$D$7))</f>
        <v>147000</v>
      </c>
      <c r="H21" s="7">
        <f>LamChanHangNgan((PhiMayCatDecalVuong(H$14,$D21,$E21)+ PhiMayInToner4M(ROUNDUP(H$14/$F21,0)*$E$6)+ (ROUNDUP(H$14/$F21,0)*$D$11))*(1+$D$7))</f>
        <v>158000</v>
      </c>
      <c r="I21" s="7">
        <f>LamChanHangNgan((PhiMayCatDecalVuong(I$14,$D21,$E21)+ PhiMayInToner4M(ROUNDUP(I$14/$F21,0)*$E$6)+ (ROUNDUP(I$14/$F21,0)*$D$11))*(1+$D$7))</f>
        <v>169000</v>
      </c>
      <c r="J21" s="7">
        <f>LamChanHangNgan((PhiMayCatDecalVuong(J$14,$D21,$E21)+ PhiMayInToner4M(ROUNDUP(J$14/$F21,0)*$E$6)+ (ROUNDUP(J$14/$F21,0)*$D$11))*(1+$D$7))</f>
        <v>184000</v>
      </c>
      <c r="K21" s="7">
        <f>LamChanHangNgan((PhiMayCatDecalVuong(K$14,$D21,$E21)+ PhiMayInToner4M(ROUNDUP(K$14/$F21,0)*$E$6)+ (ROUNDUP(K$14/$F21,0)*$D$11))*(1+$D$7))</f>
        <v>195000</v>
      </c>
      <c r="L21" s="7">
        <f>LamChanHangNgan((PhiMayCatDecalVuong(L$14,$D21,$E21)+ PhiMayInToner4M(ROUNDUP(L$14/$F21,0)*$E$6)+ (ROUNDUP(L$14/$F21,0)*$D$11))*(1+$D$7))</f>
        <v>206000</v>
      </c>
      <c r="M21" s="7">
        <f>LamChanHangNgan((PhiMayCatDecalVuong(M$14,$D21,$E21)+ PhiMayInToner4M(ROUNDUP(M$14/$F21,0)*$E$6)+ (ROUNDUP(M$14/$F21,0)*$D$11))*(1+$D$7))</f>
        <v>220000</v>
      </c>
      <c r="N21" s="7">
        <f>LamChanHangNgan((PhiMayCatDecalVuong(N$14,$D21,$E21)+ PhiMayInToner4M(ROUNDUP(N$14/$F21,0)*$E$6)+ (ROUNDUP(N$14/$F21,0)*$D$11))*(1+$D$7))</f>
        <v>231000</v>
      </c>
      <c r="O21" s="7">
        <f>LamChanHangNgan((PhiMayCatDecalVuong(O$14,$D21,$E21)+ PhiMayInToner4M(ROUNDUP(O$14/$F21,0)*$E$6)+ (ROUNDUP(O$14/$F21,0)*$D$11))*(1+$D$7))</f>
        <v>242000</v>
      </c>
      <c r="P21" s="7">
        <f>LamChanHangNgan((PhiMayCatDecalVuong(P$14,$D21,$E21)+ PhiMayInToner4M(ROUNDUP(P$14/$F21,0)*$E$6)+ (ROUNDUP(P$14/$F21,0)*$D$11))*(1+$D$7))</f>
        <v>257000</v>
      </c>
      <c r="Q21" s="7">
        <f>LamChanHangNgan((PhiMayCatDecalVuong(Q$14,$D21,$E21)+ PhiMayInToner4M(ROUNDUP(Q$14/$F21,0)*$E$6)+ (ROUNDUP(Q$14/$F21,0)*$D$11))*(1+$D$7))</f>
        <v>316000</v>
      </c>
      <c r="R21" s="7">
        <f>LamChanHangNgan((PhiMayCatDecalVuong(R$14,$D21,$E21)+ PhiMayInToner4M(ROUNDUP(R$14/$F21,0)*$E$6)+ (ROUNDUP(R$14/$F21,0)*$D$11))*(1+$D$7))</f>
        <v>378000</v>
      </c>
      <c r="S21" s="7">
        <f>LamChanHangNgan((PhiMayCatDecalVuong(S$14,$D21,$E21)+ PhiMayInToner4M(ROUNDUP(S$14/$F21,0)*$E$6)+ (ROUNDUP(S$14/$F21,0)*$D$11))*(1+$D$7))</f>
        <v>441000</v>
      </c>
      <c r="T21" s="7">
        <f>LamChanHangNgan((PhiMayCatDecalVuong(T$14,$D21,$E21)+ PhiMayInToner4M(ROUNDUP(T$14/$F21,0)*$E$6)+ (ROUNDUP(T$14/$F21,0)*$D$11))*(1+$D$7))</f>
        <v>500000</v>
      </c>
      <c r="U21" s="7">
        <f>LamChanHangNgan((PhiMayCatDecalVuong(U$14,$D21,$E21)+ PhiMayInToner4M(ROUNDUP(U$14/$F21,0)*$E$6)+ (ROUNDUP(U$14/$F21,0)*$D$11))*(1+$D$7))</f>
        <v>562000</v>
      </c>
      <c r="V21" s="7">
        <f>LamChanHangNgan((PhiMayCatDecalVuong(V$14,$D21,$E21)+ PhiMayInToner4M(ROUNDUP(V$14/$F21,0)*$E$6)+ (ROUNDUP(V$14/$F21,0)*$D$11))*(1+$D$7))</f>
        <v>625000</v>
      </c>
      <c r="W21" s="7">
        <f>LamChanHangNgan((PhiMayCatDecalVuong(W$14,$D21,$E21)+ PhiMayInToner4M(ROUNDUP(W$14/$F21,0)*$E$6)+ (ROUNDUP(W$14/$F21,0)*$D$11))*(1+$D$7))</f>
        <v>684000</v>
      </c>
      <c r="X21" s="7">
        <f>LamChanHangNgan((PhiMayCatDecalVuong(X$14,$D21,$E21)+ PhiMayInToner4M(ROUNDUP(X$14/$F21,0)*$E$6)+ (ROUNDUP(X$14/$F21,0)*$D$11))*(1+$D$7))</f>
        <v>746000</v>
      </c>
      <c r="Y21" s="7">
        <f>LamChanHangNgan((PhiMayCatDecalVuong(Y$14,$D21,$E21)+ PhiMayInToner4M(ROUNDUP(Y$14/$F21,0)*$E$6)+ (ROUNDUP(Y$14/$F21,0)*$D$11))*(1+$D$7))</f>
        <v>1360000</v>
      </c>
    </row>
    <row r="22" spans="1:25" x14ac:dyDescent="0.25">
      <c r="A22" s="2" t="s">
        <v>454</v>
      </c>
      <c r="C22" t="str">
        <f t="shared" si="3"/>
        <v>6.5 x 6.5 cm</v>
      </c>
      <c r="D22">
        <v>6.5</v>
      </c>
      <c r="E22">
        <v>6.5</v>
      </c>
      <c r="F22" s="44">
        <f t="shared" si="2"/>
        <v>24</v>
      </c>
      <c r="G22" s="7">
        <f>LamChanHangNgan((PhiMayCatDecalVuong(G$14,$D22,$E22)+ PhiMayInToner4M(ROUNDUP(G$14/$F22,0)*$E$6)+ (ROUNDUP(G$14/$F22,0)*$D$11))*(1+$D$7))</f>
        <v>150000</v>
      </c>
      <c r="H22" s="7">
        <f>LamChanHangNgan((PhiMayCatDecalVuong(H$14,$D22,$E22)+ PhiMayInToner4M(ROUNDUP(H$14/$F22,0)*$E$6)+ (ROUNDUP(H$14/$F22,0)*$D$11))*(1+$D$7))</f>
        <v>165000</v>
      </c>
      <c r="I22" s="7">
        <f>LamChanHangNgan((PhiMayCatDecalVuong(I$14,$D22,$E22)+ PhiMayInToner4M(ROUNDUP(I$14/$F22,0)*$E$6)+ (ROUNDUP(I$14/$F22,0)*$D$11))*(1+$D$7))</f>
        <v>180000</v>
      </c>
      <c r="J22" s="7">
        <f>LamChanHangNgan((PhiMayCatDecalVuong(J$14,$D22,$E22)+ PhiMayInToner4M(ROUNDUP(J$14/$F22,0)*$E$6)+ (ROUNDUP(J$14/$F22,0)*$D$11))*(1+$D$7))</f>
        <v>194000</v>
      </c>
      <c r="K22" s="7">
        <f>LamChanHangNgan((PhiMayCatDecalVuong(K$14,$D22,$E22)+ PhiMayInToner4M(ROUNDUP(K$14/$F22,0)*$E$6)+ (ROUNDUP(K$14/$F22,0)*$D$11))*(1+$D$7))</f>
        <v>209000</v>
      </c>
      <c r="L22" s="7">
        <f>LamChanHangNgan((PhiMayCatDecalVuong(L$14,$D22,$E22)+ PhiMayInToner4M(ROUNDUP(L$14/$F22,0)*$E$6)+ (ROUNDUP(L$14/$F22,0)*$D$11))*(1+$D$7))</f>
        <v>224000</v>
      </c>
      <c r="M22" s="7">
        <f>LamChanHangNgan((PhiMayCatDecalVuong(M$14,$D22,$E22)+ PhiMayInToner4M(ROUNDUP(M$14/$F22,0)*$E$6)+ (ROUNDUP(M$14/$F22,0)*$D$11))*(1+$D$7))</f>
        <v>242000</v>
      </c>
      <c r="N22" s="7">
        <f>LamChanHangNgan((PhiMayCatDecalVuong(N$14,$D22,$E22)+ PhiMayInToner4M(ROUNDUP(N$14/$F22,0)*$E$6)+ (ROUNDUP(N$14/$F22,0)*$D$11))*(1+$D$7))</f>
        <v>256000</v>
      </c>
      <c r="O22" s="7">
        <f>LamChanHangNgan((PhiMayCatDecalVuong(O$14,$D22,$E22)+ PhiMayInToner4M(ROUNDUP(O$14/$F22,0)*$E$6)+ (ROUNDUP(O$14/$F22,0)*$D$11))*(1+$D$7))</f>
        <v>271000</v>
      </c>
      <c r="P22" s="7">
        <f>LamChanHangNgan((PhiMayCatDecalVuong(P$14,$D22,$E22)+ PhiMayInToner4M(ROUNDUP(P$14/$F22,0)*$E$6)+ (ROUNDUP(P$14/$F22,0)*$D$11))*(1+$D$7))</f>
        <v>286000</v>
      </c>
      <c r="Q22" s="7">
        <f>LamChanHangNgan((PhiMayCatDecalVuong(Q$14,$D22,$E22)+ PhiMayInToner4M(ROUNDUP(Q$14/$F22,0)*$E$6)+ (ROUNDUP(Q$14/$F22,0)*$D$11))*(1+$D$7))</f>
        <v>362000</v>
      </c>
      <c r="R22" s="7">
        <f>LamChanHangNgan((PhiMayCatDecalVuong(R$14,$D22,$E22)+ PhiMayInToner4M(ROUNDUP(R$14/$F22,0)*$E$6)+ (ROUNDUP(R$14/$F22,0)*$D$11))*(1+$D$7))</f>
        <v>439000</v>
      </c>
      <c r="S22" s="7">
        <f>LamChanHangNgan((PhiMayCatDecalVuong(S$14,$D22,$E22)+ PhiMayInToner4M(ROUNDUP(S$14/$F22,0)*$E$6)+ (ROUNDUP(S$14/$F22,0)*$D$11))*(1+$D$7))</f>
        <v>516000</v>
      </c>
      <c r="T22" s="7">
        <f>LamChanHangNgan((PhiMayCatDecalVuong(T$14,$D22,$E22)+ PhiMayInToner4M(ROUNDUP(T$14/$F22,0)*$E$6)+ (ROUNDUP(T$14/$F22,0)*$D$11))*(1+$D$7))</f>
        <v>589000</v>
      </c>
      <c r="U22" s="7">
        <f>LamChanHangNgan((PhiMayCatDecalVuong(U$14,$D22,$E22)+ PhiMayInToner4M(ROUNDUP(U$14/$F22,0)*$E$6)+ (ROUNDUP(U$14/$F22,0)*$D$11))*(1+$D$7))</f>
        <v>666000</v>
      </c>
      <c r="V22" s="7">
        <f>LamChanHangNgan((PhiMayCatDecalVuong(V$14,$D22,$E22)+ PhiMayInToner4M(ROUNDUP(V$14/$F22,0)*$E$6)+ (ROUNDUP(V$14/$F22,0)*$D$11))*(1+$D$7))</f>
        <v>742000</v>
      </c>
      <c r="W22" s="7">
        <f>LamChanHangNgan((PhiMayCatDecalVuong(W$14,$D22,$E22)+ PhiMayInToner4M(ROUNDUP(W$14/$F22,0)*$E$6)+ (ROUNDUP(W$14/$F22,0)*$D$11))*(1+$D$7))</f>
        <v>819000</v>
      </c>
      <c r="X22" s="7">
        <f>LamChanHangNgan((PhiMayCatDecalVuong(X$14,$D22,$E22)+ PhiMayInToner4M(ROUNDUP(X$14/$F22,0)*$E$6)+ (ROUNDUP(X$14/$F22,0)*$D$11))*(1+$D$7))</f>
        <v>896000</v>
      </c>
      <c r="Y22" s="7">
        <f>LamChanHangNgan((PhiMayCatDecalVuong(Y$14,$D22,$E22)+ PhiMayInToner4M(ROUNDUP(Y$14/$F22,0)*$E$6)+ (ROUNDUP(Y$14/$F22,0)*$D$11))*(1+$D$7))</f>
        <v>1656000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4">
        <f t="shared" si="2"/>
        <v>20</v>
      </c>
      <c r="G23" s="7">
        <f>LamChanHangNgan((PhiMayCatDecalVuong(G$14,$D23,$E23)+ PhiMayInToner4M(ROUNDUP(G$14/$F23,0)*$E$6)+ (ROUNDUP(G$14/$F23,0)*$D$11))*(1+$D$7))</f>
        <v>150000</v>
      </c>
      <c r="H23" s="7">
        <f>LamChanHangNgan((PhiMayCatDecalVuong(H$14,$D23,$E23)+ PhiMayInToner4M(ROUNDUP(H$14/$F23,0)*$E$6)+ (ROUNDUP(H$14/$F23,0)*$D$11))*(1+$D$7))</f>
        <v>169000</v>
      </c>
      <c r="I23" s="7">
        <f>LamChanHangNgan((PhiMayCatDecalVuong(I$14,$D23,$E23)+ PhiMayInToner4M(ROUNDUP(I$14/$F23,0)*$E$6)+ (ROUNDUP(I$14/$F23,0)*$D$11))*(1+$D$7))</f>
        <v>187000</v>
      </c>
      <c r="J23" s="7">
        <f>LamChanHangNgan((PhiMayCatDecalVuong(J$14,$D23,$E23)+ PhiMayInToner4M(ROUNDUP(J$14/$F23,0)*$E$6)+ (ROUNDUP(J$14/$F23,0)*$D$11))*(1+$D$7))</f>
        <v>205000</v>
      </c>
      <c r="K23" s="7">
        <f>LamChanHangNgan((PhiMayCatDecalVuong(K$14,$D23,$E23)+ PhiMayInToner4M(ROUNDUP(K$14/$F23,0)*$E$6)+ (ROUNDUP(K$14/$F23,0)*$D$11))*(1+$D$7))</f>
        <v>223000</v>
      </c>
      <c r="L23" s="7">
        <f>LamChanHangNgan((PhiMayCatDecalVuong(L$14,$D23,$E23)+ PhiMayInToner4M(ROUNDUP(L$14/$F23,0)*$E$6)+ (ROUNDUP(L$14/$F23,0)*$D$11))*(1+$D$7))</f>
        <v>241000</v>
      </c>
      <c r="M23" s="7">
        <f>LamChanHangNgan((PhiMayCatDecalVuong(M$14,$D23,$E23)+ PhiMayInToner4M(ROUNDUP(M$14/$F23,0)*$E$6)+ (ROUNDUP(M$14/$F23,0)*$D$11))*(1+$D$7))</f>
        <v>260000</v>
      </c>
      <c r="N23" s="7">
        <f>LamChanHangNgan((PhiMayCatDecalVuong(N$14,$D23,$E23)+ PhiMayInToner4M(ROUNDUP(N$14/$F23,0)*$E$6)+ (ROUNDUP(N$14/$F23,0)*$D$11))*(1+$D$7))</f>
        <v>278000</v>
      </c>
      <c r="O23" s="7">
        <f>LamChanHangNgan((PhiMayCatDecalVuong(O$14,$D23,$E23)+ PhiMayInToner4M(ROUNDUP(O$14/$F23,0)*$E$6)+ (ROUNDUP(O$14/$F23,0)*$D$11))*(1+$D$7))</f>
        <v>296000</v>
      </c>
      <c r="P23" s="7">
        <f>LamChanHangNgan((PhiMayCatDecalVuong(P$14,$D23,$E23)+ PhiMayInToner4M(ROUNDUP(P$14/$F23,0)*$E$6)+ (ROUNDUP(P$14/$F23,0)*$D$11))*(1+$D$7))</f>
        <v>314000</v>
      </c>
      <c r="Q23" s="7">
        <f>LamChanHangNgan((PhiMayCatDecalVuong(Q$14,$D23,$E23)+ PhiMayInToner4M(ROUNDUP(Q$14/$F23,0)*$E$6)+ (ROUNDUP(Q$14/$F23,0)*$D$11))*(1+$D$7))</f>
        <v>405000</v>
      </c>
      <c r="R23" s="7">
        <f>LamChanHangNgan((PhiMayCatDecalVuong(R$14,$D23,$E23)+ PhiMayInToner4M(ROUNDUP(R$14/$F23,0)*$E$6)+ (ROUNDUP(R$14/$F23,0)*$D$11))*(1+$D$7))</f>
        <v>496000</v>
      </c>
      <c r="S23" s="7">
        <f>LamChanHangNgan((PhiMayCatDecalVuong(S$14,$D23,$E23)+ PhiMayInToner4M(ROUNDUP(S$14/$F23,0)*$E$6)+ (ROUNDUP(S$14/$F23,0)*$D$11))*(1+$D$7))</f>
        <v>587000</v>
      </c>
      <c r="T23" s="7">
        <f>LamChanHangNgan((PhiMayCatDecalVuong(T$14,$D23,$E23)+ PhiMayInToner4M(ROUNDUP(T$14/$F23,0)*$E$6)+ (ROUNDUP(T$14/$F23,0)*$D$11))*(1+$D$7))</f>
        <v>678000</v>
      </c>
      <c r="U23" s="7">
        <f>LamChanHangNgan((PhiMayCatDecalVuong(U$14,$D23,$E23)+ PhiMayInToner4M(ROUNDUP(U$14/$F23,0)*$E$6)+ (ROUNDUP(U$14/$F23,0)*$D$11))*(1+$D$7))</f>
        <v>769000</v>
      </c>
      <c r="V23" s="7">
        <f>LamChanHangNgan((PhiMayCatDecalVuong(V$14,$D23,$E23)+ PhiMayInToner4M(ROUNDUP(V$14/$F23,0)*$E$6)+ (ROUNDUP(V$14/$F23,0)*$D$11))*(1+$D$7))</f>
        <v>860000</v>
      </c>
      <c r="W23" s="7">
        <f>LamChanHangNgan((PhiMayCatDecalVuong(W$14,$D23,$E23)+ PhiMayInToner4M(ROUNDUP(W$14/$F23,0)*$E$6)+ (ROUNDUP(W$14/$F23,0)*$D$11))*(1+$D$7))</f>
        <v>951000</v>
      </c>
      <c r="X23" s="7">
        <f>LamChanHangNgan((PhiMayCatDecalVuong(X$14,$D23,$E23)+ PhiMayInToner4M(ROUNDUP(X$14/$F23,0)*$E$6)+ (ROUNDUP(X$14/$F23,0)*$D$11))*(1+$D$7))</f>
        <v>1042000</v>
      </c>
      <c r="Y23" s="7">
        <f>LamChanHangNgan((PhiMayCatDecalVuong(Y$14,$D23,$E23)+ PhiMayInToner4M(ROUNDUP(Y$14/$F23,0)*$E$6)+ (ROUNDUP(Y$14/$F23,0)*$D$11))*(1+$D$7))</f>
        <v>1951000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D26" sqref="D26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473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469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4">
        <f t="shared" ref="F15:F23" si="2">SoConTrenToLon($C$5,$D$5,$D15,$E15)</f>
        <v>114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140000</v>
      </c>
      <c r="I15" s="7">
        <f>LamChanHangNgan((PhiMayCatDecalVuong(I$14,$D15,$E15)+ PhiMayInToner4M(ROUNDUP(I$14/$F15,0)*$E$6)+ (ROUNDUP(I$14/$F15,0)*$D$11))*(1+$D$7))</f>
        <v>144000</v>
      </c>
      <c r="J15" s="7">
        <f>LamChanHangNgan((PhiMayCatDecalVuong(J$14,$D15,$E15)+ PhiMayInToner4M(ROUNDUP(J$14/$F15,0)*$E$6)+ (ROUNDUP(J$14/$F15,0)*$D$11))*(1+$D$7))</f>
        <v>148000</v>
      </c>
      <c r="K15" s="7">
        <f>LamChanHangNgan((PhiMayCatDecalVuong(K$14,$D15,$E15)+ PhiMayInToner4M(ROUNDUP(K$14/$F15,0)*$E$6)+ (ROUNDUP(K$14/$F15,0)*$D$11))*(1+$D$7))</f>
        <v>151000</v>
      </c>
      <c r="L15" s="7">
        <f>LamChanHangNgan((PhiMayCatDecalVuong(L$14,$D15,$E15)+ PhiMayInToner4M(ROUNDUP(L$14/$F15,0)*$E$6)+ (ROUNDUP(L$14/$F15,0)*$D$11))*(1+$D$7))</f>
        <v>155000</v>
      </c>
      <c r="M15" s="7">
        <f>LamChanHangNgan((PhiMayCatDecalVuong(M$14,$D15,$E15)+ PhiMayInToner4M(ROUNDUP(M$14/$F15,0)*$E$6)+ (ROUNDUP(M$14/$F15,0)*$D$11))*(1+$D$7))</f>
        <v>159000</v>
      </c>
      <c r="N15" s="7">
        <f>LamChanHangNgan((PhiMayCatDecalVuong(N$14,$D15,$E15)+ PhiMayInToner4M(ROUNDUP(N$14/$F15,0)*$E$6)+ (ROUNDUP(N$14/$F15,0)*$D$11))*(1+$D$7))</f>
        <v>163000</v>
      </c>
      <c r="O15" s="7">
        <f>LamChanHangNgan((PhiMayCatDecalVuong(O$14,$D15,$E15)+ PhiMayInToner4M(ROUNDUP(O$14/$F15,0)*$E$6)+ (ROUNDUP(O$14/$F15,0)*$D$11))*(1+$D$7))</f>
        <v>163000</v>
      </c>
      <c r="P15" s="7">
        <f>LamChanHangNgan((PhiMayCatDecalVuong(P$14,$D15,$E15)+ PhiMayInToner4M(ROUNDUP(P$14/$F15,0)*$E$6)+ (ROUNDUP(P$14/$F15,0)*$D$11))*(1+$D$7))</f>
        <v>167000</v>
      </c>
      <c r="Q15" s="7">
        <f>LamChanHangNgan((PhiMayCatDecalVuong(Q$14,$D15,$E15)+ PhiMayInToner4M(ROUNDUP(Q$14/$F15,0)*$E$6)+ (ROUNDUP(Q$14/$F15,0)*$D$11))*(1+$D$7))</f>
        <v>186000</v>
      </c>
      <c r="R15" s="7">
        <f>LamChanHangNgan((PhiMayCatDecalVuong(R$14,$D15,$E15)+ PhiMayInToner4M(ROUNDUP(R$14/$F15,0)*$E$6)+ (ROUNDUP(R$14/$F15,0)*$D$11))*(1+$D$7))</f>
        <v>202000</v>
      </c>
      <c r="S15" s="7">
        <f>LamChanHangNgan((PhiMayCatDecalVuong(S$14,$D15,$E15)+ PhiMayInToner4M(ROUNDUP(S$14/$F15,0)*$E$6)+ (ROUNDUP(S$14/$F15,0)*$D$11))*(1+$D$7))</f>
        <v>218000</v>
      </c>
      <c r="T15" s="7">
        <f>LamChanHangNgan((PhiMayCatDecalVuong(T$14,$D15,$E15)+ PhiMayInToner4M(ROUNDUP(T$14/$F15,0)*$E$6)+ (ROUNDUP(T$14/$F15,0)*$D$11))*(1+$D$7))</f>
        <v>237000</v>
      </c>
      <c r="U15" s="7">
        <f>LamChanHangNgan((PhiMayCatDecalVuong(U$14,$D15,$E15)+ PhiMayInToner4M(ROUNDUP(U$14/$F15,0)*$E$6)+ (ROUNDUP(U$14/$F15,0)*$D$11))*(1+$D$7))</f>
        <v>252000</v>
      </c>
      <c r="V15" s="7">
        <f>LamChanHangNgan((PhiMayCatDecalVuong(V$14,$D15,$E15)+ PhiMayInToner4M(ROUNDUP(V$14/$F15,0)*$E$6)+ (ROUNDUP(V$14/$F15,0)*$D$11))*(1+$D$7))</f>
        <v>272000</v>
      </c>
      <c r="W15" s="7">
        <f>LamChanHangNgan((PhiMayCatDecalVuong(W$14,$D15,$E15)+ PhiMayInToner4M(ROUNDUP(W$14/$F15,0)*$E$6)+ (ROUNDUP(W$14/$F15,0)*$D$11))*(1+$D$7))</f>
        <v>287000</v>
      </c>
      <c r="X15" s="7">
        <f>LamChanHangNgan((PhiMayCatDecalVuong(X$14,$D15,$E15)+ PhiMayInToner4M(ROUNDUP(X$14/$F15,0)*$E$6)+ (ROUNDUP(X$14/$F15,0)*$D$11))*(1+$D$7))</f>
        <v>303000</v>
      </c>
      <c r="Y15" s="7">
        <f>LamChanHangNgan((PhiMayCatDecalVuong(Y$14,$D15,$E15)+ PhiMayInToner4M(ROUNDUP(Y$14/$F15,0)*$E$6)+ (ROUNDUP(Y$14/$F15,0)*$D$11))*(1+$D$7))</f>
        <v>474000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4">
        <f t="shared" si="2"/>
        <v>75</v>
      </c>
      <c r="G16" s="7">
        <f>LamChanHangNgan((PhiMayCatDecalVuong(G$14,$D16,$E16)+ PhiMayInToner4M(ROUNDUP(G$14/$F16,0)*$E$6)+ (ROUNDUP(G$14/$F16,0)*$D$11))*(1+$D$7))</f>
        <v>140000</v>
      </c>
      <c r="H16" s="7">
        <f>LamChanHangNgan((PhiMayCatDecalVuong(H$14,$D16,$E16)+ PhiMayInToner4M(ROUNDUP(H$14/$F16,0)*$E$6)+ (ROUNDUP(H$14/$F16,0)*$D$11))*(1+$D$7))</f>
        <v>144000</v>
      </c>
      <c r="I16" s="7">
        <f>LamChanHangNgan((PhiMayCatDecalVuong(I$14,$D16,$E16)+ PhiMayInToner4M(ROUNDUP(I$14/$F16,0)*$E$6)+ (ROUNDUP(I$14/$F16,0)*$D$11))*(1+$D$7))</f>
        <v>147000</v>
      </c>
      <c r="J16" s="7">
        <f>LamChanHangNgan((PhiMayCatDecalVuong(J$14,$D16,$E16)+ PhiMayInToner4M(ROUNDUP(J$14/$F16,0)*$E$6)+ (ROUNDUP(J$14/$F16,0)*$D$11))*(1+$D$7))</f>
        <v>155000</v>
      </c>
      <c r="K16" s="7">
        <f>LamChanHangNgan((PhiMayCatDecalVuong(K$14,$D16,$E16)+ PhiMayInToner4M(ROUNDUP(K$14/$F16,0)*$E$6)+ (ROUNDUP(K$14/$F16,0)*$D$11))*(1+$D$7))</f>
        <v>159000</v>
      </c>
      <c r="L16" s="7">
        <f>LamChanHangNgan((PhiMayCatDecalVuong(L$14,$D16,$E16)+ PhiMayInToner4M(ROUNDUP(L$14/$F16,0)*$E$6)+ (ROUNDUP(L$14/$F16,0)*$D$11))*(1+$D$7))</f>
        <v>163000</v>
      </c>
      <c r="M16" s="7">
        <f>LamChanHangNgan((PhiMayCatDecalVuong(M$14,$D16,$E16)+ PhiMayInToner4M(ROUNDUP(M$14/$F16,0)*$E$6)+ (ROUNDUP(M$14/$F16,0)*$D$11))*(1+$D$7))</f>
        <v>170000</v>
      </c>
      <c r="N16" s="7">
        <f>LamChanHangNgan((PhiMayCatDecalVuong(N$14,$D16,$E16)+ PhiMayInToner4M(ROUNDUP(N$14/$F16,0)*$E$6)+ (ROUNDUP(N$14/$F16,0)*$D$11))*(1+$D$7))</f>
        <v>174000</v>
      </c>
      <c r="O16" s="7">
        <f>LamChanHangNgan((PhiMayCatDecalVuong(O$14,$D16,$E16)+ PhiMayInToner4M(ROUNDUP(O$14/$F16,0)*$E$6)+ (ROUNDUP(O$14/$F16,0)*$D$11))*(1+$D$7))</f>
        <v>178000</v>
      </c>
      <c r="P16" s="7">
        <f>LamChanHangNgan((PhiMayCatDecalVuong(P$14,$D16,$E16)+ PhiMayInToner4M(ROUNDUP(P$14/$F16,0)*$E$6)+ (ROUNDUP(P$14/$F16,0)*$D$11))*(1+$D$7))</f>
        <v>185000</v>
      </c>
      <c r="Q16" s="7">
        <f>LamChanHangNgan((PhiMayCatDecalVuong(Q$14,$D16,$E16)+ PhiMayInToner4M(ROUNDUP(Q$14/$F16,0)*$E$6)+ (ROUNDUP(Q$14/$F16,0)*$D$11))*(1+$D$7))</f>
        <v>208000</v>
      </c>
      <c r="R16" s="7">
        <f>LamChanHangNgan((PhiMayCatDecalVuong(R$14,$D16,$E16)+ PhiMayInToner4M(ROUNDUP(R$14/$F16,0)*$E$6)+ (ROUNDUP(R$14/$F16,0)*$D$11))*(1+$D$7))</f>
        <v>235000</v>
      </c>
      <c r="S16" s="7">
        <f>LamChanHangNgan((PhiMayCatDecalVuong(S$14,$D16,$E16)+ PhiMayInToner4M(ROUNDUP(S$14/$F16,0)*$E$6)+ (ROUNDUP(S$14/$F16,0)*$D$11))*(1+$D$7))</f>
        <v>261000</v>
      </c>
      <c r="T16" s="7">
        <f>LamChanHangNgan((PhiMayCatDecalVuong(T$14,$D16,$E16)+ PhiMayInToner4M(ROUNDUP(T$14/$F16,0)*$E$6)+ (ROUNDUP(T$14/$F16,0)*$D$11))*(1+$D$7))</f>
        <v>284000</v>
      </c>
      <c r="U16" s="7">
        <f>LamChanHangNgan((PhiMayCatDecalVuong(U$14,$D16,$E16)+ PhiMayInToner4M(ROUNDUP(U$14/$F16,0)*$E$6)+ (ROUNDUP(U$14/$F16,0)*$D$11))*(1+$D$7))</f>
        <v>311000</v>
      </c>
      <c r="V16" s="7">
        <f>LamChanHangNgan((PhiMayCatDecalVuong(V$14,$D16,$E16)+ PhiMayInToner4M(ROUNDUP(V$14/$F16,0)*$E$6)+ (ROUNDUP(V$14/$F16,0)*$D$11))*(1+$D$7))</f>
        <v>337000</v>
      </c>
      <c r="W16" s="7">
        <f>LamChanHangNgan((PhiMayCatDecalVuong(W$14,$D16,$E16)+ PhiMayInToner4M(ROUNDUP(W$14/$F16,0)*$E$6)+ (ROUNDUP(W$14/$F16,0)*$D$11))*(1+$D$7))</f>
        <v>360000</v>
      </c>
      <c r="X16" s="7">
        <f>LamChanHangNgan((PhiMayCatDecalVuong(X$14,$D16,$E16)+ PhiMayInToner4M(ROUNDUP(X$14/$F16,0)*$E$6)+ (ROUNDUP(X$14/$F16,0)*$D$11))*(1+$D$7))</f>
        <v>387000</v>
      </c>
      <c r="Y16" s="7">
        <f>LamChanHangNgan((PhiMayCatDecalVuong(Y$14,$D16,$E16)+ PhiMayInToner4M(ROUNDUP(Y$14/$F16,0)*$E$6)+ (ROUNDUP(Y$14/$F16,0)*$D$11))*(1+$D$7))</f>
        <v>641000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4">
        <f t="shared" si="2"/>
        <v>117</v>
      </c>
      <c r="G17" s="7">
        <f>LamChanHangNgan((PhiMayCatDecalVuong(G$14,$D17,$E17)+ PhiMayInToner4M(ROUNDUP(G$14/$F17,0)*$E$6)+ (ROUNDUP(G$14/$F17,0)*$D$11))*(1+$D$7))</f>
        <v>136000</v>
      </c>
      <c r="H17" s="7">
        <f>LamChanHangNgan((PhiMayCatDecalVuong(H$14,$D17,$E17)+ PhiMayInToner4M(ROUNDUP(H$14/$F17,0)*$E$6)+ (ROUNDUP(H$14/$F17,0)*$D$11))*(1+$D$7))</f>
        <v>140000</v>
      </c>
      <c r="I17" s="7">
        <f>LamChanHangNgan((PhiMayCatDecalVuong(I$14,$D17,$E17)+ PhiMayInToner4M(ROUNDUP(I$14/$F17,0)*$E$6)+ (ROUNDUP(I$14/$F17,0)*$D$11))*(1+$D$7))</f>
        <v>144000</v>
      </c>
      <c r="J17" s="7">
        <f>LamChanHangNgan((PhiMayCatDecalVuong(J$14,$D17,$E17)+ PhiMayInToner4M(ROUNDUP(J$14/$F17,0)*$E$6)+ (ROUNDUP(J$14/$F17,0)*$D$11))*(1+$D$7))</f>
        <v>147000</v>
      </c>
      <c r="K17" s="7">
        <f>LamChanHangNgan((PhiMayCatDecalVuong(K$14,$D17,$E17)+ PhiMayInToner4M(ROUNDUP(K$14/$F17,0)*$E$6)+ (ROUNDUP(K$14/$F17,0)*$D$11))*(1+$D$7))</f>
        <v>151000</v>
      </c>
      <c r="L17" s="7">
        <f>LamChanHangNgan((PhiMayCatDecalVuong(L$14,$D17,$E17)+ PhiMayInToner4M(ROUNDUP(L$14/$F17,0)*$E$6)+ (ROUNDUP(L$14/$F17,0)*$D$11))*(1+$D$7))</f>
        <v>155000</v>
      </c>
      <c r="M17" s="7">
        <f>LamChanHangNgan((PhiMayCatDecalVuong(M$14,$D17,$E17)+ PhiMayInToner4M(ROUNDUP(M$14/$F17,0)*$E$6)+ (ROUNDUP(M$14/$F17,0)*$D$11))*(1+$D$7))</f>
        <v>155000</v>
      </c>
      <c r="N17" s="7">
        <f>LamChanHangNgan((PhiMayCatDecalVuong(N$14,$D17,$E17)+ PhiMayInToner4M(ROUNDUP(N$14/$F17,0)*$E$6)+ (ROUNDUP(N$14/$F17,0)*$D$11))*(1+$D$7))</f>
        <v>159000</v>
      </c>
      <c r="O17" s="7">
        <f>LamChanHangNgan((PhiMayCatDecalVuong(O$14,$D17,$E17)+ PhiMayInToner4M(ROUNDUP(O$14/$F17,0)*$E$6)+ (ROUNDUP(O$14/$F17,0)*$D$11))*(1+$D$7))</f>
        <v>163000</v>
      </c>
      <c r="P17" s="7">
        <f>LamChanHangNgan((PhiMayCatDecalVuong(P$14,$D17,$E17)+ PhiMayInToner4M(ROUNDUP(P$14/$F17,0)*$E$6)+ (ROUNDUP(P$14/$F17,0)*$D$11))*(1+$D$7))</f>
        <v>167000</v>
      </c>
      <c r="Q17" s="7">
        <f>LamChanHangNgan((PhiMayCatDecalVuong(Q$14,$D17,$E17)+ PhiMayInToner4M(ROUNDUP(Q$14/$F17,0)*$E$6)+ (ROUNDUP(Q$14/$F17,0)*$D$11))*(1+$D$7))</f>
        <v>182000</v>
      </c>
      <c r="R17" s="7">
        <f>LamChanHangNgan((PhiMayCatDecalVuong(R$14,$D17,$E17)+ PhiMayInToner4M(ROUNDUP(R$14/$F17,0)*$E$6)+ (ROUNDUP(R$14/$F17,0)*$D$11))*(1+$D$7))</f>
        <v>201000</v>
      </c>
      <c r="S17" s="7">
        <f>LamChanHangNgan((PhiMayCatDecalVuong(S$14,$D17,$E17)+ PhiMayInToner4M(ROUNDUP(S$14/$F17,0)*$E$6)+ (ROUNDUP(S$14/$F17,0)*$D$11))*(1+$D$7))</f>
        <v>217000</v>
      </c>
      <c r="T17" s="7">
        <f>LamChanHangNgan((PhiMayCatDecalVuong(T$14,$D17,$E17)+ PhiMayInToner4M(ROUNDUP(T$14/$F17,0)*$E$6)+ (ROUNDUP(T$14/$F17,0)*$D$11))*(1+$D$7))</f>
        <v>233000</v>
      </c>
      <c r="U17" s="7">
        <f>LamChanHangNgan((PhiMayCatDecalVuong(U$14,$D17,$E17)+ PhiMayInToner4M(ROUNDUP(U$14/$F17,0)*$E$6)+ (ROUNDUP(U$14/$F17,0)*$D$11))*(1+$D$7))</f>
        <v>248000</v>
      </c>
      <c r="V17" s="7">
        <f>LamChanHangNgan((PhiMayCatDecalVuong(V$14,$D17,$E17)+ PhiMayInToner4M(ROUNDUP(V$14/$F17,0)*$E$6)+ (ROUNDUP(V$14/$F17,0)*$D$11))*(1+$D$7))</f>
        <v>267000</v>
      </c>
      <c r="W17" s="7">
        <f>LamChanHangNgan((PhiMayCatDecalVuong(W$14,$D17,$E17)+ PhiMayInToner4M(ROUNDUP(W$14/$F17,0)*$E$6)+ (ROUNDUP(W$14/$F17,0)*$D$11))*(1+$D$7))</f>
        <v>283000</v>
      </c>
      <c r="X17" s="7">
        <f>LamChanHangNgan((PhiMayCatDecalVuong(X$14,$D17,$E17)+ PhiMayInToner4M(ROUNDUP(X$14/$F17,0)*$E$6)+ (ROUNDUP(X$14/$F17,0)*$D$11))*(1+$D$7))</f>
        <v>298000</v>
      </c>
      <c r="Y17" s="7">
        <f>LamChanHangNgan((PhiMayCatDecalVuong(Y$14,$D17,$E17)+ PhiMayInToner4M(ROUNDUP(Y$14/$F17,0)*$E$6)+ (ROUNDUP(Y$14/$F17,0)*$D$11))*(1+$D$7))</f>
        <v>464000</v>
      </c>
    </row>
    <row r="18" spans="1:25" x14ac:dyDescent="0.25">
      <c r="A18" s="1" t="s">
        <v>450</v>
      </c>
      <c r="B18">
        <v>4</v>
      </c>
      <c r="C18" t="str">
        <f t="shared" si="3"/>
        <v>3 x 4 cm</v>
      </c>
      <c r="D18">
        <v>3</v>
      </c>
      <c r="E18">
        <v>4</v>
      </c>
      <c r="F18" s="44">
        <f t="shared" si="2"/>
        <v>104</v>
      </c>
      <c r="G18" s="7">
        <f>LamChanHangNgan((PhiMayCatDecalVuong(G$14,$D18,$E18)+ PhiMayInToner4M(ROUNDUP(G$14/$F18,0)*$E$6)+ (ROUNDUP(G$14/$F18,0)*$D$11))*(1+$D$7))</f>
        <v>136000</v>
      </c>
      <c r="H18" s="7">
        <f>LamChanHangNgan((PhiMayCatDecalVuong(H$14,$D18,$E18)+ PhiMayInToner4M(ROUNDUP(H$14/$F18,0)*$E$6)+ (ROUNDUP(H$14/$F18,0)*$D$11))*(1+$D$7))</f>
        <v>140000</v>
      </c>
      <c r="I18" s="7">
        <f>LamChanHangNgan((PhiMayCatDecalVuong(I$14,$D18,$E18)+ PhiMayInToner4M(ROUNDUP(I$14/$F18,0)*$E$6)+ (ROUNDUP(I$14/$F18,0)*$D$11))*(1+$D$7))</f>
        <v>144000</v>
      </c>
      <c r="J18" s="7">
        <f>LamChanHangNgan((PhiMayCatDecalVuong(J$14,$D18,$E18)+ PhiMayInToner4M(ROUNDUP(J$14/$F18,0)*$E$6)+ (ROUNDUP(J$14/$F18,0)*$D$11))*(1+$D$7))</f>
        <v>148000</v>
      </c>
      <c r="K18" s="7">
        <f>LamChanHangNgan((PhiMayCatDecalVuong(K$14,$D18,$E18)+ PhiMayInToner4M(ROUNDUP(K$14/$F18,0)*$E$6)+ (ROUNDUP(K$14/$F18,0)*$D$11))*(1+$D$7))</f>
        <v>151000</v>
      </c>
      <c r="L18" s="7">
        <f>LamChanHangNgan((PhiMayCatDecalVuong(L$14,$D18,$E18)+ PhiMayInToner4M(ROUNDUP(L$14/$F18,0)*$E$6)+ (ROUNDUP(L$14/$F18,0)*$D$11))*(1+$D$7))</f>
        <v>155000</v>
      </c>
      <c r="M18" s="7">
        <f>LamChanHangNgan((PhiMayCatDecalVuong(M$14,$D18,$E18)+ PhiMayInToner4M(ROUNDUP(M$14/$F18,0)*$E$6)+ (ROUNDUP(M$14/$F18,0)*$D$11))*(1+$D$7))</f>
        <v>159000</v>
      </c>
      <c r="N18" s="7">
        <f>LamChanHangNgan((PhiMayCatDecalVuong(N$14,$D18,$E18)+ PhiMayInToner4M(ROUNDUP(N$14/$F18,0)*$E$6)+ (ROUNDUP(N$14/$F18,0)*$D$11))*(1+$D$7))</f>
        <v>163000</v>
      </c>
      <c r="O18" s="7">
        <f>LamChanHangNgan((PhiMayCatDecalVuong(O$14,$D18,$E18)+ PhiMayInToner4M(ROUNDUP(O$14/$F18,0)*$E$6)+ (ROUNDUP(O$14/$F18,0)*$D$11))*(1+$D$7))</f>
        <v>167000</v>
      </c>
      <c r="P18" s="7">
        <f>LamChanHangNgan((PhiMayCatDecalVuong(P$14,$D18,$E18)+ PhiMayInToner4M(ROUNDUP(P$14/$F18,0)*$E$6)+ (ROUNDUP(P$14/$F18,0)*$D$11))*(1+$D$7))</f>
        <v>171000</v>
      </c>
      <c r="Q18" s="7">
        <f>LamChanHangNgan((PhiMayCatDecalVuong(Q$14,$D18,$E18)+ PhiMayInToner4M(ROUNDUP(Q$14/$F18,0)*$E$6)+ (ROUNDUP(Q$14/$F18,0)*$D$11))*(1+$D$7))</f>
        <v>190000</v>
      </c>
      <c r="R18" s="7">
        <f>LamChanHangNgan((PhiMayCatDecalVuong(R$14,$D18,$E18)+ PhiMayInToner4M(ROUNDUP(R$14/$F18,0)*$E$6)+ (ROUNDUP(R$14/$F18,0)*$D$11))*(1+$D$7))</f>
        <v>209000</v>
      </c>
      <c r="S18" s="7">
        <f>LamChanHangNgan((PhiMayCatDecalVuong(S$14,$D18,$E18)+ PhiMayInToner4M(ROUNDUP(S$14/$F18,0)*$E$6)+ (ROUNDUP(S$14/$F18,0)*$D$11))*(1+$D$7))</f>
        <v>228000</v>
      </c>
      <c r="T18" s="7">
        <f>LamChanHangNgan((PhiMayCatDecalVuong(T$14,$D18,$E18)+ PhiMayInToner4M(ROUNDUP(T$14/$F18,0)*$E$6)+ (ROUNDUP(T$14/$F18,0)*$D$11))*(1+$D$7))</f>
        <v>244000</v>
      </c>
      <c r="U18" s="7">
        <f>LamChanHangNgan((PhiMayCatDecalVuong(U$14,$D18,$E18)+ PhiMayInToner4M(ROUNDUP(U$14/$F18,0)*$E$6)+ (ROUNDUP(U$14/$F18,0)*$D$11))*(1+$D$7))</f>
        <v>263000</v>
      </c>
      <c r="V18" s="7">
        <f>LamChanHangNgan((PhiMayCatDecalVuong(V$14,$D18,$E18)+ PhiMayInToner4M(ROUNDUP(V$14/$F18,0)*$E$6)+ (ROUNDUP(V$14/$F18,0)*$D$11))*(1+$D$7))</f>
        <v>282000</v>
      </c>
      <c r="W18" s="7">
        <f>LamChanHangNgan((PhiMayCatDecalVuong(W$14,$D18,$E18)+ PhiMayInToner4M(ROUNDUP(W$14/$F18,0)*$E$6)+ (ROUNDUP(W$14/$F18,0)*$D$11))*(1+$D$7))</f>
        <v>301000</v>
      </c>
      <c r="X18" s="7">
        <f>LamChanHangNgan((PhiMayCatDecalVuong(X$14,$D18,$E18)+ PhiMayInToner4M(ROUNDUP(X$14/$F18,0)*$E$6)+ (ROUNDUP(X$14/$F18,0)*$D$11))*(1+$D$7))</f>
        <v>320000</v>
      </c>
      <c r="Y18" s="7">
        <f>LamChanHangNgan((PhiMayCatDecalVuong(Y$14,$D18,$E18)+ PhiMayInToner4M(ROUNDUP(Y$14/$F18,0)*$E$6)+ (ROUNDUP(Y$14/$F18,0)*$D$11))*(1+$D$7))</f>
        <v>505000</v>
      </c>
    </row>
    <row r="19" spans="1:25" ht="30" x14ac:dyDescent="0.25">
      <c r="A19" s="2" t="s">
        <v>451</v>
      </c>
      <c r="B19">
        <v>5</v>
      </c>
      <c r="C19" t="str">
        <f t="shared" si="3"/>
        <v>3 x 4.5 cm</v>
      </c>
      <c r="D19">
        <v>3</v>
      </c>
      <c r="E19">
        <v>4.5</v>
      </c>
      <c r="F19" s="44">
        <f t="shared" si="2"/>
        <v>91</v>
      </c>
      <c r="G19" s="7">
        <f>LamChanHangNgan((PhiMayCatDecalVuong(G$14,$D19,$E19)+ PhiMayInToner4M(ROUNDUP(G$14/$F19,0)*$E$6)+ (ROUNDUP(G$14/$F19,0)*$D$11))*(1+$D$7))</f>
        <v>140000</v>
      </c>
      <c r="H19" s="7">
        <f>LamChanHangNgan((PhiMayCatDecalVuong(H$14,$D19,$E19)+ PhiMayInToner4M(ROUNDUP(H$14/$F19,0)*$E$6)+ (ROUNDUP(H$14/$F19,0)*$D$11))*(1+$D$7))</f>
        <v>143000</v>
      </c>
      <c r="I19" s="7">
        <f>LamChanHangNgan((PhiMayCatDecalVuong(I$14,$D19,$E19)+ PhiMayInToner4M(ROUNDUP(I$14/$F19,0)*$E$6)+ (ROUNDUP(I$14/$F19,0)*$D$11))*(1+$D$7))</f>
        <v>147000</v>
      </c>
      <c r="J19" s="7">
        <f>LamChanHangNgan((PhiMayCatDecalVuong(J$14,$D19,$E19)+ PhiMayInToner4M(ROUNDUP(J$14/$F19,0)*$E$6)+ (ROUNDUP(J$14/$F19,0)*$D$11))*(1+$D$7))</f>
        <v>151000</v>
      </c>
      <c r="K19" s="7">
        <f>LamChanHangNgan((PhiMayCatDecalVuong(K$14,$D19,$E19)+ PhiMayInToner4M(ROUNDUP(K$14/$F19,0)*$E$6)+ (ROUNDUP(K$14/$F19,0)*$D$11))*(1+$D$7))</f>
        <v>155000</v>
      </c>
      <c r="L19" s="7">
        <f>LamChanHangNgan((PhiMayCatDecalVuong(L$14,$D19,$E19)+ PhiMayInToner4M(ROUNDUP(L$14/$F19,0)*$E$6)+ (ROUNDUP(L$14/$F19,0)*$D$11))*(1+$D$7))</f>
        <v>159000</v>
      </c>
      <c r="M19" s="7">
        <f>LamChanHangNgan((PhiMayCatDecalVuong(M$14,$D19,$E19)+ PhiMayInToner4M(ROUNDUP(M$14/$F19,0)*$E$6)+ (ROUNDUP(M$14/$F19,0)*$D$11))*(1+$D$7))</f>
        <v>163000</v>
      </c>
      <c r="N19" s="7">
        <f>LamChanHangNgan((PhiMayCatDecalVuong(N$14,$D19,$E19)+ PhiMayInToner4M(ROUNDUP(N$14/$F19,0)*$E$6)+ (ROUNDUP(N$14/$F19,0)*$D$11))*(1+$D$7))</f>
        <v>167000</v>
      </c>
      <c r="O19" s="7">
        <f>LamChanHangNgan((PhiMayCatDecalVuong(O$14,$D19,$E19)+ PhiMayInToner4M(ROUNDUP(O$14/$F19,0)*$E$6)+ (ROUNDUP(O$14/$F19,0)*$D$11))*(1+$D$7))</f>
        <v>170000</v>
      </c>
      <c r="P19" s="7">
        <f>LamChanHangNgan((PhiMayCatDecalVuong(P$14,$D19,$E19)+ PhiMayInToner4M(ROUNDUP(P$14/$F19,0)*$E$6)+ (ROUNDUP(P$14/$F19,0)*$D$11))*(1+$D$7))</f>
        <v>174000</v>
      </c>
      <c r="Q19" s="7">
        <f>LamChanHangNgan((PhiMayCatDecalVuong(Q$14,$D19,$E19)+ PhiMayInToner4M(ROUNDUP(Q$14/$F19,0)*$E$6)+ (ROUNDUP(Q$14/$F19,0)*$D$11))*(1+$D$7))</f>
        <v>197000</v>
      </c>
      <c r="R19" s="7">
        <f>LamChanHangNgan((PhiMayCatDecalVuong(R$14,$D19,$E19)+ PhiMayInToner4M(ROUNDUP(R$14/$F19,0)*$E$6)+ (ROUNDUP(R$14/$F19,0)*$D$11))*(1+$D$7))</f>
        <v>216000</v>
      </c>
      <c r="S19" s="7">
        <f>LamChanHangNgan((PhiMayCatDecalVuong(S$14,$D19,$E19)+ PhiMayInToner4M(ROUNDUP(S$14/$F19,0)*$E$6)+ (ROUNDUP(S$14/$F19,0)*$D$11))*(1+$D$7))</f>
        <v>239000</v>
      </c>
      <c r="T19" s="7">
        <f>LamChanHangNgan((PhiMayCatDecalVuong(T$14,$D19,$E19)+ PhiMayInToner4M(ROUNDUP(T$14/$F19,0)*$E$6)+ (ROUNDUP(T$14/$F19,0)*$D$11))*(1+$D$7))</f>
        <v>259000</v>
      </c>
      <c r="U19" s="7">
        <f>LamChanHangNgan((PhiMayCatDecalVuong(U$14,$D19,$E19)+ PhiMayInToner4M(ROUNDUP(U$14/$F19,0)*$E$6)+ (ROUNDUP(U$14/$F19,0)*$D$11))*(1+$D$7))</f>
        <v>281000</v>
      </c>
      <c r="V19" s="7">
        <f>LamChanHangNgan((PhiMayCatDecalVuong(V$14,$D19,$E19)+ PhiMayInToner4M(ROUNDUP(V$14/$F19,0)*$E$6)+ (ROUNDUP(V$14/$F19,0)*$D$11))*(1+$D$7))</f>
        <v>301000</v>
      </c>
      <c r="W19" s="7">
        <f>LamChanHangNgan((PhiMayCatDecalVuong(W$14,$D19,$E19)+ PhiMayInToner4M(ROUNDUP(W$14/$F19,0)*$E$6)+ (ROUNDUP(W$14/$F19,0)*$D$11))*(1+$D$7))</f>
        <v>323000</v>
      </c>
      <c r="X19" s="7">
        <f>LamChanHangNgan((PhiMayCatDecalVuong(X$14,$D19,$E19)+ PhiMayInToner4M(ROUNDUP(X$14/$F19,0)*$E$6)+ (ROUNDUP(X$14/$F19,0)*$D$11))*(1+$D$7))</f>
        <v>343000</v>
      </c>
      <c r="Y19" s="7">
        <f>LamChanHangNgan((PhiMayCatDecalVuong(Y$14,$D19,$E19)+ PhiMayInToner4M(ROUNDUP(Y$14/$F19,0)*$E$6)+ (ROUNDUP(Y$14/$F19,0)*$D$11))*(1+$D$7))</f>
        <v>553000</v>
      </c>
    </row>
    <row r="20" spans="1:25" x14ac:dyDescent="0.25">
      <c r="A20" s="2" t="s">
        <v>452</v>
      </c>
      <c r="B20">
        <v>6</v>
      </c>
      <c r="C20" t="str">
        <f t="shared" si="3"/>
        <v>3 x 5 cm</v>
      </c>
      <c r="D20">
        <v>3</v>
      </c>
      <c r="E20">
        <v>5</v>
      </c>
      <c r="F20" s="44">
        <f t="shared" si="2"/>
        <v>78</v>
      </c>
      <c r="G20" s="7">
        <f>LamChanHangNgan((PhiMayCatDecalVuong(G$14,$D20,$E20)+ PhiMayInToner4M(ROUNDUP(G$14/$F20,0)*$E$6)+ (ROUNDUP(G$14/$F20,0)*$D$11))*(1+$D$7))</f>
        <v>140000</v>
      </c>
      <c r="H20" s="7">
        <f>LamChanHangNgan((PhiMayCatDecalVuong(H$14,$D20,$E20)+ PhiMayInToner4M(ROUNDUP(H$14/$F20,0)*$E$6)+ (ROUNDUP(H$14/$F20,0)*$D$11))*(1+$D$7))</f>
        <v>143000</v>
      </c>
      <c r="I20" s="7">
        <f>LamChanHangNgan((PhiMayCatDecalVuong(I$14,$D20,$E20)+ PhiMayInToner4M(ROUNDUP(I$14/$F20,0)*$E$6)+ (ROUNDUP(I$14/$F20,0)*$D$11))*(1+$D$7))</f>
        <v>147000</v>
      </c>
      <c r="J20" s="7">
        <f>LamChanHangNgan((PhiMayCatDecalVuong(J$14,$D20,$E20)+ PhiMayInToner4M(ROUNDUP(J$14/$F20,0)*$E$6)+ (ROUNDUP(J$14/$F20,0)*$D$11))*(1+$D$7))</f>
        <v>155000</v>
      </c>
      <c r="K20" s="7">
        <f>LamChanHangNgan((PhiMayCatDecalVuong(K$14,$D20,$E20)+ PhiMayInToner4M(ROUNDUP(K$14/$F20,0)*$E$6)+ (ROUNDUP(K$14/$F20,0)*$D$11))*(1+$D$7))</f>
        <v>159000</v>
      </c>
      <c r="L20" s="7">
        <f>LamChanHangNgan((PhiMayCatDecalVuong(L$14,$D20,$E20)+ PhiMayInToner4M(ROUNDUP(L$14/$F20,0)*$E$6)+ (ROUNDUP(L$14/$F20,0)*$D$11))*(1+$D$7))</f>
        <v>163000</v>
      </c>
      <c r="M20" s="7">
        <f>LamChanHangNgan((PhiMayCatDecalVuong(M$14,$D20,$E20)+ PhiMayInToner4M(ROUNDUP(M$14/$F20,0)*$E$6)+ (ROUNDUP(M$14/$F20,0)*$D$11))*(1+$D$7))</f>
        <v>166000</v>
      </c>
      <c r="N20" s="7">
        <f>LamChanHangNgan((PhiMayCatDecalVuong(N$14,$D20,$E20)+ PhiMayInToner4M(ROUNDUP(N$14/$F20,0)*$E$6)+ (ROUNDUP(N$14/$F20,0)*$D$11))*(1+$D$7))</f>
        <v>174000</v>
      </c>
      <c r="O20" s="7">
        <f>LamChanHangNgan((PhiMayCatDecalVuong(O$14,$D20,$E20)+ PhiMayInToner4M(ROUNDUP(O$14/$F20,0)*$E$6)+ (ROUNDUP(O$14/$F20,0)*$D$11))*(1+$D$7))</f>
        <v>178000</v>
      </c>
      <c r="P20" s="7">
        <f>LamChanHangNgan((PhiMayCatDecalVuong(P$14,$D20,$E20)+ PhiMayInToner4M(ROUNDUP(P$14/$F20,0)*$E$6)+ (ROUNDUP(P$14/$F20,0)*$D$11))*(1+$D$7))</f>
        <v>182000</v>
      </c>
      <c r="Q20" s="7">
        <f>LamChanHangNgan((PhiMayCatDecalVuong(Q$14,$D20,$E20)+ PhiMayInToner4M(ROUNDUP(Q$14/$F20,0)*$E$6)+ (ROUNDUP(Q$14/$F20,0)*$D$11))*(1+$D$7))</f>
        <v>208000</v>
      </c>
      <c r="R20" s="7">
        <f>LamChanHangNgan((PhiMayCatDecalVuong(R$14,$D20,$E20)+ PhiMayInToner4M(ROUNDUP(R$14/$F20,0)*$E$6)+ (ROUNDUP(R$14/$F20,0)*$D$11))*(1+$D$7))</f>
        <v>231000</v>
      </c>
      <c r="S20" s="7">
        <f>LamChanHangNgan((PhiMayCatDecalVuong(S$14,$D20,$E20)+ PhiMayInToner4M(ROUNDUP(S$14/$F20,0)*$E$6)+ (ROUNDUP(S$14/$F20,0)*$D$11))*(1+$D$7))</f>
        <v>257000</v>
      </c>
      <c r="T20" s="7">
        <f>LamChanHangNgan((PhiMayCatDecalVuong(T$14,$D20,$E20)+ PhiMayInToner4M(ROUNDUP(T$14/$F20,0)*$E$6)+ (ROUNDUP(T$14/$F20,0)*$D$11))*(1+$D$7))</f>
        <v>280000</v>
      </c>
      <c r="U20" s="7">
        <f>LamChanHangNgan((PhiMayCatDecalVuong(U$14,$D20,$E20)+ PhiMayInToner4M(ROUNDUP(U$14/$F20,0)*$E$6)+ (ROUNDUP(U$14/$F20,0)*$D$11))*(1+$D$7))</f>
        <v>303000</v>
      </c>
      <c r="V20" s="7">
        <f>LamChanHangNgan((PhiMayCatDecalVuong(V$14,$D20,$E20)+ PhiMayInToner4M(ROUNDUP(V$14/$F20,0)*$E$6)+ (ROUNDUP(V$14/$F20,0)*$D$11))*(1+$D$7))</f>
        <v>330000</v>
      </c>
      <c r="W20" s="7">
        <f>LamChanHangNgan((PhiMayCatDecalVuong(W$14,$D20,$E20)+ PhiMayInToner4M(ROUNDUP(W$14/$F20,0)*$E$6)+ (ROUNDUP(W$14/$F20,0)*$D$11))*(1+$D$7))</f>
        <v>353000</v>
      </c>
      <c r="X20" s="7">
        <f>LamChanHangNgan((PhiMayCatDecalVuong(X$14,$D20,$E20)+ PhiMayInToner4M(ROUNDUP(X$14/$F20,0)*$E$6)+ (ROUNDUP(X$14/$F20,0)*$D$11))*(1+$D$7))</f>
        <v>379000</v>
      </c>
      <c r="Y20" s="7">
        <f>LamChanHangNgan((PhiMayCatDecalVuong(Y$14,$D20,$E20)+ PhiMayInToner4M(ROUNDUP(Y$14/$F20,0)*$E$6)+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3"/>
        <v>3 x 5.5 cm</v>
      </c>
      <c r="D21">
        <v>3</v>
      </c>
      <c r="E21">
        <v>5.5</v>
      </c>
      <c r="F21" s="44">
        <f t="shared" si="2"/>
        <v>70</v>
      </c>
      <c r="G21" s="7">
        <f>LamChanHangNgan((PhiMayCatDecalVuong(G$14,$D21,$E21)+ PhiMayInToner4M(ROUNDUP(G$14/$F21,0)*$E$6)+ (ROUNDUP(G$14/$F21,0)*$D$11))*(1+$D$7))</f>
        <v>140000</v>
      </c>
      <c r="H21" s="7">
        <f>LamChanHangNgan((PhiMayCatDecalVuong(H$14,$D21,$E21)+ PhiMayInToner4M(ROUNDUP(H$14/$F21,0)*$E$6)+ (ROUNDUP(H$14/$F21,0)*$D$11))*(1+$D$7))</f>
        <v>144000</v>
      </c>
      <c r="I21" s="7">
        <f>LamChanHangNgan((PhiMayCatDecalVuong(I$14,$D21,$E21)+ PhiMayInToner4M(ROUNDUP(I$14/$F21,0)*$E$6)+ (ROUNDUP(I$14/$F21,0)*$D$11))*(1+$D$7))</f>
        <v>151000</v>
      </c>
      <c r="J21" s="7">
        <f>LamChanHangNgan((PhiMayCatDecalVuong(J$14,$D21,$E21)+ PhiMayInToner4M(ROUNDUP(J$14/$F21,0)*$E$6)+ (ROUNDUP(J$14/$F21,0)*$D$11))*(1+$D$7))</f>
        <v>155000</v>
      </c>
      <c r="K21" s="7">
        <f>LamChanHangNgan((PhiMayCatDecalVuong(K$14,$D21,$E21)+ PhiMayInToner4M(ROUNDUP(K$14/$F21,0)*$E$6)+ (ROUNDUP(K$14/$F21,0)*$D$11))*(1+$D$7))</f>
        <v>162000</v>
      </c>
      <c r="L21" s="7">
        <f>LamChanHangNgan((PhiMayCatDecalVuong(L$14,$D21,$E21)+ PhiMayInToner4M(ROUNDUP(L$14/$F21,0)*$E$6)+ (ROUNDUP(L$14/$F21,0)*$D$11))*(1+$D$7))</f>
        <v>166000</v>
      </c>
      <c r="M21" s="7">
        <f>LamChanHangNgan((PhiMayCatDecalVuong(M$14,$D21,$E21)+ PhiMayInToner4M(ROUNDUP(M$14/$F21,0)*$E$6)+ (ROUNDUP(M$14/$F21,0)*$D$11))*(1+$D$7))</f>
        <v>170000</v>
      </c>
      <c r="N21" s="7">
        <f>LamChanHangNgan((PhiMayCatDecalVuong(N$14,$D21,$E21)+ PhiMayInToner4M(ROUNDUP(N$14/$F21,0)*$E$6)+ (ROUNDUP(N$14/$F21,0)*$D$11))*(1+$D$7))</f>
        <v>177000</v>
      </c>
      <c r="O21" s="7">
        <f>LamChanHangNgan((PhiMayCatDecalVuong(O$14,$D21,$E21)+ PhiMayInToner4M(ROUNDUP(O$14/$F21,0)*$E$6)+ (ROUNDUP(O$14/$F21,0)*$D$11))*(1+$D$7))</f>
        <v>181000</v>
      </c>
      <c r="P21" s="7">
        <f>LamChanHangNgan((PhiMayCatDecalVuong(P$14,$D21,$E21)+ PhiMayInToner4M(ROUNDUP(P$14/$F21,0)*$E$6)+ (ROUNDUP(P$14/$F21,0)*$D$11))*(1+$D$7))</f>
        <v>189000</v>
      </c>
      <c r="Q21" s="7">
        <f>LamChanHangNgan((PhiMayCatDecalVuong(Q$14,$D21,$E21)+ PhiMayInToner4M(ROUNDUP(Q$14/$F21,0)*$E$6)+ (ROUNDUP(Q$14/$F21,0)*$D$11))*(1+$D$7))</f>
        <v>215000</v>
      </c>
      <c r="R21" s="7">
        <f>LamChanHangNgan((PhiMayCatDecalVuong(R$14,$D21,$E21)+ PhiMayInToner4M(ROUNDUP(R$14/$F21,0)*$E$6)+ (ROUNDUP(R$14/$F21,0)*$D$11))*(1+$D$7))</f>
        <v>242000</v>
      </c>
      <c r="S21" s="7">
        <f>LamChanHangNgan((PhiMayCatDecalVuong(S$14,$D21,$E21)+ PhiMayInToner4M(ROUNDUP(S$14/$F21,0)*$E$6)+ (ROUNDUP(S$14/$F21,0)*$D$11))*(1+$D$7))</f>
        <v>268000</v>
      </c>
      <c r="T21" s="7">
        <f>LamChanHangNgan((PhiMayCatDecalVuong(T$14,$D21,$E21)+ PhiMayInToner4M(ROUNDUP(T$14/$F21,0)*$E$6)+ (ROUNDUP(T$14/$F21,0)*$D$11))*(1+$D$7))</f>
        <v>295000</v>
      </c>
      <c r="U21" s="7">
        <f>LamChanHangNgan((PhiMayCatDecalVuong(U$14,$D21,$E21)+ PhiMayInToner4M(ROUNDUP(U$14/$F21,0)*$E$6)+ (ROUNDUP(U$14/$F21,0)*$D$11))*(1+$D$7))</f>
        <v>322000</v>
      </c>
      <c r="V21" s="7">
        <f>LamChanHangNgan((PhiMayCatDecalVuong(V$14,$D21,$E21)+ PhiMayInToner4M(ROUNDUP(V$14/$F21,0)*$E$6)+ (ROUNDUP(V$14/$F21,0)*$D$11))*(1+$D$7))</f>
        <v>352000</v>
      </c>
      <c r="W21" s="7">
        <f>LamChanHangNgan((PhiMayCatDecalVuong(W$14,$D21,$E21)+ PhiMayInToner4M(ROUNDUP(W$14/$F21,0)*$E$6)+ (ROUNDUP(W$14/$F21,0)*$D$11))*(1+$D$7))</f>
        <v>378000</v>
      </c>
      <c r="X21" s="7">
        <f>LamChanHangNgan((PhiMayCatDecalVuong(X$14,$D21,$E21)+ PhiMayInToner4M(ROUNDUP(X$14/$F21,0)*$E$6)+ (ROUNDUP(X$14/$F21,0)*$D$11))*(1+$D$7))</f>
        <v>405000</v>
      </c>
      <c r="Y21" s="7">
        <f>LamChanHangNgan((PhiMayCatDecalVuong(Y$14,$D21,$E21)+ PhiMayInToner4M(ROUNDUP(Y$14/$F21,0)*$E$6)+ (ROUNDUP(Y$14/$F21,0)*$D$11))*(1+$D$7))</f>
        <v>674000</v>
      </c>
    </row>
    <row r="22" spans="1:25" x14ac:dyDescent="0.25">
      <c r="A22" s="2" t="s">
        <v>454</v>
      </c>
      <c r="B22">
        <v>8</v>
      </c>
      <c r="C22" t="str">
        <f t="shared" si="3"/>
        <v>3 x 6 cm</v>
      </c>
      <c r="D22">
        <v>3</v>
      </c>
      <c r="E22">
        <v>6</v>
      </c>
      <c r="F22" s="44">
        <f t="shared" si="2"/>
        <v>65</v>
      </c>
      <c r="G22" s="7">
        <f>LamChanHangNgan((PhiMayCatDecalVuong(G$14,$D22,$E22)+ PhiMayInToner4M(ROUNDUP(G$14/$F22,0)*$E$6)+ (ROUNDUP(G$14/$F22,0)*$D$11))*(1+$D$7))</f>
        <v>140000</v>
      </c>
      <c r="H22" s="7">
        <f>LamChanHangNgan((PhiMayCatDecalVuong(H$14,$D22,$E22)+ PhiMayInToner4M(ROUNDUP(H$14/$F22,0)*$E$6)+ (ROUNDUP(H$14/$F22,0)*$D$11))*(1+$D$7))</f>
        <v>147000</v>
      </c>
      <c r="I22" s="7">
        <f>LamChanHangNgan((PhiMayCatDecalVuong(I$14,$D22,$E22)+ PhiMayInToner4M(ROUNDUP(I$14/$F22,0)*$E$6)+ (ROUNDUP(I$14/$F22,0)*$D$11))*(1+$D$7))</f>
        <v>151000</v>
      </c>
      <c r="J22" s="7">
        <f>LamChanHangNgan((PhiMayCatDecalVuong(J$14,$D22,$E22)+ PhiMayInToner4M(ROUNDUP(J$14/$F22,0)*$E$6)+ (ROUNDUP(J$14/$F22,0)*$D$11))*(1+$D$7))</f>
        <v>158000</v>
      </c>
      <c r="K22" s="7">
        <f>LamChanHangNgan((PhiMayCatDecalVuong(K$14,$D22,$E22)+ PhiMayInToner4M(ROUNDUP(K$14/$F22,0)*$E$6)+ (ROUNDUP(K$14/$F22,0)*$D$11))*(1+$D$7))</f>
        <v>162000</v>
      </c>
      <c r="L22" s="7">
        <f>LamChanHangNgan((PhiMayCatDecalVuong(L$14,$D22,$E22)+ PhiMayInToner4M(ROUNDUP(L$14/$F22,0)*$E$6)+ (ROUNDUP(L$14/$F22,0)*$D$11))*(1+$D$7))</f>
        <v>170000</v>
      </c>
      <c r="M22" s="7">
        <f>LamChanHangNgan((PhiMayCatDecalVuong(M$14,$D22,$E22)+ PhiMayInToner4M(ROUNDUP(M$14/$F22,0)*$E$6)+ (ROUNDUP(M$14/$F22,0)*$D$11))*(1+$D$7))</f>
        <v>174000</v>
      </c>
      <c r="N22" s="7">
        <f>LamChanHangNgan((PhiMayCatDecalVuong(N$14,$D22,$E22)+ PhiMayInToner4M(ROUNDUP(N$14/$F22,0)*$E$6)+ (ROUNDUP(N$14/$F22,0)*$D$11))*(1+$D$7))</f>
        <v>181000</v>
      </c>
      <c r="O22" s="7">
        <f>LamChanHangNgan((PhiMayCatDecalVuong(O$14,$D22,$E22)+ PhiMayInToner4M(ROUNDUP(O$14/$F22,0)*$E$6)+ (ROUNDUP(O$14/$F22,0)*$D$11))*(1+$D$7))</f>
        <v>185000</v>
      </c>
      <c r="P22" s="7">
        <f>LamChanHangNgan((PhiMayCatDecalVuong(P$14,$D22,$E22)+ PhiMayInToner4M(ROUNDUP(P$14/$F22,0)*$E$6)+ (ROUNDUP(P$14/$F22,0)*$D$11))*(1+$D$7))</f>
        <v>193000</v>
      </c>
      <c r="Q22" s="7">
        <f>LamChanHangNgan((PhiMayCatDecalVuong(Q$14,$D22,$E22)+ PhiMayInToner4M(ROUNDUP(Q$14/$F22,0)*$E$6)+ (ROUNDUP(Q$14/$F22,0)*$D$11))*(1+$D$7))</f>
        <v>223000</v>
      </c>
      <c r="R22" s="7">
        <f>LamChanHangNgan((PhiMayCatDecalVuong(R$14,$D22,$E22)+ PhiMayInToner4M(ROUNDUP(R$14/$F22,0)*$E$6)+ (ROUNDUP(R$14/$F22,0)*$D$11))*(1+$D$7))</f>
        <v>249000</v>
      </c>
      <c r="S22" s="7">
        <f>LamChanHangNgan((PhiMayCatDecalVuong(S$14,$D22,$E22)+ PhiMayInToner4M(ROUNDUP(S$14/$F22,0)*$E$6)+ (ROUNDUP(S$14/$F22,0)*$D$11))*(1+$D$7))</f>
        <v>280000</v>
      </c>
      <c r="T22" s="7">
        <f>LamChanHangNgan((PhiMayCatDecalVuong(T$14,$D22,$E22)+ PhiMayInToner4M(ROUNDUP(T$14/$F22,0)*$E$6)+ (ROUNDUP(T$14/$F22,0)*$D$11))*(1+$D$7))</f>
        <v>310000</v>
      </c>
      <c r="U22" s="7">
        <f>LamChanHangNgan((PhiMayCatDecalVuong(U$14,$D22,$E22)+ PhiMayInToner4M(ROUNDUP(U$14/$F22,0)*$E$6)+ (ROUNDUP(U$14/$F22,0)*$D$11))*(1+$D$7))</f>
        <v>336000</v>
      </c>
      <c r="V22" s="7">
        <f>LamChanHangNgan((PhiMayCatDecalVuong(V$14,$D22,$E22)+ PhiMayInToner4M(ROUNDUP(V$14/$F22,0)*$E$6)+ (ROUNDUP(V$14/$F22,0)*$D$11))*(1+$D$7))</f>
        <v>367000</v>
      </c>
      <c r="W22" s="7">
        <f>LamChanHangNgan((PhiMayCatDecalVuong(W$14,$D22,$E22)+ PhiMayInToner4M(ROUNDUP(W$14/$F22,0)*$E$6)+ (ROUNDUP(W$14/$F22,0)*$D$11))*(1+$D$7))</f>
        <v>397000</v>
      </c>
      <c r="X22" s="7">
        <f>LamChanHangNgan((PhiMayCatDecalVuong(X$14,$D22,$E22)+ PhiMayInToner4M(ROUNDUP(X$14/$F22,0)*$E$6)+ (ROUNDUP(X$14/$F22,0)*$D$11))*(1+$D$7))</f>
        <v>423000</v>
      </c>
      <c r="Y22" s="7">
        <f>LamChanHangNgan((PhiMayCatDecalVuong(Y$14,$D22,$E22)+ PhiMayInToner4M(ROUNDUP(Y$14/$F22,0)*$E$6)+ (ROUNDUP(Y$14/$F22,0)*$D$11))*(1+$D$7))</f>
        <v>715000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4">
        <f t="shared" si="2"/>
        <v>60</v>
      </c>
      <c r="G23" s="7">
        <f>LamChanHangNgan((PhiMayCatDecalVuong(G$14,$D23,$E23)+ PhiMayInToner4M(ROUNDUP(G$14/$F23,0)*$E$6)+ (ROUNDUP(G$14/$F23,0)*$D$11))*(1+$D$7))</f>
        <v>140000</v>
      </c>
      <c r="H23" s="7">
        <f>LamChanHangNgan((PhiMayCatDecalVuong(H$14,$D23,$E23)+ PhiMayInToner4M(ROUNDUP(H$14/$F23,0)*$E$6)+ (ROUNDUP(H$14/$F23,0)*$D$11))*(1+$D$7))</f>
        <v>147000</v>
      </c>
      <c r="I23" s="7">
        <f>LamChanHangNgan((PhiMayCatDecalVuong(I$14,$D23,$E23)+ PhiMayInToner4M(ROUNDUP(I$14/$F23,0)*$E$6)+ (ROUNDUP(I$14/$F23,0)*$D$11))*(1+$D$7))</f>
        <v>151000</v>
      </c>
      <c r="J23" s="7">
        <f>LamChanHangNgan((PhiMayCatDecalVuong(J$14,$D23,$E23)+ PhiMayInToner4M(ROUNDUP(J$14/$F23,0)*$E$6)+ (ROUNDUP(J$14/$F23,0)*$D$11))*(1+$D$7))</f>
        <v>159000</v>
      </c>
      <c r="K23" s="7">
        <f>LamChanHangNgan((PhiMayCatDecalVuong(K$14,$D23,$E23)+ PhiMayInToner4M(ROUNDUP(K$14/$F23,0)*$E$6)+ (ROUNDUP(K$14/$F23,0)*$D$11))*(1+$D$7))</f>
        <v>166000</v>
      </c>
      <c r="L23" s="7">
        <f>LamChanHangNgan((PhiMayCatDecalVuong(L$14,$D23,$E23)+ PhiMayInToner4M(ROUNDUP(L$14/$F23,0)*$E$6)+ (ROUNDUP(L$14/$F23,0)*$D$11))*(1+$D$7))</f>
        <v>170000</v>
      </c>
      <c r="M23" s="7">
        <f>LamChanHangNgan((PhiMayCatDecalVuong(M$14,$D23,$E23)+ PhiMayInToner4M(ROUNDUP(M$14/$F23,0)*$E$6)+ (ROUNDUP(M$14/$F23,0)*$D$11))*(1+$D$7))</f>
        <v>177000</v>
      </c>
      <c r="N23" s="7">
        <f>LamChanHangNgan((PhiMayCatDecalVuong(N$14,$D23,$E23)+ PhiMayInToner4M(ROUNDUP(N$14/$F23,0)*$E$6)+ (ROUNDUP(N$14/$F23,0)*$D$11))*(1+$D$7))</f>
        <v>185000</v>
      </c>
      <c r="O23" s="7">
        <f>LamChanHangNgan((PhiMayCatDecalVuong(O$14,$D23,$E23)+ PhiMayInToner4M(ROUNDUP(O$14/$F23,0)*$E$6)+ (ROUNDUP(O$14/$F23,0)*$D$11))*(1+$D$7))</f>
        <v>189000</v>
      </c>
      <c r="P23" s="7">
        <f>LamChanHangNgan((PhiMayCatDecalVuong(P$14,$D23,$E23)+ PhiMayInToner4M(ROUNDUP(P$14/$F23,0)*$E$6)+ (ROUNDUP(P$14/$F23,0)*$D$11))*(1+$D$7))</f>
        <v>196000</v>
      </c>
      <c r="Q23" s="7">
        <f>LamChanHangNgan((PhiMayCatDecalVuong(Q$14,$D23,$E23)+ PhiMayInToner4M(ROUNDUP(Q$14/$F23,0)*$E$6)+ (ROUNDUP(Q$14/$F23,0)*$D$11))*(1+$D$7))</f>
        <v>227000</v>
      </c>
      <c r="R23" s="7">
        <f>LamChanHangNgan((PhiMayCatDecalVuong(R$14,$D23,$E23)+ PhiMayInToner4M(ROUNDUP(R$14/$F23,0)*$E$6)+ (ROUNDUP(R$14/$F23,0)*$D$11))*(1+$D$7))</f>
        <v>260000</v>
      </c>
      <c r="S23" s="7">
        <f>LamChanHangNgan((PhiMayCatDecalVuong(S$14,$D23,$E23)+ PhiMayInToner4M(ROUNDUP(S$14/$F23,0)*$E$6)+ (ROUNDUP(S$14/$F23,0)*$D$11))*(1+$D$7))</f>
        <v>291000</v>
      </c>
      <c r="T23" s="7">
        <f>LamChanHangNgan((PhiMayCatDecalVuong(T$14,$D23,$E23)+ PhiMayInToner4M(ROUNDUP(T$14/$F23,0)*$E$6)+ (ROUNDUP(T$14/$F23,0)*$D$11))*(1+$D$7))</f>
        <v>321000</v>
      </c>
      <c r="U23" s="7">
        <f>LamChanHangNgan((PhiMayCatDecalVuong(U$14,$D23,$E23)+ PhiMayInToner4M(ROUNDUP(U$14/$F23,0)*$E$6)+ (ROUNDUP(U$14/$F23,0)*$D$11))*(1+$D$7))</f>
        <v>355000</v>
      </c>
      <c r="V23" s="7">
        <f>LamChanHangNgan((PhiMayCatDecalVuong(V$14,$D23,$E23)+ PhiMayInToner4M(ROUNDUP(V$14/$F23,0)*$E$6)+ (ROUNDUP(V$14/$F23,0)*$D$11))*(1+$D$7))</f>
        <v>385000</v>
      </c>
      <c r="W23" s="7">
        <f>LamChanHangNgan((PhiMayCatDecalVuong(W$14,$D23,$E23)+ PhiMayInToner4M(ROUNDUP(W$14/$F23,0)*$E$6)+ (ROUNDUP(W$14/$F23,0)*$D$11))*(1+$D$7))</f>
        <v>415000</v>
      </c>
      <c r="X23" s="7">
        <f>LamChanHangNgan((PhiMayCatDecalVuong(X$14,$D23,$E23)+ PhiMayInToner4M(ROUNDUP(X$14/$F23,0)*$E$6)+ (ROUNDUP(X$14/$F23,0)*$D$11))*(1+$D$7))</f>
        <v>449000</v>
      </c>
      <c r="Y23" s="7">
        <f>LamChanHangNgan((PhiMayCatDecalVuong(Y$14,$D23,$E23)+ PhiMayInToner4M(ROUNDUP(Y$14/$F23,0)*$E$6)+ (ROUNDUP(Y$14/$F23,0)*$D$11))*(1+$D$7))</f>
        <v>763000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4">
        <f t="shared" ref="F24:F41" si="4">SoConTrenToLon($C$5,$D$5,$D24,$E24)</f>
        <v>52</v>
      </c>
      <c r="G24" s="7">
        <f>LamChanHangNgan((PhiMayCatDecalVuong(G$14,$D24,$E24)+ PhiMayInToner4M(ROUNDUP(G$14/$F24,0)*$E$6)+ (ROUNDUP(G$14/$F24,0)*$D$11))*(1+$D$7))</f>
        <v>140000</v>
      </c>
      <c r="H24" s="7">
        <f>LamChanHangNgan((PhiMayCatDecalVuong(H$14,$D24,$E24)+ PhiMayInToner4M(ROUNDUP(H$14/$F24,0)*$E$6)+ (ROUNDUP(H$14/$F24,0)*$D$11))*(1+$D$7))</f>
        <v>147000</v>
      </c>
      <c r="I24" s="7">
        <f>LamChanHangNgan((PhiMayCatDecalVuong(I$14,$D24,$E24)+ PhiMayInToner4M(ROUNDUP(I$14/$F24,0)*$E$6)+ (ROUNDUP(I$14/$F24,0)*$D$11))*(1+$D$7))</f>
        <v>155000</v>
      </c>
      <c r="J24" s="7">
        <f>LamChanHangNgan((PhiMayCatDecalVuong(J$14,$D24,$E24)+ PhiMayInToner4M(ROUNDUP(J$14/$F24,0)*$E$6)+ (ROUNDUP(J$14/$F24,0)*$D$11))*(1+$D$7))</f>
        <v>162000</v>
      </c>
      <c r="K24" s="7">
        <f>LamChanHangNgan((PhiMayCatDecalVuong(K$14,$D24,$E24)+ PhiMayInToner4M(ROUNDUP(K$14/$F24,0)*$E$6)+ (ROUNDUP(K$14/$F24,0)*$D$11))*(1+$D$7))</f>
        <v>170000</v>
      </c>
      <c r="L24" s="7">
        <f>LamChanHangNgan((PhiMayCatDecalVuong(L$14,$D24,$E24)+ PhiMayInToner4M(ROUNDUP(L$14/$F24,0)*$E$6)+ (ROUNDUP(L$14/$F24,0)*$D$11))*(1+$D$7))</f>
        <v>177000</v>
      </c>
      <c r="M24" s="7">
        <f>LamChanHangNgan((PhiMayCatDecalVuong(M$14,$D24,$E24)+ PhiMayInToner4M(ROUNDUP(M$14/$F24,0)*$E$6)+ (ROUNDUP(M$14/$F24,0)*$D$11))*(1+$D$7))</f>
        <v>185000</v>
      </c>
      <c r="N24" s="7">
        <f>LamChanHangNgan((PhiMayCatDecalVuong(N$14,$D24,$E24)+ PhiMayInToner4M(ROUNDUP(N$14/$F24,0)*$E$6)+ (ROUNDUP(N$14/$F24,0)*$D$11))*(1+$D$7))</f>
        <v>192000</v>
      </c>
      <c r="O24" s="7">
        <f>LamChanHangNgan((PhiMayCatDecalVuong(O$14,$D24,$E24)+ PhiMayInToner4M(ROUNDUP(O$14/$F24,0)*$E$6)+ (ROUNDUP(O$14/$F24,0)*$D$11))*(1+$D$7))</f>
        <v>200000</v>
      </c>
      <c r="P24" s="7">
        <f>LamChanHangNgan((PhiMayCatDecalVuong(P$14,$D24,$E24)+ PhiMayInToner4M(ROUNDUP(P$14/$F24,0)*$E$6)+ (ROUNDUP(P$14/$F24,0)*$D$11))*(1+$D$7))</f>
        <v>207000</v>
      </c>
      <c r="Q24" s="7">
        <f>LamChanHangNgan((PhiMayCatDecalVuong(Q$14,$D24,$E24)+ PhiMayInToner4M(ROUNDUP(Q$14/$F24,0)*$E$6)+ (ROUNDUP(Q$14/$F24,0)*$D$11))*(1+$D$7))</f>
        <v>241000</v>
      </c>
      <c r="R24" s="7">
        <f>LamChanHangNgan((PhiMayCatDecalVuong(R$14,$D24,$E24)+ PhiMayInToner4M(ROUNDUP(R$14/$F24,0)*$E$6)+ (ROUNDUP(R$14/$F24,0)*$D$11))*(1+$D$7))</f>
        <v>278000</v>
      </c>
      <c r="S24" s="7">
        <f>LamChanHangNgan((PhiMayCatDecalVuong(S$14,$D24,$E24)+ PhiMayInToner4M(ROUNDUP(S$14/$F24,0)*$E$6)+ (ROUNDUP(S$14/$F24,0)*$D$11))*(1+$D$7))</f>
        <v>316000</v>
      </c>
      <c r="T24" s="7">
        <f>LamChanHangNgan((PhiMayCatDecalVuong(T$14,$D24,$E24)+ PhiMayInToner4M(ROUNDUP(T$14/$F24,0)*$E$6)+ (ROUNDUP(T$14/$F24,0)*$D$11))*(1+$D$7))</f>
        <v>350000</v>
      </c>
      <c r="U24" s="7">
        <f>LamChanHangNgan((PhiMayCatDecalVuong(U$14,$D24,$E24)+ PhiMayInToner4M(ROUNDUP(U$14/$F24,0)*$E$6)+ (ROUNDUP(U$14/$F24,0)*$D$11))*(1+$D$7))</f>
        <v>387000</v>
      </c>
      <c r="V24" s="7">
        <f>LamChanHangNgan((PhiMayCatDecalVuong(V$14,$D24,$E24)+ PhiMayInToner4M(ROUNDUP(V$14/$F24,0)*$E$6)+ (ROUNDUP(V$14/$F24,0)*$D$11))*(1+$D$7))</f>
        <v>421000</v>
      </c>
      <c r="W24" s="7">
        <f>LamChanHangNgan((PhiMayCatDecalVuong(W$14,$D24,$E24)+ PhiMayInToner4M(ROUNDUP(W$14/$F24,0)*$E$6)+ (ROUNDUP(W$14/$F24,0)*$D$11))*(1+$D$7))</f>
        <v>458000</v>
      </c>
      <c r="X24" s="7">
        <f>LamChanHangNgan((PhiMayCatDecalVuong(X$14,$D24,$E24)+ PhiMayInToner4M(ROUNDUP(X$14/$F24,0)*$E$6)+ (ROUNDUP(X$14/$F24,0)*$D$11))*(1+$D$7))</f>
        <v>496000</v>
      </c>
      <c r="Y24" s="7">
        <f>LamChanHangNgan((PhiMayCatDecalVuong(Y$14,$D24,$E24)+ PhiMayInToner4M(ROUNDUP(Y$14/$F24,0)*$E$6)+ (ROUNDUP(Y$14/$F24,0)*$D$11))*(1+$D$7))</f>
        <v>856000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4">
        <f t="shared" si="4"/>
        <v>63</v>
      </c>
      <c r="G25" s="7">
        <f>LamChanHangNgan((PhiMayCatDecalVuong(G$14,$D25,$E25)+ PhiMayInToner4M(ROUNDUP(G$14/$F25,0)*$E$6)+ (ROUNDUP(G$14/$F25,0)*$D$11))*(1+$D$7))</f>
        <v>140000</v>
      </c>
      <c r="H25" s="7">
        <f>LamChanHangNgan((PhiMayCatDecalVuong(H$14,$D25,$E25)+ PhiMayInToner4M(ROUNDUP(H$14/$F25,0)*$E$6)+ (ROUNDUP(H$14/$F25,0)*$D$11))*(1+$D$7))</f>
        <v>147000</v>
      </c>
      <c r="I25" s="7">
        <f>LamChanHangNgan((PhiMayCatDecalVuong(I$14,$D25,$E25)+ PhiMayInToner4M(ROUNDUP(I$14/$F25,0)*$E$6)+ (ROUNDUP(I$14/$F25,0)*$D$11))*(1+$D$7))</f>
        <v>151000</v>
      </c>
      <c r="J25" s="7">
        <f>LamChanHangNgan((PhiMayCatDecalVuong(J$14,$D25,$E25)+ PhiMayInToner4M(ROUNDUP(J$14/$F25,0)*$E$6)+ (ROUNDUP(J$14/$F25,0)*$D$11))*(1+$D$7))</f>
        <v>158000</v>
      </c>
      <c r="K25" s="7">
        <f>LamChanHangNgan((PhiMayCatDecalVuong(K$14,$D25,$E25)+ PhiMayInToner4M(ROUNDUP(K$14/$F25,0)*$E$6)+ (ROUNDUP(K$14/$F25,0)*$D$11))*(1+$D$7))</f>
        <v>162000</v>
      </c>
      <c r="L25" s="7">
        <f>LamChanHangNgan((PhiMayCatDecalVuong(L$14,$D25,$E25)+ PhiMayInToner4M(ROUNDUP(L$14/$F25,0)*$E$6)+ (ROUNDUP(L$14/$F25,0)*$D$11))*(1+$D$7))</f>
        <v>170000</v>
      </c>
      <c r="M25" s="7">
        <f>LamChanHangNgan((PhiMayCatDecalVuong(M$14,$D25,$E25)+ PhiMayInToner4M(ROUNDUP(M$14/$F25,0)*$E$6)+ (ROUNDUP(M$14/$F25,0)*$D$11))*(1+$D$7))</f>
        <v>177000</v>
      </c>
      <c r="N25" s="7">
        <f>LamChanHangNgan((PhiMayCatDecalVuong(N$14,$D25,$E25)+ PhiMayInToner4M(ROUNDUP(N$14/$F25,0)*$E$6)+ (ROUNDUP(N$14/$F25,0)*$D$11))*(1+$D$7))</f>
        <v>181000</v>
      </c>
      <c r="O25" s="7">
        <f>LamChanHangNgan((PhiMayCatDecalVuong(O$14,$D25,$E25)+ PhiMayInToner4M(ROUNDUP(O$14/$F25,0)*$E$6)+ (ROUNDUP(O$14/$F25,0)*$D$11))*(1+$D$7))</f>
        <v>189000</v>
      </c>
      <c r="P25" s="7">
        <f>LamChanHangNgan((PhiMayCatDecalVuong(P$14,$D25,$E25)+ PhiMayInToner4M(ROUNDUP(P$14/$F25,0)*$E$6)+ (ROUNDUP(P$14/$F25,0)*$D$11))*(1+$D$7))</f>
        <v>193000</v>
      </c>
      <c r="Q25" s="7">
        <f>LamChanHangNgan((PhiMayCatDecalVuong(Q$14,$D25,$E25)+ PhiMayInToner4M(ROUNDUP(Q$14/$F25,0)*$E$6)+ (ROUNDUP(Q$14/$F25,0)*$D$11))*(1+$D$7))</f>
        <v>223000</v>
      </c>
      <c r="R25" s="7">
        <f>LamChanHangNgan((PhiMayCatDecalVuong(R$14,$D25,$E25)+ PhiMayInToner4M(ROUNDUP(R$14/$F25,0)*$E$6)+ (ROUNDUP(R$14/$F25,0)*$D$11))*(1+$D$7))</f>
        <v>253000</v>
      </c>
      <c r="S25" s="7">
        <f>LamChanHangNgan((PhiMayCatDecalVuong(S$14,$D25,$E25)+ PhiMayInToner4M(ROUNDUP(S$14/$F25,0)*$E$6)+ (ROUNDUP(S$14/$F25,0)*$D$11))*(1+$D$7))</f>
        <v>283000</v>
      </c>
      <c r="T25" s="7">
        <f>LamChanHangNgan((PhiMayCatDecalVuong(T$14,$D25,$E25)+ PhiMayInToner4M(ROUNDUP(T$14/$F25,0)*$E$6)+ (ROUNDUP(T$14/$F25,0)*$D$11))*(1+$D$7))</f>
        <v>313000</v>
      </c>
      <c r="U25" s="7">
        <f>LamChanHangNgan((PhiMayCatDecalVuong(U$14,$D25,$E25)+ PhiMayInToner4M(ROUNDUP(U$14/$F25,0)*$E$6)+ (ROUNDUP(U$14/$F25,0)*$D$11))*(1+$D$7))</f>
        <v>343000</v>
      </c>
      <c r="V25" s="7">
        <f>LamChanHangNgan((PhiMayCatDecalVuong(V$14,$D25,$E25)+ PhiMayInToner4M(ROUNDUP(V$14/$F25,0)*$E$6)+ (ROUNDUP(V$14/$F25,0)*$D$11))*(1+$D$7))</f>
        <v>374000</v>
      </c>
      <c r="W25" s="7">
        <f>LamChanHangNgan((PhiMayCatDecalVuong(W$14,$D25,$E25)+ PhiMayInToner4M(ROUNDUP(W$14/$F25,0)*$E$6)+ (ROUNDUP(W$14/$F25,0)*$D$11))*(1+$D$7))</f>
        <v>404000</v>
      </c>
      <c r="X25" s="7">
        <f>LamChanHangNgan((PhiMayCatDecalVuong(X$14,$D25,$E25)+ PhiMayInToner4M(ROUNDUP(X$14/$F25,0)*$E$6)+ (ROUNDUP(X$14/$F25,0)*$D$11))*(1+$D$7))</f>
        <v>434000</v>
      </c>
      <c r="Y25" s="7">
        <f>LamChanHangNgan((PhiMayCatDecalVuong(Y$14,$D25,$E25)+ PhiMayInToner4M(ROUNDUP(Y$14/$F25,0)*$E$6)+ (ROUNDUP(Y$14/$F25,0)*$D$11))*(1+$D$7))</f>
        <v>732000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4">
        <f t="shared" si="4"/>
        <v>64</v>
      </c>
      <c r="G26" s="7">
        <f>LamChanHangNgan((PhiMayCatDecalVuong(G$14,$D26,$E26)+ PhiMayInToner4M(ROUNDUP(G$14/$F26,0)*$E$6)+ (ROUNDUP(G$14/$F26,0)*$D$11))*(1+$D$7))</f>
        <v>140000</v>
      </c>
      <c r="H26" s="7">
        <f>LamChanHangNgan((PhiMayCatDecalVuong(H$14,$D26,$E26)+ PhiMayInToner4M(ROUNDUP(H$14/$F26,0)*$E$6)+ (ROUNDUP(H$14/$F26,0)*$D$11))*(1+$D$7))</f>
        <v>147000</v>
      </c>
      <c r="I26" s="7">
        <f>LamChanHangNgan((PhiMayCatDecalVuong(I$14,$D26,$E26)+ PhiMayInToner4M(ROUNDUP(I$14/$F26,0)*$E$6)+ (ROUNDUP(I$14/$F26,0)*$D$11))*(1+$D$7))</f>
        <v>151000</v>
      </c>
      <c r="J26" s="7">
        <f>LamChanHangNgan((PhiMayCatDecalVuong(J$14,$D26,$E26)+ PhiMayInToner4M(ROUNDUP(J$14/$F26,0)*$E$6)+ (ROUNDUP(J$14/$F26,0)*$D$11))*(1+$D$7))</f>
        <v>158000</v>
      </c>
      <c r="K26" s="7">
        <f>LamChanHangNgan((PhiMayCatDecalVuong(K$14,$D26,$E26)+ PhiMayInToner4M(ROUNDUP(K$14/$F26,0)*$E$6)+ (ROUNDUP(K$14/$F26,0)*$D$11))*(1+$D$7))</f>
        <v>162000</v>
      </c>
      <c r="L26" s="7">
        <f>LamChanHangNgan((PhiMayCatDecalVuong(L$14,$D26,$E26)+ PhiMayInToner4M(ROUNDUP(L$14/$F26,0)*$E$6)+ (ROUNDUP(L$14/$F26,0)*$D$11))*(1+$D$7))</f>
        <v>170000</v>
      </c>
      <c r="M26" s="7">
        <f>LamChanHangNgan((PhiMayCatDecalVuong(M$14,$D26,$E26)+ PhiMayInToner4M(ROUNDUP(M$14/$F26,0)*$E$6)+ (ROUNDUP(M$14/$F26,0)*$D$11))*(1+$D$7))</f>
        <v>174000</v>
      </c>
      <c r="N26" s="7">
        <f>LamChanHangNgan((PhiMayCatDecalVuong(N$14,$D26,$E26)+ PhiMayInToner4M(ROUNDUP(N$14/$F26,0)*$E$6)+ (ROUNDUP(N$14/$F26,0)*$D$11))*(1+$D$7))</f>
        <v>181000</v>
      </c>
      <c r="O26" s="7">
        <f>LamChanHangNgan((PhiMayCatDecalVuong(O$14,$D26,$E26)+ PhiMayInToner4M(ROUNDUP(O$14/$F26,0)*$E$6)+ (ROUNDUP(O$14/$F26,0)*$D$11))*(1+$D$7))</f>
        <v>188000</v>
      </c>
      <c r="P26" s="7">
        <f>LamChanHangNgan((PhiMayCatDecalVuong(P$14,$D26,$E26)+ PhiMayInToner4M(ROUNDUP(P$14/$F26,0)*$E$6)+ (ROUNDUP(P$14/$F26,0)*$D$11))*(1+$D$7))</f>
        <v>192000</v>
      </c>
      <c r="Q26" s="7">
        <f>LamChanHangNgan((PhiMayCatDecalVuong(Q$14,$D26,$E26)+ PhiMayInToner4M(ROUNDUP(Q$14/$F26,0)*$E$6)+ (ROUNDUP(Q$14/$F26,0)*$D$11))*(1+$D$7))</f>
        <v>222000</v>
      </c>
      <c r="R26" s="7">
        <f>LamChanHangNgan((PhiMayCatDecalVuong(R$14,$D26,$E26)+ PhiMayInToner4M(ROUNDUP(R$14/$F26,0)*$E$6)+ (ROUNDUP(R$14/$F26,0)*$D$11))*(1+$D$7))</f>
        <v>252000</v>
      </c>
      <c r="S26" s="7">
        <f>LamChanHangNgan((PhiMayCatDecalVuong(S$14,$D26,$E26)+ PhiMayInToner4M(ROUNDUP(S$14/$F26,0)*$E$6)+ (ROUNDUP(S$14/$F26,0)*$D$11))*(1+$D$7))</f>
        <v>282000</v>
      </c>
      <c r="T26" s="7">
        <f>LamChanHangNgan((PhiMayCatDecalVuong(T$14,$D26,$E26)+ PhiMayInToner4M(ROUNDUP(T$14/$F26,0)*$E$6)+ (ROUNDUP(T$14/$F26,0)*$D$11))*(1+$D$7))</f>
        <v>309000</v>
      </c>
      <c r="U26" s="7">
        <f>LamChanHangNgan((PhiMayCatDecalVuong(U$14,$D26,$E26)+ PhiMayInToner4M(ROUNDUP(U$14/$F26,0)*$E$6)+ (ROUNDUP(U$14/$F26,0)*$D$11))*(1+$D$7))</f>
        <v>339000</v>
      </c>
      <c r="V26" s="7">
        <f>LamChanHangNgan((PhiMayCatDecalVuong(V$14,$D26,$E26)+ PhiMayInToner4M(ROUNDUP(V$14/$F26,0)*$E$6)+ (ROUNDUP(V$14/$F26,0)*$D$11))*(1+$D$7))</f>
        <v>369000</v>
      </c>
      <c r="W26" s="7">
        <f>LamChanHangNgan((PhiMayCatDecalVuong(W$14,$D26,$E26)+ PhiMayInToner4M(ROUNDUP(W$14/$F26,0)*$E$6)+ (ROUNDUP(W$14/$F26,0)*$D$11))*(1+$D$7))</f>
        <v>399000</v>
      </c>
      <c r="X26" s="7">
        <f>LamChanHangNgan((PhiMayCatDecalVuong(X$14,$D26,$E26)+ PhiMayInToner4M(ROUNDUP(X$14/$F26,0)*$E$6)+ (ROUNDUP(X$14/$F26,0)*$D$11))*(1+$D$7))</f>
        <v>429000</v>
      </c>
      <c r="Y26" s="7">
        <f>LamChanHangNgan((PhiMayCatDecalVuong(Y$14,$D26,$E26)+ PhiMayInToner4M(ROUNDUP(Y$14/$F26,0)*$E$6)+ (ROUNDUP(Y$14/$F26,0)*$D$11))*(1+$D$7))</f>
        <v>723000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4">
        <f t="shared" si="4"/>
        <v>56</v>
      </c>
      <c r="G27" s="7">
        <f>LamChanHangNgan((PhiMayCatDecalVuong(G$14,$D27,$E27)+ PhiMayInToner4M(ROUNDUP(G$14/$F27,0)*$E$6)+ (ROUNDUP(G$14/$F27,0)*$D$11))*(1+$D$7))</f>
        <v>140000</v>
      </c>
      <c r="H27" s="7">
        <f>LamChanHangNgan((PhiMayCatDecalVuong(H$14,$D27,$E27)+ PhiMayInToner4M(ROUNDUP(H$14/$F27,0)*$E$6)+ (ROUNDUP(H$14/$F27,0)*$D$11))*(1+$D$7))</f>
        <v>147000</v>
      </c>
      <c r="I27" s="7">
        <f>LamChanHangNgan((PhiMayCatDecalVuong(I$14,$D27,$E27)+ PhiMayInToner4M(ROUNDUP(I$14/$F27,0)*$E$6)+ (ROUNDUP(I$14/$F27,0)*$D$11))*(1+$D$7))</f>
        <v>155000</v>
      </c>
      <c r="J27" s="7">
        <f>LamChanHangNgan((PhiMayCatDecalVuong(J$14,$D27,$E27)+ PhiMayInToner4M(ROUNDUP(J$14/$F27,0)*$E$6)+ (ROUNDUP(J$14/$F27,0)*$D$11))*(1+$D$7))</f>
        <v>162000</v>
      </c>
      <c r="K27" s="7">
        <f>LamChanHangNgan((PhiMayCatDecalVuong(K$14,$D27,$E27)+ PhiMayInToner4M(ROUNDUP(K$14/$F27,0)*$E$6)+ (ROUNDUP(K$14/$F27,0)*$D$11))*(1+$D$7))</f>
        <v>166000</v>
      </c>
      <c r="L27" s="7">
        <f>LamChanHangNgan((PhiMayCatDecalVuong(L$14,$D27,$E27)+ PhiMayInToner4M(ROUNDUP(L$14/$F27,0)*$E$6)+ (ROUNDUP(L$14/$F27,0)*$D$11))*(1+$D$7))</f>
        <v>173000</v>
      </c>
      <c r="M27" s="7">
        <f>LamChanHangNgan((PhiMayCatDecalVuong(M$14,$D27,$E27)+ PhiMayInToner4M(ROUNDUP(M$14/$F27,0)*$E$6)+ (ROUNDUP(M$14/$F27,0)*$D$11))*(1+$D$7))</f>
        <v>181000</v>
      </c>
      <c r="N27" s="7">
        <f>LamChanHangNgan((PhiMayCatDecalVuong(N$14,$D27,$E27)+ PhiMayInToner4M(ROUNDUP(N$14/$F27,0)*$E$6)+ (ROUNDUP(N$14/$F27,0)*$D$11))*(1+$D$7))</f>
        <v>188000</v>
      </c>
      <c r="O27" s="7">
        <f>LamChanHangNgan((PhiMayCatDecalVuong(O$14,$D27,$E27)+ PhiMayInToner4M(ROUNDUP(O$14/$F27,0)*$E$6)+ (ROUNDUP(O$14/$F27,0)*$D$11))*(1+$D$7))</f>
        <v>196000</v>
      </c>
      <c r="P27" s="7">
        <f>LamChanHangNgan((PhiMayCatDecalVuong(P$14,$D27,$E27)+ PhiMayInToner4M(ROUNDUP(P$14/$F27,0)*$E$6)+ (ROUNDUP(P$14/$F27,0)*$D$11))*(1+$D$7))</f>
        <v>200000</v>
      </c>
      <c r="Q27" s="7">
        <f>LamChanHangNgan((PhiMayCatDecalVuong(Q$14,$D27,$E27)+ PhiMayInToner4M(ROUNDUP(Q$14/$F27,0)*$E$6)+ (ROUNDUP(Q$14/$F27,0)*$D$11))*(1+$D$7))</f>
        <v>233000</v>
      </c>
      <c r="R27" s="7">
        <f>LamChanHangNgan((PhiMayCatDecalVuong(R$14,$D27,$E27)+ PhiMayInToner4M(ROUNDUP(R$14/$F27,0)*$E$6)+ (ROUNDUP(R$14/$F27,0)*$D$11))*(1+$D$7))</f>
        <v>267000</v>
      </c>
      <c r="S27" s="7">
        <f>LamChanHangNgan((PhiMayCatDecalVuong(S$14,$D27,$E27)+ PhiMayInToner4M(ROUNDUP(S$14/$F27,0)*$E$6)+ (ROUNDUP(S$14/$F27,0)*$D$11))*(1+$D$7))</f>
        <v>301000</v>
      </c>
      <c r="T27" s="7">
        <f>LamChanHangNgan((PhiMayCatDecalVuong(T$14,$D27,$E27)+ PhiMayInToner4M(ROUNDUP(T$14/$F27,0)*$E$6)+ (ROUNDUP(T$14/$F27,0)*$D$11))*(1+$D$7))</f>
        <v>334000</v>
      </c>
      <c r="U27" s="7">
        <f>LamChanHangNgan((PhiMayCatDecalVuong(U$14,$D27,$E27)+ PhiMayInToner4M(ROUNDUP(U$14/$F27,0)*$E$6)+ (ROUNDUP(U$14/$F27,0)*$D$11))*(1+$D$7))</f>
        <v>368000</v>
      </c>
      <c r="V27" s="7">
        <f>LamChanHangNgan((PhiMayCatDecalVuong(V$14,$D27,$E27)+ PhiMayInToner4M(ROUNDUP(V$14/$F27,0)*$E$6)+ (ROUNDUP(V$14/$F27,0)*$D$11))*(1+$D$7))</f>
        <v>402000</v>
      </c>
      <c r="W27" s="7">
        <f>LamChanHangNgan((PhiMayCatDecalVuong(W$14,$D27,$E27)+ PhiMayInToner4M(ROUNDUP(W$14/$F27,0)*$E$6)+ (ROUNDUP(W$14/$F27,0)*$D$11))*(1+$D$7))</f>
        <v>435000</v>
      </c>
      <c r="X27" s="7">
        <f>LamChanHangNgan((PhiMayCatDecalVuong(X$14,$D27,$E27)+ PhiMayInToner4M(ROUNDUP(X$14/$F27,0)*$E$6)+ (ROUNDUP(X$14/$F27,0)*$D$11))*(1+$D$7))</f>
        <v>469000</v>
      </c>
      <c r="Y27" s="7">
        <f>LamChanHangNgan((PhiMayCatDecalVuong(Y$14,$D27,$E27)+ PhiMayInToner4M(ROUNDUP(Y$14/$F27,0)*$E$6)+ (ROUNDUP(Y$14/$F27,0)*$D$11))*(1+$D$7))</f>
        <v>802000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4">
        <f t="shared" si="4"/>
        <v>56</v>
      </c>
      <c r="G28" s="7">
        <f>LamChanHangNgan((PhiMayCatDecalVuong(G$14,$D28,$E28)+ PhiMayInToner4M(ROUNDUP(G$14/$F28,0)*$E$6)+ (ROUNDUP(G$14/$F28,0)*$D$11))*(1+$D$7))</f>
        <v>140000</v>
      </c>
      <c r="H28" s="7">
        <f>LamChanHangNgan((PhiMayCatDecalVuong(H$14,$D28,$E28)+ PhiMayInToner4M(ROUNDUP(H$14/$F28,0)*$E$6)+ (ROUNDUP(H$14/$F28,0)*$D$11))*(1+$D$7))</f>
        <v>147000</v>
      </c>
      <c r="I28" s="7">
        <f>LamChanHangNgan((PhiMayCatDecalVuong(I$14,$D28,$E28)+ PhiMayInToner4M(ROUNDUP(I$14/$F28,0)*$E$6)+ (ROUNDUP(I$14/$F28,0)*$D$11))*(1+$D$7))</f>
        <v>155000</v>
      </c>
      <c r="J28" s="7">
        <f>LamChanHangNgan((PhiMayCatDecalVuong(J$14,$D28,$E28)+ PhiMayInToner4M(ROUNDUP(J$14/$F28,0)*$E$6)+ (ROUNDUP(J$14/$F28,0)*$D$11))*(1+$D$7))</f>
        <v>162000</v>
      </c>
      <c r="K28" s="7">
        <f>LamChanHangNgan((PhiMayCatDecalVuong(K$14,$D28,$E28)+ PhiMayInToner4M(ROUNDUP(K$14/$F28,0)*$E$6)+ (ROUNDUP(K$14/$F28,0)*$D$11))*(1+$D$7))</f>
        <v>166000</v>
      </c>
      <c r="L28" s="7">
        <f>LamChanHangNgan((PhiMayCatDecalVuong(L$14,$D28,$E28)+ PhiMayInToner4M(ROUNDUP(L$14/$F28,0)*$E$6)+ (ROUNDUP(L$14/$F28,0)*$D$11))*(1+$D$7))</f>
        <v>173000</v>
      </c>
      <c r="M28" s="7">
        <f>LamChanHangNgan((PhiMayCatDecalVuong(M$14,$D28,$E28)+ PhiMayInToner4M(ROUNDUP(M$14/$F28,0)*$E$6)+ (ROUNDUP(M$14/$F28,0)*$D$11))*(1+$D$7))</f>
        <v>181000</v>
      </c>
      <c r="N28" s="7">
        <f>LamChanHangNgan((PhiMayCatDecalVuong(N$14,$D28,$E28)+ PhiMayInToner4M(ROUNDUP(N$14/$F28,0)*$E$6)+ (ROUNDUP(N$14/$F28,0)*$D$11))*(1+$D$7))</f>
        <v>188000</v>
      </c>
      <c r="O28" s="7">
        <f>LamChanHangNgan((PhiMayCatDecalVuong(O$14,$D28,$E28)+ PhiMayInToner4M(ROUNDUP(O$14/$F28,0)*$E$6)+ (ROUNDUP(O$14/$F28,0)*$D$11))*(1+$D$7))</f>
        <v>196000</v>
      </c>
      <c r="P28" s="7">
        <f>LamChanHangNgan((PhiMayCatDecalVuong(P$14,$D28,$E28)+ PhiMayInToner4M(ROUNDUP(P$14/$F28,0)*$E$6)+ (ROUNDUP(P$14/$F28,0)*$D$11))*(1+$D$7))</f>
        <v>200000</v>
      </c>
      <c r="Q28" s="7">
        <f>LamChanHangNgan((PhiMayCatDecalVuong(Q$14,$D28,$E28)+ PhiMayInToner4M(ROUNDUP(Q$14/$F28,0)*$E$6)+ (ROUNDUP(Q$14/$F28,0)*$D$11))*(1+$D$7))</f>
        <v>234000</v>
      </c>
      <c r="R28" s="7">
        <f>LamChanHangNgan((PhiMayCatDecalVuong(R$14,$D28,$E28)+ PhiMayInToner4M(ROUNDUP(R$14/$F28,0)*$E$6)+ (ROUNDUP(R$14/$F28,0)*$D$11))*(1+$D$7))</f>
        <v>267000</v>
      </c>
      <c r="S28" s="7">
        <f>LamChanHangNgan((PhiMayCatDecalVuong(S$14,$D28,$E28)+ PhiMayInToner4M(ROUNDUP(S$14/$F28,0)*$E$6)+ (ROUNDUP(S$14/$F28,0)*$D$11))*(1+$D$7))</f>
        <v>301000</v>
      </c>
      <c r="T28" s="7">
        <f>LamChanHangNgan((PhiMayCatDecalVuong(T$14,$D28,$E28)+ PhiMayInToner4M(ROUNDUP(T$14/$F28,0)*$E$6)+ (ROUNDUP(T$14/$F28,0)*$D$11))*(1+$D$7))</f>
        <v>335000</v>
      </c>
      <c r="U28" s="7">
        <f>LamChanHangNgan((PhiMayCatDecalVuong(U$14,$D28,$E28)+ PhiMayInToner4M(ROUNDUP(U$14/$F28,0)*$E$6)+ (ROUNDUP(U$14/$F28,0)*$D$11))*(1+$D$7))</f>
        <v>369000</v>
      </c>
      <c r="V28" s="7">
        <f>LamChanHangNgan((PhiMayCatDecalVuong(V$14,$D28,$E28)+ PhiMayInToner4M(ROUNDUP(V$14/$F28,0)*$E$6)+ (ROUNDUP(V$14/$F28,0)*$D$11))*(1+$D$7))</f>
        <v>403000</v>
      </c>
      <c r="W28" s="7">
        <f>LamChanHangNgan((PhiMayCatDecalVuong(W$14,$D28,$E28)+ PhiMayInToner4M(ROUNDUP(W$14/$F28,0)*$E$6)+ (ROUNDUP(W$14/$F28,0)*$D$11))*(1+$D$7))</f>
        <v>436000</v>
      </c>
      <c r="X28" s="7">
        <f>LamChanHangNgan((PhiMayCatDecalVuong(X$14,$D28,$E28)+ PhiMayInToner4M(ROUNDUP(X$14/$F28,0)*$E$6)+ (ROUNDUP(X$14/$F28,0)*$D$11))*(1+$D$7))</f>
        <v>470000</v>
      </c>
      <c r="Y28" s="7">
        <f>LamChanHangNgan((PhiMayCatDecalVuong(Y$14,$D28,$E28)+ PhiMayInToner4M(ROUNDUP(Y$14/$F28,0)*$E$6)+ (ROUNDUP(Y$14/$F28,0)*$D$11))*(1+$D$7))</f>
        <v>805000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4">
        <f t="shared" si="4"/>
        <v>48</v>
      </c>
      <c r="G29" s="7">
        <f>LamChanHangNgan((PhiMayCatDecalVuong(G$14,$D29,$E29)+ PhiMayInToner4M(ROUNDUP(G$14/$F29,0)*$E$6)+ (ROUNDUP(G$14/$F29,0)*$D$11))*(1+$D$7))</f>
        <v>143000</v>
      </c>
      <c r="H29" s="7">
        <f>LamChanHangNgan((PhiMayCatDecalVuong(H$14,$D29,$E29)+ PhiMayInToner4M(ROUNDUP(H$14/$F29,0)*$E$6)+ (ROUNDUP(H$14/$F29,0)*$D$11))*(1+$D$7))</f>
        <v>151000</v>
      </c>
      <c r="I29" s="7">
        <f>LamChanHangNgan((PhiMayCatDecalVuong(I$14,$D29,$E29)+ PhiMayInToner4M(ROUNDUP(I$14/$F29,0)*$E$6)+ (ROUNDUP(I$14/$F29,0)*$D$11))*(1+$D$7))</f>
        <v>158000</v>
      </c>
      <c r="J29" s="7">
        <f>LamChanHangNgan((PhiMayCatDecalVuong(J$14,$D29,$E29)+ PhiMayInToner4M(ROUNDUP(J$14/$F29,0)*$E$6)+ (ROUNDUP(J$14/$F29,0)*$D$11))*(1+$D$7))</f>
        <v>166000</v>
      </c>
      <c r="K29" s="7">
        <f>LamChanHangNgan((PhiMayCatDecalVuong(K$14,$D29,$E29)+ PhiMayInToner4M(ROUNDUP(K$14/$F29,0)*$E$6)+ (ROUNDUP(K$14/$F29,0)*$D$11))*(1+$D$7))</f>
        <v>173000</v>
      </c>
      <c r="L29" s="7">
        <f>LamChanHangNgan((PhiMayCatDecalVuong(L$14,$D29,$E29)+ PhiMayInToner4M(ROUNDUP(L$14/$F29,0)*$E$6)+ (ROUNDUP(L$14/$F29,0)*$D$11))*(1+$D$7))</f>
        <v>181000</v>
      </c>
      <c r="M29" s="7">
        <f>LamChanHangNgan((PhiMayCatDecalVuong(M$14,$D29,$E29)+ PhiMayInToner4M(ROUNDUP(M$14/$F29,0)*$E$6)+ (ROUNDUP(M$14/$F29,0)*$D$11))*(1+$D$7))</f>
        <v>188000</v>
      </c>
      <c r="N29" s="7">
        <f>LamChanHangNgan((PhiMayCatDecalVuong(N$14,$D29,$E29)+ PhiMayInToner4M(ROUNDUP(N$14/$F29,0)*$E$6)+ (ROUNDUP(N$14/$F29,0)*$D$11))*(1+$D$7))</f>
        <v>196000</v>
      </c>
      <c r="O29" s="7">
        <f>LamChanHangNgan((PhiMayCatDecalVuong(O$14,$D29,$E29)+ PhiMayInToner4M(ROUNDUP(O$14/$F29,0)*$E$6)+ (ROUNDUP(O$14/$F29,0)*$D$11))*(1+$D$7))</f>
        <v>203000</v>
      </c>
      <c r="P29" s="7">
        <f>LamChanHangNgan((PhiMayCatDecalVuong(P$14,$D29,$E29)+ PhiMayInToner4M(ROUNDUP(P$14/$F29,0)*$E$6)+ (ROUNDUP(P$14/$F29,0)*$D$11))*(1+$D$7))</f>
        <v>211000</v>
      </c>
      <c r="Q29" s="7">
        <f>LamChanHangNgan((PhiMayCatDecalVuong(Q$14,$D29,$E29)+ PhiMayInToner4M(ROUNDUP(Q$14/$F29,0)*$E$6)+ (ROUNDUP(Q$14/$F29,0)*$D$11))*(1+$D$7))</f>
        <v>251000</v>
      </c>
      <c r="R29" s="7">
        <f>LamChanHangNgan((PhiMayCatDecalVuong(R$14,$D29,$E29)+ PhiMayInToner4M(ROUNDUP(R$14/$F29,0)*$E$6)+ (ROUNDUP(R$14/$F29,0)*$D$11))*(1+$D$7))</f>
        <v>289000</v>
      </c>
      <c r="S29" s="7">
        <f>LamChanHangNgan((PhiMayCatDecalVuong(S$14,$D29,$E29)+ PhiMayInToner4M(ROUNDUP(S$14/$F29,0)*$E$6)+ (ROUNDUP(S$14/$F29,0)*$D$11))*(1+$D$7))</f>
        <v>330000</v>
      </c>
      <c r="T29" s="7">
        <f>LamChanHangNgan((PhiMayCatDecalVuong(T$14,$D29,$E29)+ PhiMayInToner4M(ROUNDUP(T$14/$F29,0)*$E$6)+ (ROUNDUP(T$14/$F29,0)*$D$11))*(1+$D$7))</f>
        <v>367000</v>
      </c>
      <c r="U29" s="7">
        <f>LamChanHangNgan((PhiMayCatDecalVuong(U$14,$D29,$E29)+ PhiMayInToner4M(ROUNDUP(U$14/$F29,0)*$E$6)+ (ROUNDUP(U$14/$F29,0)*$D$11))*(1+$D$7))</f>
        <v>405000</v>
      </c>
      <c r="V29" s="7">
        <f>LamChanHangNgan((PhiMayCatDecalVuong(V$14,$D29,$E29)+ PhiMayInToner4M(ROUNDUP(V$14/$F29,0)*$E$6)+ (ROUNDUP(V$14/$F29,0)*$D$11))*(1+$D$7))</f>
        <v>446000</v>
      </c>
      <c r="W29" s="7">
        <f>LamChanHangNgan((PhiMayCatDecalVuong(W$14,$D29,$E29)+ PhiMayInToner4M(ROUNDUP(W$14/$F29,0)*$E$6)+ (ROUNDUP(W$14/$F29,0)*$D$11))*(1+$D$7))</f>
        <v>483000</v>
      </c>
      <c r="X29" s="7">
        <f>LamChanHangNgan((PhiMayCatDecalVuong(X$14,$D29,$E29)+ PhiMayInToner4M(ROUNDUP(X$14/$F29,0)*$E$6)+ (ROUNDUP(X$14/$F29,0)*$D$11))*(1+$D$7))</f>
        <v>524000</v>
      </c>
      <c r="Y29" s="7">
        <f>LamChanHangNgan((PhiMayCatDecalVuong(Y$14,$D29,$E29)+ PhiMayInToner4M(ROUNDUP(Y$14/$F29,0)*$E$6)+ (ROUNDUP(Y$14/$F29,0)*$D$11))*(1+$D$7))</f>
        <v>912000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4">
        <f t="shared" si="4"/>
        <v>48</v>
      </c>
      <c r="G30" s="7">
        <f>LamChanHangNgan((PhiMayCatDecalVuong(G$14,$D30,$E30)+ PhiMayInToner4M(ROUNDUP(G$14/$F30,0)*$E$6)+ (ROUNDUP(G$14/$F30,0)*$D$11))*(1+$D$7))</f>
        <v>143000</v>
      </c>
      <c r="H30" s="7">
        <f>LamChanHangNgan((PhiMayCatDecalVuong(H$14,$D30,$E30)+ PhiMayInToner4M(ROUNDUP(H$14/$F30,0)*$E$6)+ (ROUNDUP(H$14/$F30,0)*$D$11))*(1+$D$7))</f>
        <v>151000</v>
      </c>
      <c r="I30" s="7">
        <f>LamChanHangNgan((PhiMayCatDecalVuong(I$14,$D30,$E30)+ PhiMayInToner4M(ROUNDUP(I$14/$F30,0)*$E$6)+ (ROUNDUP(I$14/$F30,0)*$D$11))*(1+$D$7))</f>
        <v>158000</v>
      </c>
      <c r="J30" s="7">
        <f>LamChanHangNgan((PhiMayCatDecalVuong(J$14,$D30,$E30)+ PhiMayInToner4M(ROUNDUP(J$14/$F30,0)*$E$6)+ (ROUNDUP(J$14/$F30,0)*$D$11))*(1+$D$7))</f>
        <v>166000</v>
      </c>
      <c r="K30" s="7">
        <f>LamChanHangNgan((PhiMayCatDecalVuong(K$14,$D30,$E30)+ PhiMayInToner4M(ROUNDUP(K$14/$F30,0)*$E$6)+ (ROUNDUP(K$14/$F30,0)*$D$11))*(1+$D$7))</f>
        <v>173000</v>
      </c>
      <c r="L30" s="7">
        <f>LamChanHangNgan((PhiMayCatDecalVuong(L$14,$D30,$E30)+ PhiMayInToner4M(ROUNDUP(L$14/$F30,0)*$E$6)+ (ROUNDUP(L$14/$F30,0)*$D$11))*(1+$D$7))</f>
        <v>181000</v>
      </c>
      <c r="M30" s="7">
        <f>LamChanHangNgan((PhiMayCatDecalVuong(M$14,$D30,$E30)+ PhiMayInToner4M(ROUNDUP(M$14/$F30,0)*$E$6)+ (ROUNDUP(M$14/$F30,0)*$D$11))*(1+$D$7))</f>
        <v>188000</v>
      </c>
      <c r="N30" s="7">
        <f>LamChanHangNgan((PhiMayCatDecalVuong(N$14,$D30,$E30)+ PhiMayInToner4M(ROUNDUP(N$14/$F30,0)*$E$6)+ (ROUNDUP(N$14/$F30,0)*$D$11))*(1+$D$7))</f>
        <v>196000</v>
      </c>
      <c r="O30" s="7">
        <f>LamChanHangNgan((PhiMayCatDecalVuong(O$14,$D30,$E30)+ PhiMayInToner4M(ROUNDUP(O$14/$F30,0)*$E$6)+ (ROUNDUP(O$14/$F30,0)*$D$11))*(1+$D$7))</f>
        <v>203000</v>
      </c>
      <c r="P30" s="7">
        <f>LamChanHangNgan((PhiMayCatDecalVuong(P$14,$D30,$E30)+ PhiMayInToner4M(ROUNDUP(P$14/$F30,0)*$E$6)+ (ROUNDUP(P$14/$F30,0)*$D$11))*(1+$D$7))</f>
        <v>211000</v>
      </c>
      <c r="Q30" s="7">
        <f>LamChanHangNgan((PhiMayCatDecalVuong(Q$14,$D30,$E30)+ PhiMayInToner4M(ROUNDUP(Q$14/$F30,0)*$E$6)+ (ROUNDUP(Q$14/$F30,0)*$D$11))*(1+$D$7))</f>
        <v>252000</v>
      </c>
      <c r="R30" s="7">
        <f>LamChanHangNgan((PhiMayCatDecalVuong(R$14,$D30,$E30)+ PhiMayInToner4M(ROUNDUP(R$14/$F30,0)*$E$6)+ (ROUNDUP(R$14/$F30,0)*$D$11))*(1+$D$7))</f>
        <v>289000</v>
      </c>
      <c r="S30" s="7">
        <f>LamChanHangNgan((PhiMayCatDecalVuong(S$14,$D30,$E30)+ PhiMayInToner4M(ROUNDUP(S$14/$F30,0)*$E$6)+ (ROUNDUP(S$14/$F30,0)*$D$11))*(1+$D$7))</f>
        <v>330000</v>
      </c>
      <c r="T30" s="7">
        <f>LamChanHangNgan((PhiMayCatDecalVuong(T$14,$D30,$E30)+ PhiMayInToner4M(ROUNDUP(T$14/$F30,0)*$E$6)+ (ROUNDUP(T$14/$F30,0)*$D$11))*(1+$D$7))</f>
        <v>368000</v>
      </c>
      <c r="U30" s="7">
        <f>LamChanHangNgan((PhiMayCatDecalVuong(U$14,$D30,$E30)+ PhiMayInToner4M(ROUNDUP(U$14/$F30,0)*$E$6)+ (ROUNDUP(U$14/$F30,0)*$D$11))*(1+$D$7))</f>
        <v>405000</v>
      </c>
      <c r="V30" s="7">
        <f>LamChanHangNgan((PhiMayCatDecalVuong(V$14,$D30,$E30)+ PhiMayInToner4M(ROUNDUP(V$14/$F30,0)*$E$6)+ (ROUNDUP(V$14/$F30,0)*$D$11))*(1+$D$7))</f>
        <v>447000</v>
      </c>
      <c r="W30" s="7">
        <f>LamChanHangNgan((PhiMayCatDecalVuong(W$14,$D30,$E30)+ PhiMayInToner4M(ROUNDUP(W$14/$F30,0)*$E$6)+ (ROUNDUP(W$14/$F30,0)*$D$11))*(1+$D$7))</f>
        <v>484000</v>
      </c>
      <c r="X30" s="7">
        <f>LamChanHangNgan((PhiMayCatDecalVuong(X$14,$D30,$E30)+ PhiMayInToner4M(ROUNDUP(X$14/$F30,0)*$E$6)+ (ROUNDUP(X$14/$F30,0)*$D$11))*(1+$D$7))</f>
        <v>525000</v>
      </c>
      <c r="Y30" s="7">
        <f>LamChanHangNgan((PhiMayCatDecalVuong(Y$14,$D30,$E30)+ PhiMayInToner4M(ROUNDUP(Y$14/$F30,0)*$E$6)+ (ROUNDUP(Y$14/$F30,0)*$D$11))*(1+$D$7))</f>
        <v>914000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4">
        <f t="shared" si="4"/>
        <v>40</v>
      </c>
      <c r="G31" s="7">
        <f>LamChanHangNgan((PhiMayCatDecalVuong(G$14,$D31,$E31)+ PhiMayInToner4M(ROUNDUP(G$14/$F31,0)*$E$6)+ (ROUNDUP(G$14/$F31,0)*$D$11))*(1+$D$7))</f>
        <v>143000</v>
      </c>
      <c r="H31" s="7">
        <f>LamChanHangNgan((PhiMayCatDecalVuong(H$14,$D31,$E31)+ PhiMayInToner4M(ROUNDUP(H$14/$F31,0)*$E$6)+ (ROUNDUP(H$14/$F31,0)*$D$11))*(1+$D$7))</f>
        <v>151000</v>
      </c>
      <c r="I31" s="7">
        <f>LamChanHangNgan((PhiMayCatDecalVuong(I$14,$D31,$E31)+ PhiMayInToner4M(ROUNDUP(I$14/$F31,0)*$E$6)+ (ROUNDUP(I$14/$F31,0)*$D$11))*(1+$D$7))</f>
        <v>162000</v>
      </c>
      <c r="J31" s="7">
        <f>LamChanHangNgan((PhiMayCatDecalVuong(J$14,$D31,$E31)+ PhiMayInToner4M(ROUNDUP(J$14/$F31,0)*$E$6)+ (ROUNDUP(J$14/$F31,0)*$D$11))*(1+$D$7))</f>
        <v>169000</v>
      </c>
      <c r="K31" s="7">
        <f>LamChanHangNgan((PhiMayCatDecalVuong(K$14,$D31,$E31)+ PhiMayInToner4M(ROUNDUP(K$14/$F31,0)*$E$6)+ (ROUNDUP(K$14/$F31,0)*$D$11))*(1+$D$7))</f>
        <v>180000</v>
      </c>
      <c r="L31" s="7">
        <f>LamChanHangNgan((PhiMayCatDecalVuong(L$14,$D31,$E31)+ PhiMayInToner4M(ROUNDUP(L$14/$F31,0)*$E$6)+ (ROUNDUP(L$14/$F31,0)*$D$11))*(1+$D$7))</f>
        <v>188000</v>
      </c>
      <c r="M31" s="7">
        <f>LamChanHangNgan((PhiMayCatDecalVuong(M$14,$D31,$E31)+ PhiMayInToner4M(ROUNDUP(M$14/$F31,0)*$E$6)+ (ROUNDUP(M$14/$F31,0)*$D$11))*(1+$D$7))</f>
        <v>199000</v>
      </c>
      <c r="N31" s="7">
        <f>LamChanHangNgan((PhiMayCatDecalVuong(N$14,$D31,$E31)+ PhiMayInToner4M(ROUNDUP(N$14/$F31,0)*$E$6)+ (ROUNDUP(N$14/$F31,0)*$D$11))*(1+$D$7))</f>
        <v>206000</v>
      </c>
      <c r="O31" s="7">
        <f>LamChanHangNgan((PhiMayCatDecalVuong(O$14,$D31,$E31)+ PhiMayInToner4M(ROUNDUP(O$14/$F31,0)*$E$6)+ (ROUNDUP(O$14/$F31,0)*$D$11))*(1+$D$7))</f>
        <v>218000</v>
      </c>
      <c r="P31" s="7">
        <f>LamChanHangNgan((PhiMayCatDecalVuong(P$14,$D31,$E31)+ PhiMayInToner4M(ROUNDUP(P$14/$F31,0)*$E$6)+ (ROUNDUP(P$14/$F31,0)*$D$11))*(1+$D$7))</f>
        <v>225000</v>
      </c>
      <c r="Q31" s="7">
        <f>LamChanHangNgan((PhiMayCatDecalVuong(Q$14,$D31,$E31)+ PhiMayInToner4M(ROUNDUP(Q$14/$F31,0)*$E$6)+ (ROUNDUP(Q$14/$F31,0)*$D$11))*(1+$D$7))</f>
        <v>273000</v>
      </c>
      <c r="R31" s="7">
        <f>LamChanHangNgan((PhiMayCatDecalVuong(R$14,$D31,$E31)+ PhiMayInToner4M(ROUNDUP(R$14/$F31,0)*$E$6)+ (ROUNDUP(R$14/$F31,0)*$D$11))*(1+$D$7))</f>
        <v>318000</v>
      </c>
      <c r="S31" s="7">
        <f>LamChanHangNgan((PhiMayCatDecalVuong(S$14,$D31,$E31)+ PhiMayInToner4M(ROUNDUP(S$14/$F31,0)*$E$6)+ (ROUNDUP(S$14/$F31,0)*$D$11))*(1+$D$7))</f>
        <v>366000</v>
      </c>
      <c r="T31" s="7">
        <f>LamChanHangNgan((PhiMayCatDecalVuong(T$14,$D31,$E31)+ PhiMayInToner4M(ROUNDUP(T$14/$F31,0)*$E$6)+ (ROUNDUP(T$14/$F31,0)*$D$11))*(1+$D$7))</f>
        <v>411000</v>
      </c>
      <c r="U31" s="7">
        <f>LamChanHangNgan((PhiMayCatDecalVuong(U$14,$D31,$E31)+ PhiMayInToner4M(ROUNDUP(U$14/$F31,0)*$E$6)+ (ROUNDUP(U$14/$F31,0)*$D$11))*(1+$D$7))</f>
        <v>459000</v>
      </c>
      <c r="V31" s="7">
        <f>LamChanHangNgan((PhiMayCatDecalVuong(V$14,$D31,$E31)+ PhiMayInToner4M(ROUNDUP(V$14/$F31,0)*$E$6)+ (ROUNDUP(V$14/$F31,0)*$D$11))*(1+$D$7))</f>
        <v>504000</v>
      </c>
      <c r="W31" s="7">
        <f>LamChanHangNgan((PhiMayCatDecalVuong(W$14,$D31,$E31)+ PhiMayInToner4M(ROUNDUP(W$14/$F31,0)*$E$6)+ (ROUNDUP(W$14/$F31,0)*$D$11))*(1+$D$7))</f>
        <v>552000</v>
      </c>
      <c r="X31" s="7">
        <f>LamChanHangNgan((PhiMayCatDecalVuong(X$14,$D31,$E31)+ PhiMayInToner4M(ROUNDUP(X$14/$F31,0)*$E$6)+ (ROUNDUP(X$14/$F31,0)*$D$11))*(1+$D$7))</f>
        <v>596000</v>
      </c>
      <c r="Y31" s="7">
        <f>LamChanHangNgan((PhiMayCatDecalVuong(Y$14,$D31,$E31)+ PhiMayInToner4M(ROUNDUP(Y$14/$F31,0)*$E$6)+ (ROUNDUP(Y$14/$F31,0)*$D$11))*(1+$D$7))</f>
        <v>1061000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4">
        <f t="shared" si="4"/>
        <v>36</v>
      </c>
      <c r="G32" s="7">
        <f>LamChanHangNgan((PhiMayCatDecalVuong(G$14,$D32,$E32)+ PhiMayInToner4M(ROUNDUP(G$14/$F32,0)*$E$6)+ (ROUNDUP(G$14/$F32,0)*$D$11))*(1+$D$7))</f>
        <v>143000</v>
      </c>
      <c r="H32" s="7">
        <f>LamChanHangNgan((PhiMayCatDecalVuong(H$14,$D32,$E32)+ PhiMayInToner4M(ROUNDUP(H$14/$F32,0)*$E$6)+ (ROUNDUP(H$14/$F32,0)*$D$11))*(1+$D$7))</f>
        <v>154000</v>
      </c>
      <c r="I32" s="7">
        <f>LamChanHangNgan((PhiMayCatDecalVuong(I$14,$D32,$E32)+ PhiMayInToner4M(ROUNDUP(I$14/$F32,0)*$E$6)+ (ROUNDUP(I$14/$F32,0)*$D$11))*(1+$D$7))</f>
        <v>165000</v>
      </c>
      <c r="J32" s="7">
        <f>LamChanHangNgan((PhiMayCatDecalVuong(J$14,$D32,$E32)+ PhiMayInToner4M(ROUNDUP(J$14/$F32,0)*$E$6)+ (ROUNDUP(J$14/$F32,0)*$D$11))*(1+$D$7))</f>
        <v>177000</v>
      </c>
      <c r="K32" s="7">
        <f>LamChanHangNgan((PhiMayCatDecalVuong(K$14,$D32,$E32)+ PhiMayInToner4M(ROUNDUP(K$14/$F32,0)*$E$6)+ (ROUNDUP(K$14/$F32,0)*$D$11))*(1+$D$7))</f>
        <v>184000</v>
      </c>
      <c r="L32" s="7">
        <f>LamChanHangNgan((PhiMayCatDecalVuong(L$14,$D32,$E32)+ PhiMayInToner4M(ROUNDUP(L$14/$F32,0)*$E$6)+ (ROUNDUP(L$14/$F32,0)*$D$11))*(1+$D$7))</f>
        <v>195000</v>
      </c>
      <c r="M32" s="7">
        <f>LamChanHangNgan((PhiMayCatDecalVuong(M$14,$D32,$E32)+ PhiMayInToner4M(ROUNDUP(M$14/$F32,0)*$E$6)+ (ROUNDUP(M$14/$F32,0)*$D$11))*(1+$D$7))</f>
        <v>206000</v>
      </c>
      <c r="N32" s="7">
        <f>LamChanHangNgan((PhiMayCatDecalVuong(N$14,$D32,$E32)+ PhiMayInToner4M(ROUNDUP(N$14/$F32,0)*$E$6)+ (ROUNDUP(N$14/$F32,0)*$D$11))*(1+$D$7))</f>
        <v>217000</v>
      </c>
      <c r="O32" s="7">
        <f>LamChanHangNgan((PhiMayCatDecalVuong(O$14,$D32,$E32)+ PhiMayInToner4M(ROUNDUP(O$14/$F32,0)*$E$6)+ (ROUNDUP(O$14/$F32,0)*$D$11))*(1+$D$7))</f>
        <v>225000</v>
      </c>
      <c r="P32" s="7">
        <f>LamChanHangNgan((PhiMayCatDecalVuong(P$14,$D32,$E32)+ PhiMayInToner4M(ROUNDUP(P$14/$F32,0)*$E$6)+ (ROUNDUP(P$14/$F32,0)*$D$11))*(1+$D$7))</f>
        <v>236000</v>
      </c>
      <c r="Q32" s="7">
        <f>LamChanHangNgan((PhiMayCatDecalVuong(Q$14,$D32,$E32)+ PhiMayInToner4M(ROUNDUP(Q$14/$F32,0)*$E$6)+ (ROUNDUP(Q$14/$F32,0)*$D$11))*(1+$D$7))</f>
        <v>288000</v>
      </c>
      <c r="R32" s="7">
        <f>LamChanHangNgan((PhiMayCatDecalVuong(R$14,$D32,$E32)+ PhiMayInToner4M(ROUNDUP(R$14/$F32,0)*$E$6)+ (ROUNDUP(R$14/$F32,0)*$D$11))*(1+$D$7))</f>
        <v>340000</v>
      </c>
      <c r="S32" s="7">
        <f>LamChanHangNgan((PhiMayCatDecalVuong(S$14,$D32,$E32)+ PhiMayInToner4M(ROUNDUP(S$14/$F32,0)*$E$6)+ (ROUNDUP(S$14/$F32,0)*$D$11))*(1+$D$7))</f>
        <v>392000</v>
      </c>
      <c r="T32" s="7">
        <f>LamChanHangNgan((PhiMayCatDecalVuong(T$14,$D32,$E32)+ PhiMayInToner4M(ROUNDUP(T$14/$F32,0)*$E$6)+ (ROUNDUP(T$14/$F32,0)*$D$11))*(1+$D$7))</f>
        <v>444000</v>
      </c>
      <c r="U32" s="7">
        <f>LamChanHangNgan((PhiMayCatDecalVuong(U$14,$D32,$E32)+ PhiMayInToner4M(ROUNDUP(U$14/$F32,0)*$E$6)+ (ROUNDUP(U$14/$F32,0)*$D$11))*(1+$D$7))</f>
        <v>496000</v>
      </c>
      <c r="V32" s="7">
        <f>LamChanHangNgan((PhiMayCatDecalVuong(V$14,$D32,$E32)+ PhiMayInToner4M(ROUNDUP(V$14/$F32,0)*$E$6)+ (ROUNDUP(V$14/$F32,0)*$D$11))*(1+$D$7))</f>
        <v>548000</v>
      </c>
      <c r="W32" s="7">
        <f>LamChanHangNgan((PhiMayCatDecalVuong(W$14,$D32,$E32)+ PhiMayInToner4M(ROUNDUP(W$14/$F32,0)*$E$6)+ (ROUNDUP(W$14/$F32,0)*$D$11))*(1+$D$7))</f>
        <v>596000</v>
      </c>
      <c r="X32" s="7">
        <f>LamChanHangNgan((PhiMayCatDecalVuong(X$14,$D32,$E32)+ PhiMayInToner4M(ROUNDUP(X$14/$F32,0)*$E$6)+ (ROUNDUP(X$14/$F32,0)*$D$11))*(1+$D$7))</f>
        <v>648000</v>
      </c>
      <c r="Y32" s="7">
        <f>LamChanHangNgan((PhiMayCatDecalVuong(Y$14,$D32,$E32)+ PhiMayInToner4M(ROUNDUP(Y$14/$F32,0)*$E$6)+ (ROUNDUP(Y$14/$F32,0)*$D$11))*(1+$D$7))</f>
        <v>1164000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4">
        <f t="shared" si="4"/>
        <v>32</v>
      </c>
      <c r="G33" s="7">
        <f>LamChanHangNgan((PhiMayCatDecalVuong(G$14,$D33,$E33)+ PhiMayInToner4M(ROUNDUP(G$14/$F33,0)*$E$6)+ (ROUNDUP(G$14/$F33,0)*$D$11))*(1+$D$7))</f>
        <v>147000</v>
      </c>
      <c r="H33" s="7">
        <f>LamChanHangNgan((PhiMayCatDecalVuong(H$14,$D33,$E33)+ PhiMayInToner4M(ROUNDUP(H$14/$F33,0)*$E$6)+ (ROUNDUP(H$14/$F33,0)*$D$11))*(1+$D$7))</f>
        <v>158000</v>
      </c>
      <c r="I33" s="7">
        <f>LamChanHangNgan((PhiMayCatDecalVuong(I$14,$D33,$E33)+ PhiMayInToner4M(ROUNDUP(I$14/$F33,0)*$E$6)+ (ROUNDUP(I$14/$F33,0)*$D$11))*(1+$D$7))</f>
        <v>169000</v>
      </c>
      <c r="J33" s="7">
        <f>LamChanHangNgan((PhiMayCatDecalVuong(J$14,$D33,$E33)+ PhiMayInToner4M(ROUNDUP(J$14/$F33,0)*$E$6)+ (ROUNDUP(J$14/$F33,0)*$D$11))*(1+$D$7))</f>
        <v>180000</v>
      </c>
      <c r="K33" s="7">
        <f>LamChanHangNgan((PhiMayCatDecalVuong(K$14,$D33,$E33)+ PhiMayInToner4M(ROUNDUP(K$14/$F33,0)*$E$6)+ (ROUNDUP(K$14/$F33,0)*$D$11))*(1+$D$7))</f>
        <v>191000</v>
      </c>
      <c r="L33" s="7">
        <f>LamChanHangNgan((PhiMayCatDecalVuong(L$14,$D33,$E33)+ PhiMayInToner4M(ROUNDUP(L$14/$F33,0)*$E$6)+ (ROUNDUP(L$14/$F33,0)*$D$11))*(1+$D$7))</f>
        <v>202000</v>
      </c>
      <c r="M33" s="7">
        <f>LamChanHangNgan((PhiMayCatDecalVuong(M$14,$D33,$E33)+ PhiMayInToner4M(ROUNDUP(M$14/$F33,0)*$E$6)+ (ROUNDUP(M$14/$F33,0)*$D$11))*(1+$D$7))</f>
        <v>213000</v>
      </c>
      <c r="N33" s="7">
        <f>LamChanHangNgan((PhiMayCatDecalVuong(N$14,$D33,$E33)+ PhiMayInToner4M(ROUNDUP(N$14/$F33,0)*$E$6)+ (ROUNDUP(N$14/$F33,0)*$D$11))*(1+$D$7))</f>
        <v>225000</v>
      </c>
      <c r="O33" s="7">
        <f>LamChanHangNgan((PhiMayCatDecalVuong(O$14,$D33,$E33)+ PhiMayInToner4M(ROUNDUP(O$14/$F33,0)*$E$6)+ (ROUNDUP(O$14/$F33,0)*$D$11))*(1+$D$7))</f>
        <v>239000</v>
      </c>
      <c r="P33" s="7">
        <f>LamChanHangNgan((PhiMayCatDecalVuong(P$14,$D33,$E33)+ PhiMayInToner4M(ROUNDUP(P$14/$F33,0)*$E$6)+ (ROUNDUP(P$14/$F33,0)*$D$11))*(1+$D$7))</f>
        <v>250000</v>
      </c>
      <c r="Q33" s="7">
        <f>LamChanHangNgan((PhiMayCatDecalVuong(Q$14,$D33,$E33)+ PhiMayInToner4M(ROUNDUP(Q$14/$F33,0)*$E$6)+ (ROUNDUP(Q$14/$F33,0)*$D$11))*(1+$D$7))</f>
        <v>306000</v>
      </c>
      <c r="R33" s="7">
        <f>LamChanHangNgan((PhiMayCatDecalVuong(R$14,$D33,$E33)+ PhiMayInToner4M(ROUNDUP(R$14/$F33,0)*$E$6)+ (ROUNDUP(R$14/$F33,0)*$D$11))*(1+$D$7))</f>
        <v>365000</v>
      </c>
      <c r="S33" s="7">
        <f>LamChanHangNgan((PhiMayCatDecalVuong(S$14,$D33,$E33)+ PhiMayInToner4M(ROUNDUP(S$14/$F33,0)*$E$6)+ (ROUNDUP(S$14/$F33,0)*$D$11))*(1+$D$7))</f>
        <v>424000</v>
      </c>
      <c r="T33" s="7">
        <f>LamChanHangNgan((PhiMayCatDecalVuong(T$14,$D33,$E33)+ PhiMayInToner4M(ROUNDUP(T$14/$F33,0)*$E$6)+ (ROUNDUP(T$14/$F33,0)*$D$11))*(1+$D$7))</f>
        <v>479000</v>
      </c>
      <c r="U33" s="7">
        <f>LamChanHangNgan((PhiMayCatDecalVuong(U$14,$D33,$E33)+ PhiMayInToner4M(ROUNDUP(U$14/$F33,0)*$E$6)+ (ROUNDUP(U$14/$F33,0)*$D$11))*(1+$D$7))</f>
        <v>539000</v>
      </c>
      <c r="V33" s="7">
        <f>LamChanHangNgan((PhiMayCatDecalVuong(V$14,$D33,$E33)+ PhiMayInToner4M(ROUNDUP(V$14/$F33,0)*$E$6)+ (ROUNDUP(V$14/$F33,0)*$D$11))*(1+$D$7))</f>
        <v>594000</v>
      </c>
      <c r="W33" s="7">
        <f>LamChanHangNgan((PhiMayCatDecalVuong(W$14,$D33,$E33)+ PhiMayInToner4M(ROUNDUP(W$14/$F33,0)*$E$6)+ (ROUNDUP(W$14/$F33,0)*$D$11))*(1+$D$7))</f>
        <v>653000</v>
      </c>
      <c r="X33" s="7">
        <f>LamChanHangNgan((PhiMayCatDecalVuong(X$14,$D33,$E33)+ PhiMayInToner4M(ROUNDUP(X$14/$F33,0)*$E$6)+ (ROUNDUP(X$14/$F33,0)*$D$11))*(1+$D$7))</f>
        <v>712000</v>
      </c>
      <c r="Y33" s="7">
        <f>LamChanHangNgan((PhiMayCatDecalVuong(Y$14,$D33,$E33)+ PhiMayInToner4M(ROUNDUP(Y$14/$F33,0)*$E$6)+ (ROUNDUP(Y$14/$F33,0)*$D$11))*(1+$D$7))</f>
        <v>1289000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4">
        <f t="shared" si="4"/>
        <v>42</v>
      </c>
      <c r="G34" s="7">
        <f>LamChanHangNgan((PhiMayCatDecalVuong(G$14,$D34,$E34)+ PhiMayInToner4M(ROUNDUP(G$14/$F34,0)*$E$6)+ (ROUNDUP(G$14/$F34,0)*$D$11))*(1+$D$7))</f>
        <v>143000</v>
      </c>
      <c r="H34" s="7">
        <f>LamChanHangNgan((PhiMayCatDecalVuong(H$14,$D34,$E34)+ PhiMayInToner4M(ROUNDUP(H$14/$F34,0)*$E$6)+ (ROUNDUP(H$14/$F34,0)*$D$11))*(1+$D$7))</f>
        <v>151000</v>
      </c>
      <c r="I34" s="7">
        <f>LamChanHangNgan((PhiMayCatDecalVuong(I$14,$D34,$E34)+ PhiMayInToner4M(ROUNDUP(I$14/$F34,0)*$E$6)+ (ROUNDUP(I$14/$F34,0)*$D$11))*(1+$D$7))</f>
        <v>162000</v>
      </c>
      <c r="J34" s="7">
        <f>LamChanHangNgan((PhiMayCatDecalVuong(J$14,$D34,$E34)+ PhiMayInToner4M(ROUNDUP(J$14/$F34,0)*$E$6)+ (ROUNDUP(J$14/$F34,0)*$D$11))*(1+$D$7))</f>
        <v>169000</v>
      </c>
      <c r="K34" s="7">
        <f>LamChanHangNgan((PhiMayCatDecalVuong(K$14,$D34,$E34)+ PhiMayInToner4M(ROUNDUP(K$14/$F34,0)*$E$6)+ (ROUNDUP(K$14/$F34,0)*$D$11))*(1+$D$7))</f>
        <v>177000</v>
      </c>
      <c r="L34" s="7">
        <f>LamChanHangNgan((PhiMayCatDecalVuong(L$14,$D34,$E34)+ PhiMayInToner4M(ROUNDUP(L$14/$F34,0)*$E$6)+ (ROUNDUP(L$14/$F34,0)*$D$11))*(1+$D$7))</f>
        <v>188000</v>
      </c>
      <c r="M34" s="7">
        <f>LamChanHangNgan((PhiMayCatDecalVuong(M$14,$D34,$E34)+ PhiMayInToner4M(ROUNDUP(M$14/$F34,0)*$E$6)+ (ROUNDUP(M$14/$F34,0)*$D$11))*(1+$D$7))</f>
        <v>195000</v>
      </c>
      <c r="N34" s="7">
        <f>LamChanHangNgan((PhiMayCatDecalVuong(N$14,$D34,$E34)+ PhiMayInToner4M(ROUNDUP(N$14/$F34,0)*$E$6)+ (ROUNDUP(N$14/$F34,0)*$D$11))*(1+$D$7))</f>
        <v>206000</v>
      </c>
      <c r="O34" s="7">
        <f>LamChanHangNgan((PhiMayCatDecalVuong(O$14,$D34,$E34)+ PhiMayInToner4M(ROUNDUP(O$14/$F34,0)*$E$6)+ (ROUNDUP(O$14/$F34,0)*$D$11))*(1+$D$7))</f>
        <v>214000</v>
      </c>
      <c r="P34" s="7">
        <f>LamChanHangNgan((PhiMayCatDecalVuong(P$14,$D34,$E34)+ PhiMayInToner4M(ROUNDUP(P$14/$F34,0)*$E$6)+ (ROUNDUP(P$14/$F34,0)*$D$11))*(1+$D$7))</f>
        <v>221000</v>
      </c>
      <c r="Q34" s="7">
        <f>LamChanHangNgan((PhiMayCatDecalVuong(Q$14,$D34,$E34)+ PhiMayInToner4M(ROUNDUP(Q$14/$F34,0)*$E$6)+ (ROUNDUP(Q$14/$F34,0)*$D$11))*(1+$D$7))</f>
        <v>266000</v>
      </c>
      <c r="R34" s="7">
        <f>LamChanHangNgan((PhiMayCatDecalVuong(R$14,$D34,$E34)+ PhiMayInToner4M(ROUNDUP(R$14/$F34,0)*$E$6)+ (ROUNDUP(R$14/$F34,0)*$D$11))*(1+$D$7))</f>
        <v>310000</v>
      </c>
      <c r="S34" s="7">
        <f>LamChanHangNgan((PhiMayCatDecalVuong(S$14,$D34,$E34)+ PhiMayInToner4M(ROUNDUP(S$14/$F34,0)*$E$6)+ (ROUNDUP(S$14/$F34,0)*$D$11))*(1+$D$7))</f>
        <v>355000</v>
      </c>
      <c r="T34" s="7">
        <f>LamChanHangNgan((PhiMayCatDecalVuong(T$14,$D34,$E34)+ PhiMayInToner4M(ROUNDUP(T$14/$F34,0)*$E$6)+ (ROUNDUP(T$14/$F34,0)*$D$11))*(1+$D$7))</f>
        <v>400000</v>
      </c>
      <c r="U34" s="7">
        <f>LamChanHangNgan((PhiMayCatDecalVuong(U$14,$D34,$E34)+ PhiMayInToner4M(ROUNDUP(U$14/$F34,0)*$E$6)+ (ROUNDUP(U$14/$F34,0)*$D$11))*(1+$D$7))</f>
        <v>444000</v>
      </c>
      <c r="V34" s="7">
        <f>LamChanHangNgan((PhiMayCatDecalVuong(V$14,$D34,$E34)+ PhiMayInToner4M(ROUNDUP(V$14/$F34,0)*$E$6)+ (ROUNDUP(V$14/$F34,0)*$D$11))*(1+$D$7))</f>
        <v>489000</v>
      </c>
      <c r="W34" s="7">
        <f>LamChanHangNgan((PhiMayCatDecalVuong(W$14,$D34,$E34)+ PhiMayInToner4M(ROUNDUP(W$14/$F34,0)*$E$6)+ (ROUNDUP(W$14/$F34,0)*$D$11))*(1+$D$7))</f>
        <v>533000</v>
      </c>
      <c r="X34" s="7">
        <f>LamChanHangNgan((PhiMayCatDecalVuong(X$14,$D34,$E34)+ PhiMayInToner4M(ROUNDUP(X$14/$F34,0)*$E$6)+ (ROUNDUP(X$14/$F34,0)*$D$11))*(1+$D$7))</f>
        <v>578000</v>
      </c>
      <c r="Y34" s="7">
        <f>LamChanHangNgan((PhiMayCatDecalVuong(Y$14,$D34,$E34)+ PhiMayInToner4M(ROUNDUP(Y$14/$F34,0)*$E$6)+ (ROUNDUP(Y$14/$F34,0)*$D$11))*(1+$D$7))</f>
        <v>1020000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4">
        <f t="shared" si="4"/>
        <v>36</v>
      </c>
      <c r="G35" s="7">
        <f>LamChanHangNgan((PhiMayCatDecalVuong(G$14,$D35,$E35)+ PhiMayInToner4M(ROUNDUP(G$14/$F35,0)*$E$6)+ (ROUNDUP(G$14/$F35,0)*$D$11))*(1+$D$7))</f>
        <v>143000</v>
      </c>
      <c r="H35" s="7">
        <f>LamChanHangNgan((PhiMayCatDecalVuong(H$14,$D35,$E35)+ PhiMayInToner4M(ROUNDUP(H$14/$F35,0)*$E$6)+ (ROUNDUP(H$14/$F35,0)*$D$11))*(1+$D$7))</f>
        <v>154000</v>
      </c>
      <c r="I35" s="7">
        <f>LamChanHangNgan((PhiMayCatDecalVuong(I$14,$D35,$E35)+ PhiMayInToner4M(ROUNDUP(I$14/$F35,0)*$E$6)+ (ROUNDUP(I$14/$F35,0)*$D$11))*(1+$D$7))</f>
        <v>165000</v>
      </c>
      <c r="J35" s="7">
        <f>LamChanHangNgan((PhiMayCatDecalVuong(J$14,$D35,$E35)+ PhiMayInToner4M(ROUNDUP(J$14/$F35,0)*$E$6)+ (ROUNDUP(J$14/$F35,0)*$D$11))*(1+$D$7))</f>
        <v>176000</v>
      </c>
      <c r="K35" s="7">
        <f>LamChanHangNgan((PhiMayCatDecalVuong(K$14,$D35,$E35)+ PhiMayInToner4M(ROUNDUP(K$14/$F35,0)*$E$6)+ (ROUNDUP(K$14/$F35,0)*$D$11))*(1+$D$7))</f>
        <v>184000</v>
      </c>
      <c r="L35" s="7">
        <f>LamChanHangNgan((PhiMayCatDecalVuong(L$14,$D35,$E35)+ PhiMayInToner4M(ROUNDUP(L$14/$F35,0)*$E$6)+ (ROUNDUP(L$14/$F35,0)*$D$11))*(1+$D$7))</f>
        <v>195000</v>
      </c>
      <c r="M35" s="7">
        <f>LamChanHangNgan((PhiMayCatDecalVuong(M$14,$D35,$E35)+ PhiMayInToner4M(ROUNDUP(M$14/$F35,0)*$E$6)+ (ROUNDUP(M$14/$F35,0)*$D$11))*(1+$D$7))</f>
        <v>206000</v>
      </c>
      <c r="N35" s="7">
        <f>LamChanHangNgan((PhiMayCatDecalVuong(N$14,$D35,$E35)+ PhiMayInToner4M(ROUNDUP(N$14/$F35,0)*$E$6)+ (ROUNDUP(N$14/$F35,0)*$D$11))*(1+$D$7))</f>
        <v>217000</v>
      </c>
      <c r="O35" s="7">
        <f>LamChanHangNgan((PhiMayCatDecalVuong(O$14,$D35,$E35)+ PhiMayInToner4M(ROUNDUP(O$14/$F35,0)*$E$6)+ (ROUNDUP(O$14/$F35,0)*$D$11))*(1+$D$7))</f>
        <v>225000</v>
      </c>
      <c r="P35" s="7">
        <f>LamChanHangNgan((PhiMayCatDecalVuong(P$14,$D35,$E35)+ PhiMayInToner4M(ROUNDUP(P$14/$F35,0)*$E$6)+ (ROUNDUP(P$14/$F35,0)*$D$11))*(1+$D$7))</f>
        <v>236000</v>
      </c>
      <c r="Q35" s="7">
        <f>LamChanHangNgan((PhiMayCatDecalVuong(Q$14,$D35,$E35)+ PhiMayInToner4M(ROUNDUP(Q$14/$F35,0)*$E$6)+ (ROUNDUP(Q$14/$F35,0)*$D$11))*(1+$D$7))</f>
        <v>287000</v>
      </c>
      <c r="R35" s="7">
        <f>LamChanHangNgan((PhiMayCatDecalVuong(R$14,$D35,$E35)+ PhiMayInToner4M(ROUNDUP(R$14/$F35,0)*$E$6)+ (ROUNDUP(R$14/$F35,0)*$D$11))*(1+$D$7))</f>
        <v>339000</v>
      </c>
      <c r="S35" s="7">
        <f>LamChanHangNgan((PhiMayCatDecalVuong(S$14,$D35,$E35)+ PhiMayInToner4M(ROUNDUP(S$14/$F35,0)*$E$6)+ (ROUNDUP(S$14/$F35,0)*$D$11))*(1+$D$7))</f>
        <v>391000</v>
      </c>
      <c r="T35" s="7">
        <f>LamChanHangNgan((PhiMayCatDecalVuong(T$14,$D35,$E35)+ PhiMayInToner4M(ROUNDUP(T$14/$F35,0)*$E$6)+ (ROUNDUP(T$14/$F35,0)*$D$11))*(1+$D$7))</f>
        <v>442000</v>
      </c>
      <c r="U35" s="7">
        <f>LamChanHangNgan((PhiMayCatDecalVuong(U$14,$D35,$E35)+ PhiMayInToner4M(ROUNDUP(U$14/$F35,0)*$E$6)+ (ROUNDUP(U$14/$F35,0)*$D$11))*(1+$D$7))</f>
        <v>494000</v>
      </c>
      <c r="V35" s="7">
        <f>LamChanHangNgan((PhiMayCatDecalVuong(V$14,$D35,$E35)+ PhiMayInToner4M(ROUNDUP(V$14/$F35,0)*$E$6)+ (ROUNDUP(V$14/$F35,0)*$D$11))*(1+$D$7))</f>
        <v>546000</v>
      </c>
      <c r="W35" s="7">
        <f>LamChanHangNgan((PhiMayCatDecalVuong(W$14,$D35,$E35)+ PhiMayInToner4M(ROUNDUP(W$14/$F35,0)*$E$6)+ (ROUNDUP(W$14/$F35,0)*$D$11))*(1+$D$7))</f>
        <v>594000</v>
      </c>
      <c r="X35" s="7">
        <f>LamChanHangNgan((PhiMayCatDecalVuong(X$14,$D35,$E35)+ PhiMayInToner4M(ROUNDUP(X$14/$F35,0)*$E$6)+ (ROUNDUP(X$14/$F35,0)*$D$11))*(1+$D$7))</f>
        <v>646000</v>
      </c>
      <c r="Y35" s="7">
        <f>LamChanHangNgan((PhiMayCatDecalVuong(Y$14,$D35,$E35)+ PhiMayInToner4M(ROUNDUP(Y$14/$F35,0)*$E$6)+ (ROUNDUP(Y$14/$F35,0)*$D$11))*(1+$D$7))</f>
        <v>1159000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4">
        <f t="shared" si="4"/>
        <v>36</v>
      </c>
      <c r="G36" s="7">
        <f>LamChanHangNgan((PhiMayCatDecalVuong(G$14,$D36,$E36)+ PhiMayInToner4M(ROUNDUP(G$14/$F36,0)*$E$6)+ (ROUNDUP(G$14/$F36,0)*$D$11))*(1+$D$7))</f>
        <v>143000</v>
      </c>
      <c r="H36" s="7">
        <f>LamChanHangNgan((PhiMayCatDecalVuong(H$14,$D36,$E36)+ PhiMayInToner4M(ROUNDUP(H$14/$F36,0)*$E$6)+ (ROUNDUP(H$14/$F36,0)*$D$11))*(1+$D$7))</f>
        <v>154000</v>
      </c>
      <c r="I36" s="7">
        <f>LamChanHangNgan((PhiMayCatDecalVuong(I$14,$D36,$E36)+ PhiMayInToner4M(ROUNDUP(I$14/$F36,0)*$E$6)+ (ROUNDUP(I$14/$F36,0)*$D$11))*(1+$D$7))</f>
        <v>165000</v>
      </c>
      <c r="J36" s="7">
        <f>LamChanHangNgan((PhiMayCatDecalVuong(J$14,$D36,$E36)+ PhiMayInToner4M(ROUNDUP(J$14/$F36,0)*$E$6)+ (ROUNDUP(J$14/$F36,0)*$D$11))*(1+$D$7))</f>
        <v>176000</v>
      </c>
      <c r="K36" s="7">
        <f>LamChanHangNgan((PhiMayCatDecalVuong(K$14,$D36,$E36)+ PhiMayInToner4M(ROUNDUP(K$14/$F36,0)*$E$6)+ (ROUNDUP(K$14/$F36,0)*$D$11))*(1+$D$7))</f>
        <v>184000</v>
      </c>
      <c r="L36" s="7">
        <f>LamChanHangNgan((PhiMayCatDecalVuong(L$14,$D36,$E36)+ PhiMayInToner4M(ROUNDUP(L$14/$F36,0)*$E$6)+ (ROUNDUP(L$14/$F36,0)*$D$11))*(1+$D$7))</f>
        <v>195000</v>
      </c>
      <c r="M36" s="7">
        <f>LamChanHangNgan((PhiMayCatDecalVuong(M$14,$D36,$E36)+ PhiMayInToner4M(ROUNDUP(M$14/$F36,0)*$E$6)+ (ROUNDUP(M$14/$F36,0)*$D$11))*(1+$D$7))</f>
        <v>206000</v>
      </c>
      <c r="N36" s="7">
        <f>LamChanHangNgan((PhiMayCatDecalVuong(N$14,$D36,$E36)+ PhiMayInToner4M(ROUNDUP(N$14/$F36,0)*$E$6)+ (ROUNDUP(N$14/$F36,0)*$D$11))*(1+$D$7))</f>
        <v>217000</v>
      </c>
      <c r="O36" s="7">
        <f>LamChanHangNgan((PhiMayCatDecalVuong(O$14,$D36,$E36)+ PhiMayInToner4M(ROUNDUP(O$14/$F36,0)*$E$6)+ (ROUNDUP(O$14/$F36,0)*$D$11))*(1+$D$7))</f>
        <v>225000</v>
      </c>
      <c r="P36" s="7">
        <f>LamChanHangNgan((PhiMayCatDecalVuong(P$14,$D36,$E36)+ PhiMayInToner4M(ROUNDUP(P$14/$F36,0)*$E$6)+ (ROUNDUP(P$14/$F36,0)*$D$11))*(1+$D$7))</f>
        <v>236000</v>
      </c>
      <c r="Q36" s="7">
        <f>LamChanHangNgan((PhiMayCatDecalVuong(Q$14,$D36,$E36)+ PhiMayInToner4M(ROUNDUP(Q$14/$F36,0)*$E$6)+ (ROUNDUP(Q$14/$F36,0)*$D$11))*(1+$D$7))</f>
        <v>288000</v>
      </c>
      <c r="R36" s="7">
        <f>LamChanHangNgan((PhiMayCatDecalVuong(R$14,$D36,$E36)+ PhiMayInToner4M(ROUNDUP(R$14/$F36,0)*$E$6)+ (ROUNDUP(R$14/$F36,0)*$D$11))*(1+$D$7))</f>
        <v>339000</v>
      </c>
      <c r="S36" s="7">
        <f>LamChanHangNgan((PhiMayCatDecalVuong(S$14,$D36,$E36)+ PhiMayInToner4M(ROUNDUP(S$14/$F36,0)*$E$6)+ (ROUNDUP(S$14/$F36,0)*$D$11))*(1+$D$7))</f>
        <v>391000</v>
      </c>
      <c r="T36" s="7">
        <f>LamChanHangNgan((PhiMayCatDecalVuong(T$14,$D36,$E36)+ PhiMayInToner4M(ROUNDUP(T$14/$F36,0)*$E$6)+ (ROUNDUP(T$14/$F36,0)*$D$11))*(1+$D$7))</f>
        <v>443000</v>
      </c>
      <c r="U36" s="7">
        <f>LamChanHangNgan((PhiMayCatDecalVuong(U$14,$D36,$E36)+ PhiMayInToner4M(ROUNDUP(U$14/$F36,0)*$E$6)+ (ROUNDUP(U$14/$F36,0)*$D$11))*(1+$D$7))</f>
        <v>495000</v>
      </c>
      <c r="V36" s="7">
        <f>LamChanHangNgan((PhiMayCatDecalVuong(V$14,$D36,$E36)+ PhiMayInToner4M(ROUNDUP(V$14/$F36,0)*$E$6)+ (ROUNDUP(V$14/$F36,0)*$D$11))*(1+$D$7))</f>
        <v>547000</v>
      </c>
      <c r="W36" s="7">
        <f>LamChanHangNgan((PhiMayCatDecalVuong(W$14,$D36,$E36)+ PhiMayInToner4M(ROUNDUP(W$14/$F36,0)*$E$6)+ (ROUNDUP(W$14/$F36,0)*$D$11))*(1+$D$7))</f>
        <v>595000</v>
      </c>
      <c r="X36" s="7">
        <f>LamChanHangNgan((PhiMayCatDecalVuong(X$14,$D36,$E36)+ PhiMayInToner4M(ROUNDUP(X$14/$F36,0)*$E$6)+ (ROUNDUP(X$14/$F36,0)*$D$11))*(1+$D$7))</f>
        <v>647000</v>
      </c>
      <c r="Y36" s="7">
        <f>LamChanHangNgan((PhiMayCatDecalVuong(Y$14,$D36,$E36)+ PhiMayInToner4M(ROUNDUP(Y$14/$F36,0)*$E$6)+ (ROUNDUP(Y$14/$F36,0)*$D$11))*(1+$D$7))</f>
        <v>1161000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4">
        <f t="shared" si="4"/>
        <v>30</v>
      </c>
      <c r="G37" s="7">
        <f>LamChanHangNgan((PhiMayCatDecalVuong(G$14,$D37,$E37)+ PhiMayInToner4M(ROUNDUP(G$14/$F37,0)*$E$6)+ (ROUNDUP(G$14/$F37,0)*$D$11))*(1+$D$7))</f>
        <v>147000</v>
      </c>
      <c r="H37" s="7">
        <f>LamChanHangNgan((PhiMayCatDecalVuong(H$14,$D37,$E37)+ PhiMayInToner4M(ROUNDUP(H$14/$F37,0)*$E$6)+ (ROUNDUP(H$14/$F37,0)*$D$11))*(1+$D$7))</f>
        <v>158000</v>
      </c>
      <c r="I37" s="7">
        <f>LamChanHangNgan((PhiMayCatDecalVuong(I$14,$D37,$E37)+ PhiMayInToner4M(ROUNDUP(I$14/$F37,0)*$E$6)+ (ROUNDUP(I$14/$F37,0)*$D$11))*(1+$D$7))</f>
        <v>169000</v>
      </c>
      <c r="J37" s="7">
        <f>LamChanHangNgan((PhiMayCatDecalVuong(J$14,$D37,$E37)+ PhiMayInToner4M(ROUNDUP(J$14/$F37,0)*$E$6)+ (ROUNDUP(J$14/$F37,0)*$D$11))*(1+$D$7))</f>
        <v>184000</v>
      </c>
      <c r="K37" s="7">
        <f>LamChanHangNgan((PhiMayCatDecalVuong(K$14,$D37,$E37)+ PhiMayInToner4M(ROUNDUP(K$14/$F37,0)*$E$6)+ (ROUNDUP(K$14/$F37,0)*$D$11))*(1+$D$7))</f>
        <v>195000</v>
      </c>
      <c r="L37" s="7">
        <f>LamChanHangNgan((PhiMayCatDecalVuong(L$14,$D37,$E37)+ PhiMayInToner4M(ROUNDUP(L$14/$F37,0)*$E$6)+ (ROUNDUP(L$14/$F37,0)*$D$11))*(1+$D$7))</f>
        <v>206000</v>
      </c>
      <c r="M37" s="7">
        <f>LamChanHangNgan((PhiMayCatDecalVuong(M$14,$D37,$E37)+ PhiMayInToner4M(ROUNDUP(M$14/$F37,0)*$E$6)+ (ROUNDUP(M$14/$F37,0)*$D$11))*(1+$D$7))</f>
        <v>220000</v>
      </c>
      <c r="N37" s="7">
        <f>LamChanHangNgan((PhiMayCatDecalVuong(N$14,$D37,$E37)+ PhiMayInToner4M(ROUNDUP(N$14/$F37,0)*$E$6)+ (ROUNDUP(N$14/$F37,0)*$D$11))*(1+$D$7))</f>
        <v>231000</v>
      </c>
      <c r="O37" s="7">
        <f>LamChanHangNgan((PhiMayCatDecalVuong(O$14,$D37,$E37)+ PhiMayInToner4M(ROUNDUP(O$14/$F37,0)*$E$6)+ (ROUNDUP(O$14/$F37,0)*$D$11))*(1+$D$7))</f>
        <v>242000</v>
      </c>
      <c r="P37" s="7">
        <f>LamChanHangNgan((PhiMayCatDecalVuong(P$14,$D37,$E37)+ PhiMayInToner4M(ROUNDUP(P$14/$F37,0)*$E$6)+ (ROUNDUP(P$14/$F37,0)*$D$11))*(1+$D$7))</f>
        <v>257000</v>
      </c>
      <c r="Q37" s="7">
        <f>LamChanHangNgan((PhiMayCatDecalVuong(Q$14,$D37,$E37)+ PhiMayInToner4M(ROUNDUP(Q$14/$F37,0)*$E$6)+ (ROUNDUP(Q$14/$F37,0)*$D$11))*(1+$D$7))</f>
        <v>316000</v>
      </c>
      <c r="R37" s="7">
        <f>LamChanHangNgan((PhiMayCatDecalVuong(R$14,$D37,$E37)+ PhiMayInToner4M(ROUNDUP(R$14/$F37,0)*$E$6)+ (ROUNDUP(R$14/$F37,0)*$D$11))*(1+$D$7))</f>
        <v>378000</v>
      </c>
      <c r="S37" s="7">
        <f>LamChanHangNgan((PhiMayCatDecalVuong(S$14,$D37,$E37)+ PhiMayInToner4M(ROUNDUP(S$14/$F37,0)*$E$6)+ (ROUNDUP(S$14/$F37,0)*$D$11))*(1+$D$7))</f>
        <v>441000</v>
      </c>
      <c r="T37" s="7">
        <f>LamChanHangNgan((PhiMayCatDecalVuong(T$14,$D37,$E37)+ PhiMayInToner4M(ROUNDUP(T$14/$F37,0)*$E$6)+ (ROUNDUP(T$14/$F37,0)*$D$11))*(1+$D$7))</f>
        <v>500000</v>
      </c>
      <c r="U37" s="7">
        <f>LamChanHangNgan((PhiMayCatDecalVuong(U$14,$D37,$E37)+ PhiMayInToner4M(ROUNDUP(U$14/$F37,0)*$E$6)+ (ROUNDUP(U$14/$F37,0)*$D$11))*(1+$D$7))</f>
        <v>562000</v>
      </c>
      <c r="V37" s="7">
        <f>LamChanHangNgan((PhiMayCatDecalVuong(V$14,$D37,$E37)+ PhiMayInToner4M(ROUNDUP(V$14/$F37,0)*$E$6)+ (ROUNDUP(V$14/$F37,0)*$D$11))*(1+$D$7))</f>
        <v>625000</v>
      </c>
      <c r="W37" s="7">
        <f>LamChanHangNgan((PhiMayCatDecalVuong(W$14,$D37,$E37)+ PhiMayInToner4M(ROUNDUP(W$14/$F37,0)*$E$6)+ (ROUNDUP(W$14/$F37,0)*$D$11))*(1+$D$7))</f>
        <v>684000</v>
      </c>
      <c r="X37" s="7">
        <f>LamChanHangNgan((PhiMayCatDecalVuong(X$14,$D37,$E37)+ PhiMayInToner4M(ROUNDUP(X$14/$F37,0)*$E$6)+ (ROUNDUP(X$14/$F37,0)*$D$11))*(1+$D$7))</f>
        <v>746000</v>
      </c>
      <c r="Y37" s="7">
        <f>LamChanHangNgan((PhiMayCatDecalVuong(Y$14,$D37,$E37)+ PhiMayInToner4M(ROUNDUP(Y$14/$F37,0)*$E$6)+ (ROUNDUP(Y$14/$F37,0)*$D$11))*(1+$D$7))</f>
        <v>1360000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4">
        <f t="shared" si="4"/>
        <v>28</v>
      </c>
      <c r="G38" s="7">
        <f>LamChanHangNgan((PhiMayCatDecalVuong(G$14,$D38,$E38)+ PhiMayInToner4M(ROUNDUP(G$14/$F38,0)*$E$6)+ (ROUNDUP(G$14/$F38,0)*$D$11))*(1+$D$7))</f>
        <v>147000</v>
      </c>
      <c r="H38" s="7">
        <f>LamChanHangNgan((PhiMayCatDecalVuong(H$14,$D38,$E38)+ PhiMayInToner4M(ROUNDUP(H$14/$F38,0)*$E$6)+ (ROUNDUP(H$14/$F38,0)*$D$11))*(1+$D$7))</f>
        <v>161000</v>
      </c>
      <c r="I38" s="7">
        <f>LamChanHangNgan((PhiMayCatDecalVuong(I$14,$D38,$E38)+ PhiMayInToner4M(ROUNDUP(I$14/$F38,0)*$E$6)+ (ROUNDUP(I$14/$F38,0)*$D$11))*(1+$D$7))</f>
        <v>173000</v>
      </c>
      <c r="J38" s="7">
        <f>LamChanHangNgan((PhiMayCatDecalVuong(J$14,$D38,$E38)+ PhiMayInToner4M(ROUNDUP(J$14/$F38,0)*$E$6)+ (ROUNDUP(J$14/$F38,0)*$D$11))*(1+$D$7))</f>
        <v>187000</v>
      </c>
      <c r="K38" s="7">
        <f>LamChanHangNgan((PhiMayCatDecalVuong(K$14,$D38,$E38)+ PhiMayInToner4M(ROUNDUP(K$14/$F38,0)*$E$6)+ (ROUNDUP(K$14/$F38,0)*$D$11))*(1+$D$7))</f>
        <v>198000</v>
      </c>
      <c r="L38" s="7">
        <f>LamChanHangNgan((PhiMayCatDecalVuong(L$14,$D38,$E38)+ PhiMayInToner4M(ROUNDUP(L$14/$F38,0)*$E$6)+ (ROUNDUP(L$14/$F38,0)*$D$11))*(1+$D$7))</f>
        <v>213000</v>
      </c>
      <c r="M38" s="7">
        <f>LamChanHangNgan((PhiMayCatDecalVuong(M$14,$D38,$E38)+ PhiMayInToner4M(ROUNDUP(M$14/$F38,0)*$E$6)+ (ROUNDUP(M$14/$F38,0)*$D$11))*(1+$D$7))</f>
        <v>224000</v>
      </c>
      <c r="N38" s="7">
        <f>LamChanHangNgan((PhiMayCatDecalVuong(N$14,$D38,$E38)+ PhiMayInToner4M(ROUNDUP(N$14/$F38,0)*$E$6)+ (ROUNDUP(N$14/$F38,0)*$D$11))*(1+$D$7))</f>
        <v>239000</v>
      </c>
      <c r="O38" s="7">
        <f>LamChanHangNgan((PhiMayCatDecalVuong(O$14,$D38,$E38)+ PhiMayInToner4M(ROUNDUP(O$14/$F38,0)*$E$6)+ (ROUNDUP(O$14/$F38,0)*$D$11))*(1+$D$7))</f>
        <v>253000</v>
      </c>
      <c r="P38" s="7">
        <f>LamChanHangNgan((PhiMayCatDecalVuong(P$14,$D38,$E38)+ PhiMayInToner4M(ROUNDUP(P$14/$F38,0)*$E$6)+ (ROUNDUP(P$14/$F38,0)*$D$11))*(1+$D$7))</f>
        <v>265000</v>
      </c>
      <c r="Q38" s="7">
        <f>LamChanHangNgan((PhiMayCatDecalVuong(Q$14,$D38,$E38)+ PhiMayInToner4M(ROUNDUP(Q$14/$F38,0)*$E$6)+ (ROUNDUP(Q$14/$F38,0)*$D$11))*(1+$D$7))</f>
        <v>331000</v>
      </c>
      <c r="R38" s="7">
        <f>LamChanHangNgan((PhiMayCatDecalVuong(R$14,$D38,$E38)+ PhiMayInToner4M(ROUNDUP(R$14/$F38,0)*$E$6)+ (ROUNDUP(R$14/$F38,0)*$D$11))*(1+$D$7))</f>
        <v>397000</v>
      </c>
      <c r="S38" s="7">
        <f>LamChanHangNgan((PhiMayCatDecalVuong(S$14,$D38,$E38)+ PhiMayInToner4M(ROUNDUP(S$14/$F38,0)*$E$6)+ (ROUNDUP(S$14/$F38,0)*$D$11))*(1+$D$7))</f>
        <v>463000</v>
      </c>
      <c r="T38" s="7">
        <f>LamChanHangNgan((PhiMayCatDecalVuong(T$14,$D38,$E38)+ PhiMayInToner4M(ROUNDUP(T$14/$F38,0)*$E$6)+ (ROUNDUP(T$14/$F38,0)*$D$11))*(1+$D$7))</f>
        <v>529000</v>
      </c>
      <c r="U38" s="7">
        <f>LamChanHangNgan((PhiMayCatDecalVuong(U$14,$D38,$E38)+ PhiMayInToner4M(ROUNDUP(U$14/$F38,0)*$E$6)+ (ROUNDUP(U$14/$F38,0)*$D$11))*(1+$D$7))</f>
        <v>592000</v>
      </c>
      <c r="V38" s="7">
        <f>LamChanHangNgan((PhiMayCatDecalVuong(V$14,$D38,$E38)+ PhiMayInToner4M(ROUNDUP(V$14/$F38,0)*$E$6)+ (ROUNDUP(V$14/$F38,0)*$D$11))*(1+$D$7))</f>
        <v>658000</v>
      </c>
      <c r="W38" s="7">
        <f>LamChanHangNgan((PhiMayCatDecalVuong(W$14,$D38,$E38)+ PhiMayInToner4M(ROUNDUP(W$14/$F38,0)*$E$6)+ (ROUNDUP(W$14/$F38,0)*$D$11))*(1+$D$7))</f>
        <v>724000</v>
      </c>
      <c r="X38" s="7">
        <f>LamChanHangNgan((PhiMayCatDecalVuong(X$14,$D38,$E38)+ PhiMayInToner4M(ROUNDUP(X$14/$F38,0)*$E$6)+ (ROUNDUP(X$14/$F38,0)*$D$11))*(1+$D$7))</f>
        <v>790000</v>
      </c>
      <c r="Y38" s="7">
        <f>LamChanHangNgan((PhiMayCatDecalVuong(Y$14,$D38,$E38)+ PhiMayInToner4M(ROUNDUP(Y$14/$F38,0)*$E$6)+ (ROUNDUP(Y$14/$F38,0)*$D$11))*(1+$D$7))</f>
        <v>1449000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4">
        <f t="shared" si="4"/>
        <v>30</v>
      </c>
      <c r="G39" s="7">
        <f>LamChanHangNgan((PhiMayCatDecalVuong(G$14,$D39,$E39)+ PhiMayInToner4M(ROUNDUP(G$14/$F39,0)*$E$6)+ (ROUNDUP(G$14/$F39,0)*$D$11))*(1+$D$7))</f>
        <v>147000</v>
      </c>
      <c r="H39" s="7">
        <f>LamChanHangNgan((PhiMayCatDecalVuong(H$14,$D39,$E39)+ PhiMayInToner4M(ROUNDUP(H$14/$F39,0)*$E$6)+ (ROUNDUP(H$14/$F39,0)*$D$11))*(1+$D$7))</f>
        <v>158000</v>
      </c>
      <c r="I39" s="7">
        <f>LamChanHangNgan((PhiMayCatDecalVuong(I$14,$D39,$E39)+ PhiMayInToner4M(ROUNDUP(I$14/$F39,0)*$E$6)+ (ROUNDUP(I$14/$F39,0)*$D$11))*(1+$D$7))</f>
        <v>169000</v>
      </c>
      <c r="J39" s="7">
        <f>LamChanHangNgan((PhiMayCatDecalVuong(J$14,$D39,$E39)+ PhiMayInToner4M(ROUNDUP(J$14/$F39,0)*$E$6)+ (ROUNDUP(J$14/$F39,0)*$D$11))*(1+$D$7))</f>
        <v>184000</v>
      </c>
      <c r="K39" s="7">
        <f>LamChanHangNgan((PhiMayCatDecalVuong(K$14,$D39,$E39)+ PhiMayInToner4M(ROUNDUP(K$14/$F39,0)*$E$6)+ (ROUNDUP(K$14/$F39,0)*$D$11))*(1+$D$7))</f>
        <v>195000</v>
      </c>
      <c r="L39" s="7">
        <f>LamChanHangNgan((PhiMayCatDecalVuong(L$14,$D39,$E39)+ PhiMayInToner4M(ROUNDUP(L$14/$F39,0)*$E$6)+ (ROUNDUP(L$14/$F39,0)*$D$11))*(1+$D$7))</f>
        <v>206000</v>
      </c>
      <c r="M39" s="7">
        <f>LamChanHangNgan((PhiMayCatDecalVuong(M$14,$D39,$E39)+ PhiMayInToner4M(ROUNDUP(M$14/$F39,0)*$E$6)+ (ROUNDUP(M$14/$F39,0)*$D$11))*(1+$D$7))</f>
        <v>220000</v>
      </c>
      <c r="N39" s="7">
        <f>LamChanHangNgan((PhiMayCatDecalVuong(N$14,$D39,$E39)+ PhiMayInToner4M(ROUNDUP(N$14/$F39,0)*$E$6)+ (ROUNDUP(N$14/$F39,0)*$D$11))*(1+$D$7))</f>
        <v>232000</v>
      </c>
      <c r="O39" s="7">
        <f>LamChanHangNgan((PhiMayCatDecalVuong(O$14,$D39,$E39)+ PhiMayInToner4M(ROUNDUP(O$14/$F39,0)*$E$6)+ (ROUNDUP(O$14/$F39,0)*$D$11))*(1+$D$7))</f>
        <v>243000</v>
      </c>
      <c r="P39" s="7">
        <f>LamChanHangNgan((PhiMayCatDecalVuong(P$14,$D39,$E39)+ PhiMayInToner4M(ROUNDUP(P$14/$F39,0)*$E$6)+ (ROUNDUP(P$14/$F39,0)*$D$11))*(1+$D$7))</f>
        <v>257000</v>
      </c>
      <c r="Q39" s="7">
        <f>LamChanHangNgan((PhiMayCatDecalVuong(Q$14,$D39,$E39)+ PhiMayInToner4M(ROUNDUP(Q$14/$F39,0)*$E$6)+ (ROUNDUP(Q$14/$F39,0)*$D$11))*(1+$D$7))</f>
        <v>316000</v>
      </c>
      <c r="R39" s="7">
        <f>LamChanHangNgan((PhiMayCatDecalVuong(R$14,$D39,$E39)+ PhiMayInToner4M(ROUNDUP(R$14/$F39,0)*$E$6)+ (ROUNDUP(R$14/$F39,0)*$D$11))*(1+$D$7))</f>
        <v>379000</v>
      </c>
      <c r="S39" s="7">
        <f>LamChanHangNgan((PhiMayCatDecalVuong(S$14,$D39,$E39)+ PhiMayInToner4M(ROUNDUP(S$14/$F39,0)*$E$6)+ (ROUNDUP(S$14/$F39,0)*$D$11))*(1+$D$7))</f>
        <v>441000</v>
      </c>
      <c r="T39" s="7">
        <f>LamChanHangNgan((PhiMayCatDecalVuong(T$14,$D39,$E39)+ PhiMayInToner4M(ROUNDUP(T$14/$F39,0)*$E$6)+ (ROUNDUP(T$14/$F39,0)*$D$11))*(1+$D$7))</f>
        <v>501000</v>
      </c>
      <c r="U39" s="7">
        <f>LamChanHangNgan((PhiMayCatDecalVuong(U$14,$D39,$E39)+ PhiMayInToner4M(ROUNDUP(U$14/$F39,0)*$E$6)+ (ROUNDUP(U$14/$F39,0)*$D$11))*(1+$D$7))</f>
        <v>563000</v>
      </c>
      <c r="V39" s="7">
        <f>LamChanHangNgan((PhiMayCatDecalVuong(V$14,$D39,$E39)+ PhiMayInToner4M(ROUNDUP(V$14/$F39,0)*$E$6)+ (ROUNDUP(V$14/$F39,0)*$D$11))*(1+$D$7))</f>
        <v>626000</v>
      </c>
      <c r="W39" s="7">
        <f>LamChanHangNgan((PhiMayCatDecalVuong(W$14,$D39,$E39)+ PhiMayInToner4M(ROUNDUP(W$14/$F39,0)*$E$6)+ (ROUNDUP(W$14/$F39,0)*$D$11))*(1+$D$7))</f>
        <v>685000</v>
      </c>
      <c r="X39" s="7">
        <f>LamChanHangNgan((PhiMayCatDecalVuong(X$14,$D39,$E39)+ PhiMayInToner4M(ROUNDUP(X$14/$F39,0)*$E$6)+ (ROUNDUP(X$14/$F39,0)*$D$11))*(1+$D$7))</f>
        <v>747000</v>
      </c>
      <c r="Y39" s="7">
        <f>LamChanHangNgan((PhiMayCatDecalVuong(Y$14,$D39,$E39)+ PhiMayInToner4M(ROUNDUP(Y$14/$F39,0)*$E$6)+ (ROUNDUP(Y$14/$F39,0)*$D$11))*(1+$D$7))</f>
        <v>1362000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4">
        <f t="shared" si="4"/>
        <v>25</v>
      </c>
      <c r="G40" s="7">
        <f>LamChanHangNgan((PhiMayCatDecalVuong(G$14,$D40,$E40)+ PhiMayInToner4M(ROUNDUP(G$14/$F40,0)*$E$6)+ (ROUNDUP(G$14/$F40,0)*$D$11))*(1+$D$7))</f>
        <v>147000</v>
      </c>
      <c r="H40" s="7">
        <f>LamChanHangNgan((PhiMayCatDecalVuong(H$14,$D40,$E40)+ PhiMayInToner4M(ROUNDUP(H$14/$F40,0)*$E$6)+ (ROUNDUP(H$14/$F40,0)*$D$11))*(1+$D$7))</f>
        <v>161000</v>
      </c>
      <c r="I40" s="7">
        <f>LamChanHangNgan((PhiMayCatDecalVuong(I$14,$D40,$E40)+ PhiMayInToner4M(ROUNDUP(I$14/$F40,0)*$E$6)+ (ROUNDUP(I$14/$F40,0)*$D$11))*(1+$D$7))</f>
        <v>176000</v>
      </c>
      <c r="J40" s="7">
        <f>LamChanHangNgan((PhiMayCatDecalVuong(J$14,$D40,$E40)+ PhiMayInToner4M(ROUNDUP(J$14/$F40,0)*$E$6)+ (ROUNDUP(J$14/$F40,0)*$D$11))*(1+$D$7))</f>
        <v>191000</v>
      </c>
      <c r="K40" s="7">
        <f>LamChanHangNgan((PhiMayCatDecalVuong(K$14,$D40,$E40)+ PhiMayInToner4M(ROUNDUP(K$14/$F40,0)*$E$6)+ (ROUNDUP(K$14/$F40,0)*$D$11))*(1+$D$7))</f>
        <v>205000</v>
      </c>
      <c r="L40" s="7">
        <f>LamChanHangNgan((PhiMayCatDecalVuong(L$14,$D40,$E40)+ PhiMayInToner4M(ROUNDUP(L$14/$F40,0)*$E$6)+ (ROUNDUP(L$14/$F40,0)*$D$11))*(1+$D$7))</f>
        <v>220000</v>
      </c>
      <c r="M40" s="7">
        <f>LamChanHangNgan((PhiMayCatDecalVuong(M$14,$D40,$E40)+ PhiMayInToner4M(ROUNDUP(M$14/$F40,0)*$E$6)+ (ROUNDUP(M$14/$F40,0)*$D$11))*(1+$D$7))</f>
        <v>235000</v>
      </c>
      <c r="N40" s="7">
        <f>LamChanHangNgan((PhiMayCatDecalVuong(N$14,$D40,$E40)+ PhiMayInToner4M(ROUNDUP(N$14/$F40,0)*$E$6)+ (ROUNDUP(N$14/$F40,0)*$D$11))*(1+$D$7))</f>
        <v>249000</v>
      </c>
      <c r="O40" s="7">
        <f>LamChanHangNgan((PhiMayCatDecalVuong(O$14,$D40,$E40)+ PhiMayInToner4M(ROUNDUP(O$14/$F40,0)*$E$6)+ (ROUNDUP(O$14/$F40,0)*$D$11))*(1+$D$7))</f>
        <v>264000</v>
      </c>
      <c r="P40" s="7">
        <f>LamChanHangNgan((PhiMayCatDecalVuong(P$14,$D40,$E40)+ PhiMayInToner4M(ROUNDUP(P$14/$F40,0)*$E$6)+ (ROUNDUP(P$14/$F40,0)*$D$11))*(1+$D$7))</f>
        <v>279000</v>
      </c>
      <c r="Q40" s="7">
        <f>LamChanHangNgan((PhiMayCatDecalVuong(Q$14,$D40,$E40)+ PhiMayInToner4M(ROUNDUP(Q$14/$F40,0)*$E$6)+ (ROUNDUP(Q$14/$F40,0)*$D$11))*(1+$D$7))</f>
        <v>352000</v>
      </c>
      <c r="R40" s="7">
        <f>LamChanHangNgan((PhiMayCatDecalVuong(R$14,$D40,$E40)+ PhiMayInToner4M(ROUNDUP(R$14/$F40,0)*$E$6)+ (ROUNDUP(R$14/$F40,0)*$D$11))*(1+$D$7))</f>
        <v>425000</v>
      </c>
      <c r="S40" s="7">
        <f>LamChanHangNgan((PhiMayCatDecalVuong(S$14,$D40,$E40)+ PhiMayInToner4M(ROUNDUP(S$14/$F40,0)*$E$6)+ (ROUNDUP(S$14/$F40,0)*$D$11))*(1+$D$7))</f>
        <v>498000</v>
      </c>
      <c r="T40" s="7">
        <f>LamChanHangNgan((PhiMayCatDecalVuong(T$14,$D40,$E40)+ PhiMayInToner4M(ROUNDUP(T$14/$F40,0)*$E$6)+ (ROUNDUP(T$14/$F40,0)*$D$11))*(1+$D$7))</f>
        <v>571000</v>
      </c>
      <c r="U40" s="7">
        <f>LamChanHangNgan((PhiMayCatDecalVuong(U$14,$D40,$E40)+ PhiMayInToner4M(ROUNDUP(U$14/$F40,0)*$E$6)+ (ROUNDUP(U$14/$F40,0)*$D$11))*(1+$D$7))</f>
        <v>645000</v>
      </c>
      <c r="V40" s="7">
        <f>LamChanHangNgan((PhiMayCatDecalVuong(V$14,$D40,$E40)+ PhiMayInToner4M(ROUNDUP(V$14/$F40,0)*$E$6)+ (ROUNDUP(V$14/$F40,0)*$D$11))*(1+$D$7))</f>
        <v>718000</v>
      </c>
      <c r="W40" s="7">
        <f>LamChanHangNgan((PhiMayCatDecalVuong(W$14,$D40,$E40)+ PhiMayInToner4M(ROUNDUP(W$14/$F40,0)*$E$6)+ (ROUNDUP(W$14/$F40,0)*$D$11))*(1+$D$7))</f>
        <v>791000</v>
      </c>
      <c r="X40" s="7">
        <f>LamChanHangNgan((PhiMayCatDecalVuong(X$14,$D40,$E40)+ PhiMayInToner4M(ROUNDUP(X$14/$F40,0)*$E$6)+ (ROUNDUP(X$14/$F40,0)*$D$11))*(1+$D$7))</f>
        <v>864000</v>
      </c>
      <c r="Y40" s="7">
        <f>LamChanHangNgan((PhiMayCatDecalVuong(Y$14,$D40,$E40)+ PhiMayInToner4M(ROUNDUP(Y$14/$F40,0)*$E$6)+ (ROUNDUP(Y$14/$F40,0)*$D$11))*(1+$D$7))</f>
        <v>1596000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4">
        <f t="shared" si="4"/>
        <v>24</v>
      </c>
      <c r="G41" s="7">
        <f>LamChanHangNgan((PhiMayCatDecalVuong(G$14,$D41,$E41)+ PhiMayInToner4M(ROUNDUP(G$14/$F41,0)*$E$6)+ (ROUNDUP(G$14/$F41,0)*$D$11))*(1+$D$7))</f>
        <v>150000</v>
      </c>
      <c r="H41" s="7">
        <f>LamChanHangNgan((PhiMayCatDecalVuong(H$14,$D41,$E41)+ PhiMayInToner4M(ROUNDUP(H$14/$F41,0)*$E$6)+ (ROUNDUP(H$14/$F41,0)*$D$11))*(1+$D$7))</f>
        <v>165000</v>
      </c>
      <c r="I41" s="7">
        <f>LamChanHangNgan((PhiMayCatDecalVuong(I$14,$D41,$E41)+ PhiMayInToner4M(ROUNDUP(I$14/$F41,0)*$E$6)+ (ROUNDUP(I$14/$F41,0)*$D$11))*(1+$D$7))</f>
        <v>180000</v>
      </c>
      <c r="J41" s="7">
        <f>LamChanHangNgan((PhiMayCatDecalVuong(J$14,$D41,$E41)+ PhiMayInToner4M(ROUNDUP(J$14/$F41,0)*$E$6)+ (ROUNDUP(J$14/$F41,0)*$D$11))*(1+$D$7))</f>
        <v>194000</v>
      </c>
      <c r="K41" s="7">
        <f>LamChanHangNgan((PhiMayCatDecalVuong(K$14,$D41,$E41)+ PhiMayInToner4M(ROUNDUP(K$14/$F41,0)*$E$6)+ (ROUNDUP(K$14/$F41,0)*$D$11))*(1+$D$7))</f>
        <v>209000</v>
      </c>
      <c r="L41" s="7">
        <f>LamChanHangNgan((PhiMayCatDecalVuong(L$14,$D41,$E41)+ PhiMayInToner4M(ROUNDUP(L$14/$F41,0)*$E$6)+ (ROUNDUP(L$14/$F41,0)*$D$11))*(1+$D$7))</f>
        <v>224000</v>
      </c>
      <c r="M41" s="7">
        <f>LamChanHangNgan((PhiMayCatDecalVuong(M$14,$D41,$E41)+ PhiMayInToner4M(ROUNDUP(M$14/$F41,0)*$E$6)+ (ROUNDUP(M$14/$F41,0)*$D$11))*(1+$D$7))</f>
        <v>242000</v>
      </c>
      <c r="N41" s="7">
        <f>LamChanHangNgan((PhiMayCatDecalVuong(N$14,$D41,$E41)+ PhiMayInToner4M(ROUNDUP(N$14/$F41,0)*$E$6)+ (ROUNDUP(N$14/$F41,0)*$D$11))*(1+$D$7))</f>
        <v>257000</v>
      </c>
      <c r="O41" s="7">
        <f>LamChanHangNgan((PhiMayCatDecalVuong(O$14,$D41,$E41)+ PhiMayInToner4M(ROUNDUP(O$14/$F41,0)*$E$6)+ (ROUNDUP(O$14/$F41,0)*$D$11))*(1+$D$7))</f>
        <v>271000</v>
      </c>
      <c r="P41" s="7">
        <f>LamChanHangNgan((PhiMayCatDecalVuong(P$14,$D41,$E41)+ PhiMayInToner4M(ROUNDUP(P$14/$F41,0)*$E$6)+ (ROUNDUP(P$14/$F41,0)*$D$11))*(1+$D$7))</f>
        <v>286000</v>
      </c>
      <c r="Q41" s="7">
        <f>LamChanHangNgan((PhiMayCatDecalVuong(Q$14,$D41,$E41)+ PhiMayInToner4M(ROUNDUP(Q$14/$F41,0)*$E$6)+ (ROUNDUP(Q$14/$F41,0)*$D$11))*(1+$D$7))</f>
        <v>363000</v>
      </c>
      <c r="R41" s="7">
        <f>LamChanHangNgan((PhiMayCatDecalVuong(R$14,$D41,$E41)+ PhiMayInToner4M(ROUNDUP(R$14/$F41,0)*$E$6)+ (ROUNDUP(R$14/$F41,0)*$D$11))*(1+$D$7))</f>
        <v>440000</v>
      </c>
      <c r="S41" s="7">
        <f>LamChanHangNgan((PhiMayCatDecalVuong(S$14,$D41,$E41)+ PhiMayInToner4M(ROUNDUP(S$14/$F41,0)*$E$6)+ (ROUNDUP(S$14/$F41,0)*$D$11))*(1+$D$7))</f>
        <v>517000</v>
      </c>
      <c r="T41" s="7">
        <f>LamChanHangNgan((PhiMayCatDecalVuong(T$14,$D41,$E41)+ PhiMayInToner4M(ROUNDUP(T$14/$F41,0)*$E$6)+ (ROUNDUP(T$14/$F41,0)*$D$11))*(1+$D$7))</f>
        <v>590000</v>
      </c>
      <c r="U41" s="7">
        <f>LamChanHangNgan((PhiMayCatDecalVuong(U$14,$D41,$E41)+ PhiMayInToner4M(ROUNDUP(U$14/$F41,0)*$E$6)+ (ROUNDUP(U$14/$F41,0)*$D$11))*(1+$D$7))</f>
        <v>667000</v>
      </c>
      <c r="V41" s="7">
        <f>LamChanHangNgan((PhiMayCatDecalVuong(V$14,$D41,$E41)+ PhiMayInToner4M(ROUNDUP(V$14/$F41,0)*$E$6)+ (ROUNDUP(V$14/$F41,0)*$D$11))*(1+$D$7))</f>
        <v>744000</v>
      </c>
      <c r="W41" s="7">
        <f>LamChanHangNgan((PhiMayCatDecalVuong(W$14,$D41,$E41)+ PhiMayInToner4M(ROUNDUP(W$14/$F41,0)*$E$6)+ (ROUNDUP(W$14/$F41,0)*$D$11))*(1+$D$7))</f>
        <v>821000</v>
      </c>
      <c r="X41" s="7">
        <f>LamChanHangNgan((PhiMayCatDecalVuong(X$14,$D41,$E41)+ PhiMayInToner4M(ROUNDUP(X$14/$F41,0)*$E$6)+ (ROUNDUP(X$14/$F41,0)*$D$11))*(1+$D$7))</f>
        <v>898000</v>
      </c>
      <c r="Y41" s="7">
        <f>LamChanHangNgan((PhiMayCatDecalVuong(Y$14,$D41,$E41)+ PhiMayInToner4M(ROUNDUP(Y$14/$F41,0)*$E$6)+ (ROUNDUP(Y$14/$F41,0)*$D$11))*(1+$D$7))</f>
        <v>1660000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A4" workbookViewId="0">
      <selection activeCell="P18" sqref="P18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475</v>
      </c>
      <c r="E14" s="2" t="s">
        <v>476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4">
        <f t="shared" ref="F15:F22" si="2">SoConTrenToLon($C$5,$D$5,$D15,$E15)</f>
        <v>357</v>
      </c>
      <c r="G15" s="7">
        <f>LamChanHangNgan((PhiMayCatDecalTron(G$14,$D15)+ PhiMayInToner4M(ROUNDUP(G$14/$F15,0)*$E$6)+ (ROUNDUP(G$14/$F15,0)*$D$11))*(1+$D$7))</f>
        <v>136000</v>
      </c>
      <c r="H15" s="7">
        <f>LamChanHangNgan((PhiMayCatDecalTron(H$14,$D15)+ PhiMayInToner4M(ROUNDUP(H$14/$F15,0)*$E$6)+ (ROUNDUP(H$14/$F15,0)*$D$11))*(1+$D$7))</f>
        <v>136000</v>
      </c>
      <c r="I15" s="7">
        <f>LamChanHangNgan((PhiMayCatDecalTron(I$14,$D15)+ PhiMayInToner4M(ROUNDUP(I$14/$F15,0)*$E$6)+ (ROUNDUP(I$14/$F15,0)*$D$11))*(1+$D$7))</f>
        <v>136000</v>
      </c>
      <c r="J15" s="7">
        <f>LamChanHangNgan((PhiMayCatDecalTron(J$14,$D15)+ PhiMayInToner4M(ROUNDUP(J$14/$F15,0)*$E$6)+ (ROUNDUP(J$14/$F15,0)*$D$11))*(1+$D$7))</f>
        <v>140000</v>
      </c>
      <c r="K15" s="7">
        <f>LamChanHangNgan((PhiMayCatDecalTron(K$14,$D15)+ PhiMayInToner4M(ROUNDUP(K$14/$F15,0)*$E$6)+ (ROUNDUP(K$14/$F15,0)*$D$11))*(1+$D$7))</f>
        <v>140000</v>
      </c>
      <c r="L15" s="7">
        <f>LamChanHangNgan((PhiMayCatDecalTron(L$14,$D15)+ PhiMayInToner4M(ROUNDUP(L$14/$F15,0)*$E$6)+ (ROUNDUP(L$14/$F15,0)*$D$11))*(1+$D$7))</f>
        <v>140000</v>
      </c>
      <c r="M15" s="7">
        <f>LamChanHangNgan((PhiMayCatDecalTron(M$14,$D15)+ PhiMayInToner4M(ROUNDUP(M$14/$F15,0)*$E$6)+ (ROUNDUP(M$14/$F15,0)*$D$11))*(1+$D$7))</f>
        <v>141000</v>
      </c>
      <c r="N15" s="7">
        <f>LamChanHangNgan((PhiMayCatDecalTron(N$14,$D15)+ PhiMayInToner4M(ROUNDUP(N$14/$F15,0)*$E$6)+ (ROUNDUP(N$14/$F15,0)*$D$11))*(1+$D$7))</f>
        <v>144000</v>
      </c>
      <c r="O15" s="7">
        <f>LamChanHangNgan((PhiMayCatDecalTron(O$14,$D15)+ PhiMayInToner4M(ROUNDUP(O$14/$F15,0)*$E$6)+ (ROUNDUP(O$14/$F15,0)*$D$11))*(1+$D$7))</f>
        <v>144000</v>
      </c>
      <c r="P15" s="7">
        <f>LamChanHangNgan((PhiMayCatDecalTron(P$14,$D15)+ PhiMayInToner4M(ROUNDUP(P$14/$F15,0)*$E$6)+ (ROUNDUP(P$14/$F15,0)*$D$11))*(1+$D$7))</f>
        <v>145000</v>
      </c>
      <c r="Q15" s="7">
        <f>LamChanHangNgan((PhiMayCatDecalTron(Q$14,$D15)+ PhiMayInToner4M(ROUNDUP(Q$14/$F15,0)*$E$6)+ (ROUNDUP(Q$14/$F15,0)*$D$11))*(1+$D$7))</f>
        <v>153000</v>
      </c>
      <c r="R15" s="7">
        <f>LamChanHangNgan((PhiMayCatDecalTron(R$14,$D15)+ PhiMayInToner4M(ROUNDUP(R$14/$F15,0)*$E$6)+ (ROUNDUP(R$14/$F15,0)*$D$11))*(1+$D$7))</f>
        <v>157000</v>
      </c>
      <c r="S15" s="7">
        <f>LamChanHangNgan((PhiMayCatDecalTron(S$14,$D15)+ PhiMayInToner4M(ROUNDUP(S$14/$F15,0)*$E$6)+ (ROUNDUP(S$14/$F15,0)*$D$11))*(1+$D$7))</f>
        <v>165000</v>
      </c>
      <c r="T15" s="7">
        <f>LamChanHangNgan((PhiMayCatDecalTron(T$14,$D15)+ PhiMayInToner4M(ROUNDUP(T$14/$F15,0)*$E$6)+ (ROUNDUP(T$14/$F15,0)*$D$11))*(1+$D$7))</f>
        <v>170000</v>
      </c>
      <c r="U15" s="7">
        <f>LamChanHangNgan((PhiMayCatDecalTron(U$14,$D15)+ PhiMayInToner4M(ROUNDUP(U$14/$F15,0)*$E$6)+ (ROUNDUP(U$14/$F15,0)*$D$11))*(1+$D$7))</f>
        <v>174000</v>
      </c>
      <c r="V15" s="7">
        <f>LamChanHangNgan((PhiMayCatDecalTron(V$14,$D15)+ PhiMayInToner4M(ROUNDUP(V$14/$F15,0)*$E$6)+ (ROUNDUP(V$14/$F15,0)*$D$11))*(1+$D$7))</f>
        <v>182000</v>
      </c>
      <c r="W15" s="7">
        <f>LamChanHangNgan((PhiMayCatDecalTron(W$14,$D15)+ PhiMayInToner4M(ROUNDUP(W$14/$F15,0)*$E$6)+ (ROUNDUP(W$14/$F15,0)*$D$11))*(1+$D$7))</f>
        <v>186000</v>
      </c>
      <c r="X15" s="7">
        <f>LamChanHangNgan((PhiMayCatDecalTron(X$14,$D15)+ PhiMayInToner4M(ROUNDUP(X$14/$F15,0)*$E$6)+ (ROUNDUP(X$14/$F15,0)*$D$11))*(1+$D$7))</f>
        <v>194000</v>
      </c>
      <c r="Y15" s="7">
        <f>LamChanHangNgan((PhiMayCatDecalTron(Y$14,$D15)+ PhiMayInToner4M(ROUNDUP(Y$14/$F15,0)*$E$6)+ (ROUNDUP(Y$14/$F15,0)*$D$11))*(1+$D$7))</f>
        <v>253000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4">
        <f t="shared" si="2"/>
        <v>238</v>
      </c>
      <c r="G16" s="7">
        <f>LamChanHangNgan((PhiMayCatDecalTron(G$14,$D16)+ PhiMayInToner4M(ROUNDUP(G$14/$F16,0)*$E$6)+ (ROUNDUP(G$14/$F16,0)*$D$11))*(1+$D$7))</f>
        <v>136000</v>
      </c>
      <c r="H16" s="7">
        <f>LamChanHangNgan((PhiMayCatDecalTron(H$14,$D16)+ PhiMayInToner4M(ROUNDUP(H$14/$F16,0)*$E$6)+ (ROUNDUP(H$14/$F16,0)*$D$11))*(1+$D$7))</f>
        <v>136000</v>
      </c>
      <c r="I16" s="7">
        <f>LamChanHangNgan((PhiMayCatDecalTron(I$14,$D16)+ PhiMayInToner4M(ROUNDUP(I$14/$F16,0)*$E$6)+ (ROUNDUP(I$14/$F16,0)*$D$11))*(1+$D$7))</f>
        <v>140000</v>
      </c>
      <c r="J16" s="7">
        <f>LamChanHangNgan((PhiMayCatDecalTron(J$14,$D16)+ PhiMayInToner4M(ROUNDUP(J$14/$F16,0)*$E$6)+ (ROUNDUP(J$14/$F16,0)*$D$11))*(1+$D$7))</f>
        <v>140000</v>
      </c>
      <c r="K16" s="7">
        <f>LamChanHangNgan((PhiMayCatDecalTron(K$14,$D16)+ PhiMayInToner4M(ROUNDUP(K$14/$F16,0)*$E$6)+ (ROUNDUP(K$14/$F16,0)*$D$11))*(1+$D$7))</f>
        <v>144000</v>
      </c>
      <c r="L16" s="7">
        <f>LamChanHangNgan((PhiMayCatDecalTron(L$14,$D16)+ PhiMayInToner4M(ROUNDUP(L$14/$F16,0)*$E$6)+ (ROUNDUP(L$14/$F16,0)*$D$11))*(1+$D$7))</f>
        <v>144000</v>
      </c>
      <c r="M16" s="7">
        <f>LamChanHangNgan((PhiMayCatDecalTron(M$14,$D16)+ PhiMayInToner4M(ROUNDUP(M$14/$F16,0)*$E$6)+ (ROUNDUP(M$14/$F16,0)*$D$11))*(1+$D$7))</f>
        <v>144000</v>
      </c>
      <c r="N16" s="7">
        <f>LamChanHangNgan((PhiMayCatDecalTron(N$14,$D16)+ PhiMayInToner4M(ROUNDUP(N$14/$F16,0)*$E$6)+ (ROUNDUP(N$14/$F16,0)*$D$11))*(1+$D$7))</f>
        <v>148000</v>
      </c>
      <c r="O16" s="7">
        <f>LamChanHangNgan((PhiMayCatDecalTron(O$14,$D16)+ PhiMayInToner4M(ROUNDUP(O$14/$F16,0)*$E$6)+ (ROUNDUP(O$14/$F16,0)*$D$11))*(1+$D$7))</f>
        <v>148000</v>
      </c>
      <c r="P16" s="7">
        <f>LamChanHangNgan((PhiMayCatDecalTron(P$14,$D16)+ PhiMayInToner4M(ROUNDUP(P$14/$F16,0)*$E$6)+ (ROUNDUP(P$14/$F16,0)*$D$11))*(1+$D$7))</f>
        <v>152000</v>
      </c>
      <c r="Q16" s="7">
        <f>LamChanHangNgan((PhiMayCatDecalTron(Q$14,$D16)+ PhiMayInToner4M(ROUNDUP(Q$14/$F16,0)*$E$6)+ (ROUNDUP(Q$14/$F16,0)*$D$11))*(1+$D$7))</f>
        <v>160000</v>
      </c>
      <c r="R16" s="7">
        <f>LamChanHangNgan((PhiMayCatDecalTron(R$14,$D16)+ PhiMayInToner4M(ROUNDUP(R$14/$F16,0)*$E$6)+ (ROUNDUP(R$14/$F16,0)*$D$11))*(1+$D$7))</f>
        <v>168000</v>
      </c>
      <c r="S16" s="7">
        <f>LamChanHangNgan((PhiMayCatDecalTron(S$14,$D16)+ PhiMayInToner4M(ROUNDUP(S$14/$F16,0)*$E$6)+ (ROUNDUP(S$14/$F16,0)*$D$11))*(1+$D$7))</f>
        <v>177000</v>
      </c>
      <c r="T16" s="7">
        <f>LamChanHangNgan((PhiMayCatDecalTron(T$14,$D16)+ PhiMayInToner4M(ROUNDUP(T$14/$F16,0)*$E$6)+ (ROUNDUP(T$14/$F16,0)*$D$11))*(1+$D$7))</f>
        <v>185000</v>
      </c>
      <c r="U16" s="7">
        <f>LamChanHangNgan((PhiMayCatDecalTron(U$14,$D16)+ PhiMayInToner4M(ROUNDUP(U$14/$F16,0)*$E$6)+ (ROUNDUP(U$14/$F16,0)*$D$11))*(1+$D$7))</f>
        <v>193000</v>
      </c>
      <c r="V16" s="7">
        <f>LamChanHangNgan((PhiMayCatDecalTron(V$14,$D16)+ PhiMayInToner4M(ROUNDUP(V$14/$F16,0)*$E$6)+ (ROUNDUP(V$14/$F16,0)*$D$11))*(1+$D$7))</f>
        <v>201000</v>
      </c>
      <c r="W16" s="7">
        <f>LamChanHangNgan((PhiMayCatDecalTron(W$14,$D16)+ PhiMayInToner4M(ROUNDUP(W$14/$F16,0)*$E$6)+ (ROUNDUP(W$14/$F16,0)*$D$11))*(1+$D$7))</f>
        <v>209000</v>
      </c>
      <c r="X16" s="7">
        <f>LamChanHangNgan((PhiMayCatDecalTron(X$14,$D16)+ PhiMayInToner4M(ROUNDUP(X$14/$F16,0)*$E$6)+ (ROUNDUP(X$14/$F16,0)*$D$11))*(1+$D$7))</f>
        <v>221000</v>
      </c>
      <c r="Y16" s="7">
        <f>LamChanHangNgan((PhiMayCatDecalTron(Y$14,$D16)+ PhiMayInToner4M(ROUNDUP(Y$14/$F16,0)*$E$6)+ (ROUNDUP(Y$14/$F16,0)*$D$11))*(1+$D$7))</f>
        <v>307000</v>
      </c>
    </row>
    <row r="17" spans="1:25" x14ac:dyDescent="0.25">
      <c r="A17" s="1" t="s">
        <v>450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4">
        <f t="shared" si="2"/>
        <v>180</v>
      </c>
      <c r="G17" s="7">
        <f>LamChanHangNgan((PhiMayCatDecalTron(G$14,$D17)+ PhiMayInToner4M(ROUNDUP(G$14/$F17,0)*$E$6)+ (ROUNDUP(G$14/$F17,0)*$D$11))*(1+$D$7))</f>
        <v>136000</v>
      </c>
      <c r="H17" s="7">
        <f>LamChanHangNgan((PhiMayCatDecalTron(H$14,$D17)+ PhiMayInToner4M(ROUNDUP(H$14/$F17,0)*$E$6)+ (ROUNDUP(H$14/$F17,0)*$D$11))*(1+$D$7))</f>
        <v>140000</v>
      </c>
      <c r="I17" s="7">
        <f>LamChanHangNgan((PhiMayCatDecalTron(I$14,$D17)+ PhiMayInToner4M(ROUNDUP(I$14/$F17,0)*$E$6)+ (ROUNDUP(I$14/$F17,0)*$D$11))*(1+$D$7))</f>
        <v>140000</v>
      </c>
      <c r="J17" s="7">
        <f>LamChanHangNgan((PhiMayCatDecalTron(J$14,$D17)+ PhiMayInToner4M(ROUNDUP(J$14/$F17,0)*$E$6)+ (ROUNDUP(J$14/$F17,0)*$D$11))*(1+$D$7))</f>
        <v>144000</v>
      </c>
      <c r="K17" s="7">
        <f>LamChanHangNgan((PhiMayCatDecalTron(K$14,$D17)+ PhiMayInToner4M(ROUNDUP(K$14/$F17,0)*$E$6)+ (ROUNDUP(K$14/$F17,0)*$D$11))*(1+$D$7))</f>
        <v>144000</v>
      </c>
      <c r="L17" s="7">
        <f>LamChanHangNgan((PhiMayCatDecalTron(L$14,$D17)+ PhiMayInToner4M(ROUNDUP(L$14/$F17,0)*$E$6)+ (ROUNDUP(L$14/$F17,0)*$D$11))*(1+$D$7))</f>
        <v>148000</v>
      </c>
      <c r="M17" s="7">
        <f>LamChanHangNgan((PhiMayCatDecalTron(M$14,$D17)+ PhiMayInToner4M(ROUNDUP(M$14/$F17,0)*$E$6)+ (ROUNDUP(M$14/$F17,0)*$D$11))*(1+$D$7))</f>
        <v>148000</v>
      </c>
      <c r="N17" s="7">
        <f>LamChanHangNgan((PhiMayCatDecalTron(N$14,$D17)+ PhiMayInToner4M(ROUNDUP(N$14/$F17,0)*$E$6)+ (ROUNDUP(N$14/$F17,0)*$D$11))*(1+$D$7))</f>
        <v>152000</v>
      </c>
      <c r="O17" s="7">
        <f>LamChanHangNgan((PhiMayCatDecalTron(O$14,$D17)+ PhiMayInToner4M(ROUNDUP(O$14/$F17,0)*$E$6)+ (ROUNDUP(O$14/$F17,0)*$D$11))*(1+$D$7))</f>
        <v>152000</v>
      </c>
      <c r="P17" s="7">
        <f>LamChanHangNgan((PhiMayCatDecalTron(P$14,$D17)+ PhiMayInToner4M(ROUNDUP(P$14/$F17,0)*$E$6)+ (ROUNDUP(P$14/$F17,0)*$D$11))*(1+$D$7))</f>
        <v>156000</v>
      </c>
      <c r="Q17" s="7">
        <f>LamChanHangNgan((PhiMayCatDecalTron(Q$14,$D17)+ PhiMayInToner4M(ROUNDUP(Q$14/$F17,0)*$E$6)+ (ROUNDUP(Q$14/$F17,0)*$D$11))*(1+$D$7))</f>
        <v>168000</v>
      </c>
      <c r="R17" s="7">
        <f>LamChanHangNgan((PhiMayCatDecalTron(R$14,$D17)+ PhiMayInToner4M(ROUNDUP(R$14/$F17,0)*$E$6)+ (ROUNDUP(R$14/$F17,0)*$D$11))*(1+$D$7))</f>
        <v>180000</v>
      </c>
      <c r="S17" s="7">
        <f>LamChanHangNgan((PhiMayCatDecalTron(S$14,$D17)+ PhiMayInToner4M(ROUNDUP(S$14/$F17,0)*$E$6)+ (ROUNDUP(S$14/$F17,0)*$D$11))*(1+$D$7))</f>
        <v>188000</v>
      </c>
      <c r="T17" s="7">
        <f>LamChanHangNgan((PhiMayCatDecalTron(T$14,$D17)+ PhiMayInToner4M(ROUNDUP(T$14/$F17,0)*$E$6)+ (ROUNDUP(T$14/$F17,0)*$D$11))*(1+$D$7))</f>
        <v>200000</v>
      </c>
      <c r="U17" s="7">
        <f>LamChanHangNgan((PhiMayCatDecalTron(U$14,$D17)+ PhiMayInToner4M(ROUNDUP(U$14/$F17,0)*$E$6)+ (ROUNDUP(U$14/$F17,0)*$D$11))*(1+$D$7))</f>
        <v>212000</v>
      </c>
      <c r="V17" s="7">
        <f>LamChanHangNgan((PhiMayCatDecalTron(V$14,$D17)+ PhiMayInToner4M(ROUNDUP(V$14/$F17,0)*$E$6)+ (ROUNDUP(V$14/$F17,0)*$D$11))*(1+$D$7))</f>
        <v>224000</v>
      </c>
      <c r="W17" s="7">
        <f>LamChanHangNgan((PhiMayCatDecalTron(W$14,$D17)+ PhiMayInToner4M(ROUNDUP(W$14/$F17,0)*$E$6)+ (ROUNDUP(W$14/$F17,0)*$D$11))*(1+$D$7))</f>
        <v>232000</v>
      </c>
      <c r="X17" s="7">
        <f>LamChanHangNgan((PhiMayCatDecalTron(X$14,$D17)+ PhiMayInToner4M(ROUNDUP(X$14/$F17,0)*$E$6)+ (ROUNDUP(X$14/$F17,0)*$D$11))*(1+$D$7))</f>
        <v>244000</v>
      </c>
      <c r="Y17" s="7">
        <f>LamChanHangNgan((PhiMayCatDecalTron(Y$14,$D17)+ PhiMayInToner4M(ROUNDUP(Y$14/$F17,0)*$E$6)+ (ROUNDUP(Y$14/$F17,0)*$D$11))*(1+$D$7))</f>
        <v>355000</v>
      </c>
    </row>
    <row r="18" spans="1:25" ht="30" x14ac:dyDescent="0.25">
      <c r="A18" s="2" t="s">
        <v>451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4">
        <f t="shared" si="2"/>
        <v>130</v>
      </c>
      <c r="G18" s="7">
        <f>LamChanHangNgan((PhiMayCatDecalTron(G$14,$D18)+ PhiMayInToner4M(ROUNDUP(G$14/$F18,0)*$E$6)+ (ROUNDUP(G$14/$F18,0)*$D$11))*(1+$D$7))</f>
        <v>136000</v>
      </c>
      <c r="H18" s="7">
        <f>LamChanHangNgan((PhiMayCatDecalTron(H$14,$D18)+ PhiMayInToner4M(ROUNDUP(H$14/$F18,0)*$E$6)+ (ROUNDUP(H$14/$F18,0)*$D$11))*(1+$D$7))</f>
        <v>140000</v>
      </c>
      <c r="I18" s="7">
        <f>LamChanHangNgan((PhiMayCatDecalTron(I$14,$D18)+ PhiMayInToner4M(ROUNDUP(I$14/$F18,0)*$E$6)+ (ROUNDUP(I$14/$F18,0)*$D$11))*(1+$D$7))</f>
        <v>144000</v>
      </c>
      <c r="J18" s="7">
        <f>LamChanHangNgan((PhiMayCatDecalTron(J$14,$D18)+ PhiMayInToner4M(ROUNDUP(J$14/$F18,0)*$E$6)+ (ROUNDUP(J$14/$F18,0)*$D$11))*(1+$D$7))</f>
        <v>148000</v>
      </c>
      <c r="K18" s="7">
        <f>LamChanHangNgan((PhiMayCatDecalTron(K$14,$D18)+ PhiMayInToner4M(ROUNDUP(K$14/$F18,0)*$E$6)+ (ROUNDUP(K$14/$F18,0)*$D$11))*(1+$D$7))</f>
        <v>148000</v>
      </c>
      <c r="L18" s="7">
        <f>LamChanHangNgan((PhiMayCatDecalTron(L$14,$D18)+ PhiMayInToner4M(ROUNDUP(L$14/$F18,0)*$E$6)+ (ROUNDUP(L$14/$F18,0)*$D$11))*(1+$D$7))</f>
        <v>152000</v>
      </c>
      <c r="M18" s="7">
        <f>LamChanHangNgan((PhiMayCatDecalTron(M$14,$D18)+ PhiMayInToner4M(ROUNDUP(M$14/$F18,0)*$E$6)+ (ROUNDUP(M$14/$F18,0)*$D$11))*(1+$D$7))</f>
        <v>156000</v>
      </c>
      <c r="N18" s="7">
        <f>LamChanHangNgan((PhiMayCatDecalTron(N$14,$D18)+ PhiMayInToner4M(ROUNDUP(N$14/$F18,0)*$E$6)+ (ROUNDUP(N$14/$F18,0)*$D$11))*(1+$D$7))</f>
        <v>159000</v>
      </c>
      <c r="O18" s="7">
        <f>LamChanHangNgan((PhiMayCatDecalTron(O$14,$D18)+ PhiMayInToner4M(ROUNDUP(O$14/$F18,0)*$E$6)+ (ROUNDUP(O$14/$F18,0)*$D$11))*(1+$D$7))</f>
        <v>160000</v>
      </c>
      <c r="P18" s="7">
        <f>LamChanHangNgan((PhiMayCatDecalTron(P$14,$D18)+ PhiMayInToner4M(ROUNDUP(P$14/$F18,0)*$E$6)+ (ROUNDUP(P$14/$F18,0)*$D$11))*(1+$D$7))</f>
        <v>163000</v>
      </c>
      <c r="Q18" s="7">
        <f>LamChanHangNgan((PhiMayCatDecalTron(Q$14,$D18)+ PhiMayInToner4M(ROUNDUP(Q$14/$F18,0)*$E$6)+ (ROUNDUP(Q$14/$F18,0)*$D$11))*(1+$D$7))</f>
        <v>179000</v>
      </c>
      <c r="R18" s="7">
        <f>LamChanHangNgan((PhiMayCatDecalTron(R$14,$D18)+ PhiMayInToner4M(ROUNDUP(R$14/$F18,0)*$E$6)+ (ROUNDUP(R$14/$F18,0)*$D$11))*(1+$D$7))</f>
        <v>195000</v>
      </c>
      <c r="S18" s="7">
        <f>LamChanHangNgan((PhiMayCatDecalTron(S$14,$D18)+ PhiMayInToner4M(ROUNDUP(S$14/$F18,0)*$E$6)+ (ROUNDUP(S$14/$F18,0)*$D$11))*(1+$D$7))</f>
        <v>210000</v>
      </c>
      <c r="T18" s="7">
        <f>LamChanHangNgan((PhiMayCatDecalTron(T$14,$D18)+ PhiMayInToner4M(ROUNDUP(T$14/$F18,0)*$E$6)+ (ROUNDUP(T$14/$F18,0)*$D$11))*(1+$D$7))</f>
        <v>226000</v>
      </c>
      <c r="U18" s="7">
        <f>LamChanHangNgan((PhiMayCatDecalTron(U$14,$D18)+ PhiMayInToner4M(ROUNDUP(U$14/$F18,0)*$E$6)+ (ROUNDUP(U$14/$F18,0)*$D$11))*(1+$D$7))</f>
        <v>238000</v>
      </c>
      <c r="V18" s="7">
        <f>LamChanHangNgan((PhiMayCatDecalTron(V$14,$D18)+ PhiMayInToner4M(ROUNDUP(V$14/$F18,0)*$E$6)+ (ROUNDUP(V$14/$F18,0)*$D$11))*(1+$D$7))</f>
        <v>254000</v>
      </c>
      <c r="W18" s="7">
        <f>LamChanHangNgan((PhiMayCatDecalTron(W$14,$D18)+ PhiMayInToner4M(ROUNDUP(W$14/$F18,0)*$E$6)+ (ROUNDUP(W$14/$F18,0)*$D$11))*(1+$D$7))</f>
        <v>269000</v>
      </c>
      <c r="X18" s="7">
        <f>LamChanHangNgan((PhiMayCatDecalTron(X$14,$D18)+ PhiMayInToner4M(ROUNDUP(X$14/$F18,0)*$E$6)+ (ROUNDUP(X$14/$F18,0)*$D$11))*(1+$D$7))</f>
        <v>285000</v>
      </c>
      <c r="Y18" s="7">
        <f>LamChanHangNgan((PhiMayCatDecalTron(Y$14,$D18)+ PhiMayInToner4M(ROUNDUP(Y$14/$F18,0)*$E$6)+ (ROUNDUP(Y$14/$F18,0)*$D$11))*(1+$D$7))</f>
        <v>434000</v>
      </c>
    </row>
    <row r="19" spans="1:25" x14ac:dyDescent="0.25">
      <c r="A19" s="2" t="s">
        <v>452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4">
        <f t="shared" si="2"/>
        <v>99</v>
      </c>
      <c r="G19" s="7">
        <f>LamChanHangNgan((PhiMayCatDecalTron(G$14,$D19)+ PhiMayInToner4M(ROUNDUP(G$14/$F19,0)*$E$6)+ (ROUNDUP(G$14/$F19,0)*$D$11))*(1+$D$7))</f>
        <v>140000</v>
      </c>
      <c r="H19" s="7">
        <f>LamChanHangNgan((PhiMayCatDecalTron(H$14,$D19)+ PhiMayInToner4M(ROUNDUP(H$14/$F19,0)*$E$6)+ (ROUNDUP(H$14/$F19,0)*$D$11))*(1+$D$7))</f>
        <v>143000</v>
      </c>
      <c r="I19" s="7">
        <f>LamChanHangNgan((PhiMayCatDecalTron(I$14,$D19)+ PhiMayInToner4M(ROUNDUP(I$14/$F19,0)*$E$6)+ (ROUNDUP(I$14/$F19,0)*$D$11))*(1+$D$7))</f>
        <v>147000</v>
      </c>
      <c r="J19" s="7">
        <f>LamChanHangNgan((PhiMayCatDecalTron(J$14,$D19)+ PhiMayInToner4M(ROUNDUP(J$14/$F19,0)*$E$6)+ (ROUNDUP(J$14/$F19,0)*$D$11))*(1+$D$7))</f>
        <v>151000</v>
      </c>
      <c r="K19" s="7">
        <f>LamChanHangNgan((PhiMayCatDecalTron(K$14,$D19)+ PhiMayInToner4M(ROUNDUP(K$14/$F19,0)*$E$6)+ (ROUNDUP(K$14/$F19,0)*$D$11))*(1+$D$7))</f>
        <v>155000</v>
      </c>
      <c r="L19" s="7">
        <f>LamChanHangNgan((PhiMayCatDecalTron(L$14,$D19)+ PhiMayInToner4M(ROUNDUP(L$14/$F19,0)*$E$6)+ (ROUNDUP(L$14/$F19,0)*$D$11))*(1+$D$7))</f>
        <v>159000</v>
      </c>
      <c r="M19" s="7">
        <f>LamChanHangNgan((PhiMayCatDecalTron(M$14,$D19)+ PhiMayInToner4M(ROUNDUP(M$14/$F19,0)*$E$6)+ (ROUNDUP(M$14/$F19,0)*$D$11))*(1+$D$7))</f>
        <v>163000</v>
      </c>
      <c r="N19" s="7">
        <f>LamChanHangNgan((PhiMayCatDecalTron(N$14,$D19)+ PhiMayInToner4M(ROUNDUP(N$14/$F19,0)*$E$6)+ (ROUNDUP(N$14/$F19,0)*$D$11))*(1+$D$7))</f>
        <v>167000</v>
      </c>
      <c r="O19" s="7">
        <f>LamChanHangNgan((PhiMayCatDecalTron(O$14,$D19)+ PhiMayInToner4M(ROUNDUP(O$14/$F19,0)*$E$6)+ (ROUNDUP(O$14/$F19,0)*$D$11))*(1+$D$7))</f>
        <v>171000</v>
      </c>
      <c r="P19" s="7">
        <f>LamChanHangNgan((PhiMayCatDecalTron(P$14,$D19)+ PhiMayInToner4M(ROUNDUP(P$14/$F19,0)*$E$6)+ (ROUNDUP(P$14/$F19,0)*$D$11))*(1+$D$7))</f>
        <v>175000</v>
      </c>
      <c r="Q19" s="7">
        <f>LamChanHangNgan((PhiMayCatDecalTron(Q$14,$D19)+ PhiMayInToner4M(ROUNDUP(Q$14/$F19,0)*$E$6)+ (ROUNDUP(Q$14/$F19,0)*$D$11))*(1+$D$7))</f>
        <v>194000</v>
      </c>
      <c r="R19" s="7">
        <f>LamChanHangNgan((PhiMayCatDecalTron(R$14,$D19)+ PhiMayInToner4M(ROUNDUP(R$14/$F19,0)*$E$6)+ (ROUNDUP(R$14/$F19,0)*$D$11))*(1+$D$7))</f>
        <v>213000</v>
      </c>
      <c r="S19" s="7">
        <f>LamChanHangNgan((PhiMayCatDecalTron(S$14,$D19)+ PhiMayInToner4M(ROUNDUP(S$14/$F19,0)*$E$6)+ (ROUNDUP(S$14/$F19,0)*$D$11))*(1+$D$7))</f>
        <v>233000</v>
      </c>
      <c r="T19" s="7">
        <f>LamChanHangNgan((PhiMayCatDecalTron(T$14,$D19)+ PhiMayInToner4M(ROUNDUP(T$14/$F19,0)*$E$6)+ (ROUNDUP(T$14/$F19,0)*$D$11))*(1+$D$7))</f>
        <v>252000</v>
      </c>
      <c r="U19" s="7">
        <f>LamChanHangNgan((PhiMayCatDecalTron(U$14,$D19)+ PhiMayInToner4M(ROUNDUP(U$14/$F19,0)*$E$6)+ (ROUNDUP(U$14/$F19,0)*$D$11))*(1+$D$7))</f>
        <v>272000</v>
      </c>
      <c r="V19" s="7">
        <f>LamChanHangNgan((PhiMayCatDecalTron(V$14,$D19)+ PhiMayInToner4M(ROUNDUP(V$14/$F19,0)*$E$6)+ (ROUNDUP(V$14/$F19,0)*$D$11))*(1+$D$7))</f>
        <v>291000</v>
      </c>
      <c r="W19" s="7">
        <f>LamChanHangNgan((PhiMayCatDecalTron(W$14,$D19)+ PhiMayInToner4M(ROUNDUP(W$14/$F19,0)*$E$6)+ (ROUNDUP(W$14/$F19,0)*$D$11))*(1+$D$7))</f>
        <v>310000</v>
      </c>
      <c r="X19" s="7">
        <f>LamChanHangNgan((PhiMayCatDecalTron(X$14,$D19)+ PhiMayInToner4M(ROUNDUP(X$14/$F19,0)*$E$6)+ (ROUNDUP(X$14/$F19,0)*$D$11))*(1+$D$7))</f>
        <v>330000</v>
      </c>
      <c r="Y19" s="7">
        <f>LamChanHangNgan((PhiMayCatDecalTron(Y$14,$D19)+ PhiMayInToner4M(ROUNDUP(Y$14/$F19,0)*$E$6)+ (ROUNDUP(Y$14/$F19,0)*$D$11))*(1+$D$7))</f>
        <v>527000</v>
      </c>
    </row>
    <row r="20" spans="1:25" x14ac:dyDescent="0.25">
      <c r="A20" s="2" t="s">
        <v>453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4">
        <f t="shared" si="2"/>
        <v>72</v>
      </c>
      <c r="G20" s="7">
        <f>LamChanHangNgan((PhiMayCatDecalTron(G$14,$D20)+ PhiMayInToner4M(ROUNDUP(G$14/$F20,0)*$E$6)+ (ROUNDUP(G$14/$F20,0)*$D$11))*(1+$D$7))</f>
        <v>140000</v>
      </c>
      <c r="H20" s="7">
        <f>LamChanHangNgan((PhiMayCatDecalTron(H$14,$D20)+ PhiMayInToner4M(ROUNDUP(H$14/$F20,0)*$E$6)+ (ROUNDUP(H$14/$F20,0)*$D$11))*(1+$D$7))</f>
        <v>144000</v>
      </c>
      <c r="I20" s="7">
        <f>LamChanHangNgan((PhiMayCatDecalTron(I$14,$D20)+ PhiMayInToner4M(ROUNDUP(I$14/$F20,0)*$E$6)+ (ROUNDUP(I$14/$F20,0)*$D$11))*(1+$D$7))</f>
        <v>151000</v>
      </c>
      <c r="J20" s="7">
        <f>LamChanHangNgan((PhiMayCatDecalTron(J$14,$D20)+ PhiMayInToner4M(ROUNDUP(J$14/$F20,0)*$E$6)+ (ROUNDUP(J$14/$F20,0)*$D$11))*(1+$D$7))</f>
        <v>155000</v>
      </c>
      <c r="K20" s="7">
        <f>LamChanHangNgan((PhiMayCatDecalTron(K$14,$D20)+ PhiMayInToner4M(ROUNDUP(K$14/$F20,0)*$E$6)+ (ROUNDUP(K$14/$F20,0)*$D$11))*(1+$D$7))</f>
        <v>159000</v>
      </c>
      <c r="L20" s="7">
        <f>LamChanHangNgan((PhiMayCatDecalTron(L$14,$D20)+ PhiMayInToner4M(ROUNDUP(L$14/$F20,0)*$E$6)+ (ROUNDUP(L$14/$F20,0)*$D$11))*(1+$D$7))</f>
        <v>166000</v>
      </c>
      <c r="M20" s="7">
        <f>LamChanHangNgan((PhiMayCatDecalTron(M$14,$D20)+ PhiMayInToner4M(ROUNDUP(M$14/$F20,0)*$E$6)+ (ROUNDUP(M$14/$F20,0)*$D$11))*(1+$D$7))</f>
        <v>170000</v>
      </c>
      <c r="N20" s="7">
        <f>LamChanHangNgan((PhiMayCatDecalTron(N$14,$D20)+ PhiMayInToner4M(ROUNDUP(N$14/$F20,0)*$E$6)+ (ROUNDUP(N$14/$F20,0)*$D$11))*(1+$D$7))</f>
        <v>178000</v>
      </c>
      <c r="O20" s="7">
        <f>LamChanHangNgan((PhiMayCatDecalTron(O$14,$D20)+ PhiMayInToner4M(ROUNDUP(O$14/$F20,0)*$E$6)+ (ROUNDUP(O$14/$F20,0)*$D$11))*(1+$D$7))</f>
        <v>182000</v>
      </c>
      <c r="P20" s="7">
        <f>LamChanHangNgan((PhiMayCatDecalTron(P$14,$D20)+ PhiMayInToner4M(ROUNDUP(P$14/$F20,0)*$E$6)+ (ROUNDUP(P$14/$F20,0)*$D$11))*(1+$D$7))</f>
        <v>186000</v>
      </c>
      <c r="Q20" s="7">
        <f>LamChanHangNgan((PhiMayCatDecalTron(Q$14,$D20)+ PhiMayInToner4M(ROUNDUP(Q$14/$F20,0)*$E$6)+ (ROUNDUP(Q$14/$F20,0)*$D$11))*(1+$D$7))</f>
        <v>212000</v>
      </c>
      <c r="R20" s="7">
        <f>LamChanHangNgan((PhiMayCatDecalTron(R$14,$D20)+ PhiMayInToner4M(ROUNDUP(R$14/$F20,0)*$E$6)+ (ROUNDUP(R$14/$F20,0)*$D$11))*(1+$D$7))</f>
        <v>239000</v>
      </c>
      <c r="S20" s="7">
        <f>LamChanHangNgan((PhiMayCatDecalTron(S$14,$D20)+ PhiMayInToner4M(ROUNDUP(S$14/$F20,0)*$E$6)+ (ROUNDUP(S$14/$F20,0)*$D$11))*(1+$D$7))</f>
        <v>266000</v>
      </c>
      <c r="T20" s="7">
        <f>LamChanHangNgan((PhiMayCatDecalTron(T$14,$D20)+ PhiMayInToner4M(ROUNDUP(T$14/$F20,0)*$E$6)+ (ROUNDUP(T$14/$F20,0)*$D$11))*(1+$D$7))</f>
        <v>292000</v>
      </c>
      <c r="U20" s="7">
        <f>LamChanHangNgan((PhiMayCatDecalTron(U$14,$D20)+ PhiMayInToner4M(ROUNDUP(U$14/$F20,0)*$E$6)+ (ROUNDUP(U$14/$F20,0)*$D$11))*(1+$D$7))</f>
        <v>319000</v>
      </c>
      <c r="V20" s="7">
        <f>LamChanHangNgan((PhiMayCatDecalTron(V$14,$D20)+ PhiMayInToner4M(ROUNDUP(V$14/$F20,0)*$E$6)+ (ROUNDUP(V$14/$F20,0)*$D$11))*(1+$D$7))</f>
        <v>346000</v>
      </c>
      <c r="W20" s="7">
        <f>LamChanHangNgan((PhiMayCatDecalTron(W$14,$D20)+ PhiMayInToner4M(ROUNDUP(W$14/$F20,0)*$E$6)+ (ROUNDUP(W$14/$F20,0)*$D$11))*(1+$D$7))</f>
        <v>372000</v>
      </c>
      <c r="X20" s="7">
        <f>LamChanHangNgan((PhiMayCatDecalTron(X$14,$D20)+ PhiMayInToner4M(ROUNDUP(X$14/$F20,0)*$E$6)+ (ROUNDUP(X$14/$F20,0)*$D$11))*(1+$D$7))</f>
        <v>399000</v>
      </c>
      <c r="Y20" s="7">
        <f>LamChanHangNgan((PhiMayCatDecalTron(Y$14,$D20)+ PhiMayInToner4M(ROUNDUP(Y$14/$F20,0)*$E$6)+ (ROUNDUP(Y$14/$F20,0)*$D$11))*(1+$D$7))</f>
        <v>663000</v>
      </c>
    </row>
    <row r="21" spans="1:25" x14ac:dyDescent="0.25">
      <c r="A21" s="2" t="s">
        <v>454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4">
        <f t="shared" si="2"/>
        <v>56</v>
      </c>
      <c r="G21" s="7">
        <f>LamChanHangNgan((PhiMayCatDecalTron(G$14,$D21)+ PhiMayInToner4M(ROUNDUP(G$14/$F21,0)*$E$6)+ (ROUNDUP(G$14/$F21,0)*$D$11))*(1+$D$7))</f>
        <v>140000</v>
      </c>
      <c r="H21" s="7">
        <f>LamChanHangNgan((PhiMayCatDecalTron(H$14,$D21)+ PhiMayInToner4M(ROUNDUP(H$14/$F21,0)*$E$6)+ (ROUNDUP(H$14/$F21,0)*$D$11))*(1+$D$7))</f>
        <v>147000</v>
      </c>
      <c r="I21" s="7">
        <f>LamChanHangNgan((PhiMayCatDecalTron(I$14,$D21)+ PhiMayInToner4M(ROUNDUP(I$14/$F21,0)*$E$6)+ (ROUNDUP(I$14/$F21,0)*$D$11))*(1+$D$7))</f>
        <v>155000</v>
      </c>
      <c r="J21" s="7">
        <f>LamChanHangNgan((PhiMayCatDecalTron(J$14,$D21)+ PhiMayInToner4M(ROUNDUP(J$14/$F21,0)*$E$6)+ (ROUNDUP(J$14/$F21,0)*$D$11))*(1+$D$7))</f>
        <v>162000</v>
      </c>
      <c r="K21" s="7">
        <f>LamChanHangNgan((PhiMayCatDecalTron(K$14,$D21)+ PhiMayInToner4M(ROUNDUP(K$14/$F21,0)*$E$6)+ (ROUNDUP(K$14/$F21,0)*$D$11))*(1+$D$7))</f>
        <v>166000</v>
      </c>
      <c r="L21" s="7">
        <f>LamChanHangNgan((PhiMayCatDecalTron(L$14,$D21)+ PhiMayInToner4M(ROUNDUP(L$14/$F21,0)*$E$6)+ (ROUNDUP(L$14/$F21,0)*$D$11))*(1+$D$7))</f>
        <v>174000</v>
      </c>
      <c r="M21" s="7">
        <f>LamChanHangNgan((PhiMayCatDecalTron(M$14,$D21)+ PhiMayInToner4M(ROUNDUP(M$14/$F21,0)*$E$6)+ (ROUNDUP(M$14/$F21,0)*$D$11))*(1+$D$7))</f>
        <v>181000</v>
      </c>
      <c r="N21" s="7">
        <f>LamChanHangNgan((PhiMayCatDecalTron(N$14,$D21)+ PhiMayInToner4M(ROUNDUP(N$14/$F21,0)*$E$6)+ (ROUNDUP(N$14/$F21,0)*$D$11))*(1+$D$7))</f>
        <v>189000</v>
      </c>
      <c r="O21" s="7">
        <f>LamChanHangNgan((PhiMayCatDecalTron(O$14,$D21)+ PhiMayInToner4M(ROUNDUP(O$14/$F21,0)*$E$6)+ (ROUNDUP(O$14/$F21,0)*$D$11))*(1+$D$7))</f>
        <v>196000</v>
      </c>
      <c r="P21" s="7">
        <f>LamChanHangNgan((PhiMayCatDecalTron(P$14,$D21)+ PhiMayInToner4M(ROUNDUP(P$14/$F21,0)*$E$6)+ (ROUNDUP(P$14/$F21,0)*$D$11))*(1+$D$7))</f>
        <v>200000</v>
      </c>
      <c r="Q21" s="7">
        <f>LamChanHangNgan((PhiMayCatDecalTron(Q$14,$D21)+ PhiMayInToner4M(ROUNDUP(Q$14/$F21,0)*$E$6)+ (ROUNDUP(Q$14/$F21,0)*$D$11))*(1+$D$7))</f>
        <v>234000</v>
      </c>
      <c r="R21" s="7">
        <f>LamChanHangNgan((PhiMayCatDecalTron(R$14,$D21)+ PhiMayInToner4M(ROUNDUP(R$14/$F21,0)*$E$6)+ (ROUNDUP(R$14/$F21,0)*$D$11))*(1+$D$7))</f>
        <v>268000</v>
      </c>
      <c r="S21" s="7">
        <f>LamChanHangNgan((PhiMayCatDecalTron(S$14,$D21)+ PhiMayInToner4M(ROUNDUP(S$14/$F21,0)*$E$6)+ (ROUNDUP(S$14/$F21,0)*$D$11))*(1+$D$7))</f>
        <v>302000</v>
      </c>
      <c r="T21" s="7">
        <f>LamChanHangNgan((PhiMayCatDecalTron(T$14,$D21)+ PhiMayInToner4M(ROUNDUP(T$14/$F21,0)*$E$6)+ (ROUNDUP(T$14/$F21,0)*$D$11))*(1+$D$7))</f>
        <v>336000</v>
      </c>
      <c r="U21" s="7">
        <f>LamChanHangNgan((PhiMayCatDecalTron(U$14,$D21)+ PhiMayInToner4M(ROUNDUP(U$14/$F21,0)*$E$6)+ (ROUNDUP(U$14/$F21,0)*$D$11))*(1+$D$7))</f>
        <v>370000</v>
      </c>
      <c r="V21" s="7">
        <f>LamChanHangNgan((PhiMayCatDecalTron(V$14,$D21)+ PhiMayInToner4M(ROUNDUP(V$14/$F21,0)*$E$6)+ (ROUNDUP(V$14/$F21,0)*$D$11))*(1+$D$7))</f>
        <v>404000</v>
      </c>
      <c r="W21" s="7">
        <f>LamChanHangNgan((PhiMayCatDecalTron(W$14,$D21)+ PhiMayInToner4M(ROUNDUP(W$14/$F21,0)*$E$6)+ (ROUNDUP(W$14/$F21,0)*$D$11))*(1+$D$7))</f>
        <v>438000</v>
      </c>
      <c r="X21" s="7">
        <f>LamChanHangNgan((PhiMayCatDecalTron(X$14,$D21)+ PhiMayInToner4M(ROUNDUP(X$14/$F21,0)*$E$6)+ (ROUNDUP(X$14/$F21,0)*$D$11))*(1+$D$7))</f>
        <v>472000</v>
      </c>
      <c r="Y21" s="7">
        <f>LamChanHangNgan((PhiMayCatDecalTron(Y$14,$D21)+ PhiMayInToner4M(ROUNDUP(Y$14/$F21,0)*$E$6)+ (ROUNDUP(Y$14/$F21,0)*$D$11))*(1+$D$7))</f>
        <v>808000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4">
        <f t="shared" si="2"/>
        <v>42</v>
      </c>
      <c r="G22" s="7">
        <f>LamChanHangNgan((PhiMayCatDecalTron(G$14,$D22)+ PhiMayInToner4M(ROUNDUP(G$14/$F22,0)*$E$6)+ (ROUNDUP(G$14/$F22,0)*$D$11))*(1+$D$7))</f>
        <v>143000</v>
      </c>
      <c r="H22" s="7">
        <f>LamChanHangNgan((PhiMayCatDecalTron(H$14,$D22)+ PhiMayInToner4M(ROUNDUP(H$14/$F22,0)*$E$6)+ (ROUNDUP(H$14/$F22,0)*$D$11))*(1+$D$7))</f>
        <v>151000</v>
      </c>
      <c r="I22" s="7">
        <f>LamChanHangNgan((PhiMayCatDecalTron(I$14,$D22)+ PhiMayInToner4M(ROUNDUP(I$14/$F22,0)*$E$6)+ (ROUNDUP(I$14/$F22,0)*$D$11))*(1+$D$7))</f>
        <v>162000</v>
      </c>
      <c r="J22" s="7">
        <f>LamChanHangNgan((PhiMayCatDecalTron(J$14,$D22)+ PhiMayInToner4M(ROUNDUP(J$14/$F22,0)*$E$6)+ (ROUNDUP(J$14/$F22,0)*$D$11))*(1+$D$7))</f>
        <v>169000</v>
      </c>
      <c r="K22" s="7">
        <f>LamChanHangNgan((PhiMayCatDecalTron(K$14,$D22)+ PhiMayInToner4M(ROUNDUP(K$14/$F22,0)*$E$6)+ (ROUNDUP(K$14/$F22,0)*$D$11))*(1+$D$7))</f>
        <v>177000</v>
      </c>
      <c r="L22" s="7">
        <f>LamChanHangNgan((PhiMayCatDecalTron(L$14,$D22)+ PhiMayInToner4M(ROUNDUP(L$14/$F22,0)*$E$6)+ (ROUNDUP(L$14/$F22,0)*$D$11))*(1+$D$7))</f>
        <v>188000</v>
      </c>
      <c r="M22" s="7">
        <f>LamChanHangNgan((PhiMayCatDecalTron(M$14,$D22)+ PhiMayInToner4M(ROUNDUP(M$14/$F22,0)*$E$6)+ (ROUNDUP(M$14/$F22,0)*$D$11))*(1+$D$7))</f>
        <v>196000</v>
      </c>
      <c r="N22" s="7">
        <f>LamChanHangNgan((PhiMayCatDecalTron(N$14,$D22)+ PhiMayInToner4M(ROUNDUP(N$14/$F22,0)*$E$6)+ (ROUNDUP(N$14/$F22,0)*$D$11))*(1+$D$7))</f>
        <v>207000</v>
      </c>
      <c r="O22" s="7">
        <f>LamChanHangNgan((PhiMayCatDecalTron(O$14,$D22)+ PhiMayInToner4M(ROUNDUP(O$14/$F22,0)*$E$6)+ (ROUNDUP(O$14/$F22,0)*$D$11))*(1+$D$7))</f>
        <v>214000</v>
      </c>
      <c r="P22" s="7">
        <f>LamChanHangNgan((PhiMayCatDecalTron(P$14,$D22)+ PhiMayInToner4M(ROUNDUP(P$14/$F22,0)*$E$6)+ (ROUNDUP(P$14/$F22,0)*$D$11))*(1+$D$7))</f>
        <v>222000</v>
      </c>
      <c r="Q22" s="7">
        <f>LamChanHangNgan((PhiMayCatDecalTron(Q$14,$D22)+ PhiMayInToner4M(ROUNDUP(Q$14/$F22,0)*$E$6)+ (ROUNDUP(Q$14/$F22,0)*$D$11))*(1+$D$7))</f>
        <v>267000</v>
      </c>
      <c r="R22" s="7">
        <f>LamChanHangNgan((PhiMayCatDecalTron(R$14,$D22)+ PhiMayInToner4M(ROUNDUP(R$14/$F22,0)*$E$6)+ (ROUNDUP(R$14/$F22,0)*$D$11))*(1+$D$7))</f>
        <v>311000</v>
      </c>
      <c r="S22" s="7">
        <f>LamChanHangNgan((PhiMayCatDecalTron(S$14,$D22)+ PhiMayInToner4M(ROUNDUP(S$14/$F22,0)*$E$6)+ (ROUNDUP(S$14/$F22,0)*$D$11))*(1+$D$7))</f>
        <v>356000</v>
      </c>
      <c r="T22" s="7">
        <f>LamChanHangNgan((PhiMayCatDecalTron(T$14,$D22)+ PhiMayInToner4M(ROUNDUP(T$14/$F22,0)*$E$6)+ (ROUNDUP(T$14/$F22,0)*$D$11))*(1+$D$7))</f>
        <v>401000</v>
      </c>
      <c r="U22" s="7">
        <f>LamChanHangNgan((PhiMayCatDecalTron(U$14,$D22)+ PhiMayInToner4M(ROUNDUP(U$14/$F22,0)*$E$6)+ (ROUNDUP(U$14/$F22,0)*$D$11))*(1+$D$7))</f>
        <v>446000</v>
      </c>
      <c r="V22" s="7">
        <f>LamChanHangNgan((PhiMayCatDecalTron(V$14,$D22)+ PhiMayInToner4M(ROUNDUP(V$14/$F22,0)*$E$6)+ (ROUNDUP(V$14/$F22,0)*$D$11))*(1+$D$7))</f>
        <v>490000</v>
      </c>
      <c r="W22" s="7">
        <f>LamChanHangNgan((PhiMayCatDecalTron(W$14,$D22)+ PhiMayInToner4M(ROUNDUP(W$14/$F22,0)*$E$6)+ (ROUNDUP(W$14/$F22,0)*$D$11))*(1+$D$7))</f>
        <v>535000</v>
      </c>
      <c r="X22" s="7">
        <f>LamChanHangNgan((PhiMayCatDecalTron(X$14,$D22)+ PhiMayInToner4M(ROUNDUP(X$14/$F22,0)*$E$6)+ (ROUNDUP(X$14/$F22,0)*$D$11))*(1+$D$7))</f>
        <v>580000</v>
      </c>
      <c r="Y22" s="7">
        <f>LamChanHangNgan((PhiMayCatDecalTron(Y$14,$D22)+ PhiMayInToner4M(ROUNDUP(Y$14/$F22,0)*$E$6)+ (ROUNDUP(Y$14/$F22,0)*$D$11))*(1+$D$7))</f>
        <v>1024000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4">
        <f t="shared" ref="F23:F31" si="5">SoConTrenToLon($C$5,$D$5,$D23,$E23)</f>
        <v>35</v>
      </c>
      <c r="G23" s="7">
        <f>LamChanHangNgan((PhiMayCatDecalTron(G$14,$D23)+ PhiMayInToner4M(ROUNDUP(G$14/$F23,0)*$E$6)+ (ROUNDUP(G$14/$F23,0)*$D$11))*(1+$D$7))</f>
        <v>143000</v>
      </c>
      <c r="H23" s="7">
        <f>LamChanHangNgan((PhiMayCatDecalTron(H$14,$D23)+ PhiMayInToner4M(ROUNDUP(H$14/$F23,0)*$E$6)+ (ROUNDUP(H$14/$F23,0)*$D$11))*(1+$D$7))</f>
        <v>154000</v>
      </c>
      <c r="I23" s="7">
        <f>LamChanHangNgan((PhiMayCatDecalTron(I$14,$D23)+ PhiMayInToner4M(ROUNDUP(I$14/$F23,0)*$E$6)+ (ROUNDUP(I$14/$F23,0)*$D$11))*(1+$D$7))</f>
        <v>166000</v>
      </c>
      <c r="J23" s="7">
        <f>LamChanHangNgan((PhiMayCatDecalTron(J$14,$D23)+ PhiMayInToner4M(ROUNDUP(J$14/$F23,0)*$E$6)+ (ROUNDUP(J$14/$F23,0)*$D$11))*(1+$D$7))</f>
        <v>177000</v>
      </c>
      <c r="K23" s="7">
        <f>LamChanHangNgan((PhiMayCatDecalTron(K$14,$D23)+ PhiMayInToner4M(ROUNDUP(K$14/$F23,0)*$E$6)+ (ROUNDUP(K$14/$F23,0)*$D$11))*(1+$D$7))</f>
        <v>188000</v>
      </c>
      <c r="L23" s="7">
        <f>LamChanHangNgan((PhiMayCatDecalTron(L$14,$D23)+ PhiMayInToner4M(ROUNDUP(L$14/$F23,0)*$E$6)+ (ROUNDUP(L$14/$F23,0)*$D$11))*(1+$D$7))</f>
        <v>199000</v>
      </c>
      <c r="M23" s="7">
        <f>LamChanHangNgan((PhiMayCatDecalTron(M$14,$D23)+ PhiMayInToner4M(ROUNDUP(M$14/$F23,0)*$E$6)+ (ROUNDUP(M$14/$F23,0)*$D$11))*(1+$D$7))</f>
        <v>206000</v>
      </c>
      <c r="N23" s="7">
        <f>LamChanHangNgan((PhiMayCatDecalTron(N$14,$D23)+ PhiMayInToner4M(ROUNDUP(N$14/$F23,0)*$E$6)+ (ROUNDUP(N$14/$F23,0)*$D$11))*(1+$D$7))</f>
        <v>218000</v>
      </c>
      <c r="O23" s="7">
        <f>LamChanHangNgan((PhiMayCatDecalTron(O$14,$D23)+ PhiMayInToner4M(ROUNDUP(O$14/$F23,0)*$E$6)+ (ROUNDUP(O$14/$F23,0)*$D$11))*(1+$D$7))</f>
        <v>229000</v>
      </c>
      <c r="P23" s="7">
        <f>LamChanHangNgan((PhiMayCatDecalTron(P$14,$D23)+ PhiMayInToner4M(ROUNDUP(P$14/$F23,0)*$E$6)+ (ROUNDUP(P$14/$F23,0)*$D$11))*(1+$D$7))</f>
        <v>240000</v>
      </c>
      <c r="Q23" s="7">
        <f>LamChanHangNgan((PhiMayCatDecalTron(Q$14,$D23)+ PhiMayInToner4M(ROUNDUP(Q$14/$F23,0)*$E$6)+ (ROUNDUP(Q$14/$F23,0)*$D$11))*(1+$D$7))</f>
        <v>292000</v>
      </c>
      <c r="R23" s="7">
        <f>LamChanHangNgan((PhiMayCatDecalTron(R$14,$D23)+ PhiMayInToner4M(ROUNDUP(R$14/$F23,0)*$E$6)+ (ROUNDUP(R$14/$F23,0)*$D$11))*(1+$D$7))</f>
        <v>347000</v>
      </c>
      <c r="S23" s="7">
        <f>LamChanHangNgan((PhiMayCatDecalTron(S$14,$D23)+ PhiMayInToner4M(ROUNDUP(S$14/$F23,0)*$E$6)+ (ROUNDUP(S$14/$F23,0)*$D$11))*(1+$D$7))</f>
        <v>399000</v>
      </c>
      <c r="T23" s="7">
        <f>LamChanHangNgan((PhiMayCatDecalTron(T$14,$D23)+ PhiMayInToner4M(ROUNDUP(T$14/$F23,0)*$E$6)+ (ROUNDUP(T$14/$F23,0)*$D$11))*(1+$D$7))</f>
        <v>451000</v>
      </c>
      <c r="U23" s="7">
        <f>LamChanHangNgan((PhiMayCatDecalTron(U$14,$D23)+ PhiMayInToner4M(ROUNDUP(U$14/$F23,0)*$E$6)+ (ROUNDUP(U$14/$F23,0)*$D$11))*(1+$D$7))</f>
        <v>504000</v>
      </c>
      <c r="V23" s="7">
        <f>LamChanHangNgan((PhiMayCatDecalTron(V$14,$D23)+ PhiMayInToner4M(ROUNDUP(V$14/$F23,0)*$E$6)+ (ROUNDUP(V$14/$F23,0)*$D$11))*(1+$D$7))</f>
        <v>559000</v>
      </c>
      <c r="W23" s="7">
        <f>LamChanHangNgan((PhiMayCatDecalTron(W$14,$D23)+ PhiMayInToner4M(ROUNDUP(W$14/$F23,0)*$E$6)+ (ROUNDUP(W$14/$F23,0)*$D$11))*(1+$D$7))</f>
        <v>611000</v>
      </c>
      <c r="X23" s="7">
        <f>LamChanHangNgan((PhiMayCatDecalTron(X$14,$D23)+ PhiMayInToner4M(ROUNDUP(X$14/$F23,0)*$E$6)+ (ROUNDUP(X$14/$F23,0)*$D$11))*(1+$D$7))</f>
        <v>663000</v>
      </c>
      <c r="Y23" s="7">
        <f>LamChanHangNgan((PhiMayCatDecalTron(Y$14,$D23)+ PhiMayInToner4M(ROUNDUP(Y$14/$F23,0)*$E$6)+ (ROUNDUP(Y$14/$F23,0)*$D$11))*(1+$D$7))</f>
        <v>1194000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4">
        <f t="shared" si="5"/>
        <v>30</v>
      </c>
      <c r="G24" s="7">
        <f>LamChanHangNgan((PhiMayCatDecalTron(G$14,$D24)+ PhiMayInToner4M(ROUNDUP(G$14/$F24,0)*$E$6)+ (ROUNDUP(G$14/$F24,0)*$D$11))*(1+$D$7))</f>
        <v>147000</v>
      </c>
      <c r="H24" s="7">
        <f>LamChanHangNgan((PhiMayCatDecalTron(H$14,$D24)+ PhiMayInToner4M(ROUNDUP(H$14/$F24,0)*$E$6)+ (ROUNDUP(H$14/$F24,0)*$D$11))*(1+$D$7))</f>
        <v>158000</v>
      </c>
      <c r="I24" s="7">
        <f>LamChanHangNgan((PhiMayCatDecalTron(I$14,$D24)+ PhiMayInToner4M(ROUNDUP(I$14/$F24,0)*$E$6)+ (ROUNDUP(I$14/$F24,0)*$D$11))*(1+$D$7))</f>
        <v>169000</v>
      </c>
      <c r="J24" s="7">
        <f>LamChanHangNgan((PhiMayCatDecalTron(J$14,$D24)+ PhiMayInToner4M(ROUNDUP(J$14/$F24,0)*$E$6)+ (ROUNDUP(J$14/$F24,0)*$D$11))*(1+$D$7))</f>
        <v>184000</v>
      </c>
      <c r="K24" s="7">
        <f>LamChanHangNgan((PhiMayCatDecalTron(K$14,$D24)+ PhiMayInToner4M(ROUNDUP(K$14/$F24,0)*$E$6)+ (ROUNDUP(K$14/$F24,0)*$D$11))*(1+$D$7))</f>
        <v>195000</v>
      </c>
      <c r="L24" s="7">
        <f>LamChanHangNgan((PhiMayCatDecalTron(L$14,$D24)+ PhiMayInToner4M(ROUNDUP(L$14/$F24,0)*$E$6)+ (ROUNDUP(L$14/$F24,0)*$D$11))*(1+$D$7))</f>
        <v>206000</v>
      </c>
      <c r="M24" s="7">
        <f>LamChanHangNgan((PhiMayCatDecalTron(M$14,$D24)+ PhiMayInToner4M(ROUNDUP(M$14/$F24,0)*$E$6)+ (ROUNDUP(M$14/$F24,0)*$D$11))*(1+$D$7))</f>
        <v>221000</v>
      </c>
      <c r="N24" s="7">
        <f>LamChanHangNgan((PhiMayCatDecalTron(N$14,$D24)+ PhiMayInToner4M(ROUNDUP(N$14/$F24,0)*$E$6)+ (ROUNDUP(N$14/$F24,0)*$D$11))*(1+$D$7))</f>
        <v>232000</v>
      </c>
      <c r="O24" s="7">
        <f>LamChanHangNgan((PhiMayCatDecalTron(O$14,$D24)+ PhiMayInToner4M(ROUNDUP(O$14/$F24,0)*$E$6)+ (ROUNDUP(O$14/$F24,0)*$D$11))*(1+$D$7))</f>
        <v>243000</v>
      </c>
      <c r="P24" s="7">
        <f>LamChanHangNgan((PhiMayCatDecalTron(P$14,$D24)+ PhiMayInToner4M(ROUNDUP(P$14/$F24,0)*$E$6)+ (ROUNDUP(P$14/$F24,0)*$D$11))*(1+$D$7))</f>
        <v>258000</v>
      </c>
      <c r="Q24" s="7">
        <f>LamChanHangNgan((PhiMayCatDecalTron(Q$14,$D24)+ PhiMayInToner4M(ROUNDUP(Q$14/$F24,0)*$E$6)+ (ROUNDUP(Q$14/$F24,0)*$D$11))*(1+$D$7))</f>
        <v>317000</v>
      </c>
      <c r="R24" s="7">
        <f>LamChanHangNgan((PhiMayCatDecalTron(R$14,$D24)+ PhiMayInToner4M(ROUNDUP(R$14/$F24,0)*$E$6)+ (ROUNDUP(R$14/$F24,0)*$D$11))*(1+$D$7))</f>
        <v>380000</v>
      </c>
      <c r="S24" s="7">
        <f>LamChanHangNgan((PhiMayCatDecalTron(S$14,$D24)+ PhiMayInToner4M(ROUNDUP(S$14/$F24,0)*$E$6)+ (ROUNDUP(S$14/$F24,0)*$D$11))*(1+$D$7))</f>
        <v>443000</v>
      </c>
      <c r="T24" s="7">
        <f>LamChanHangNgan((PhiMayCatDecalTron(T$14,$D24)+ PhiMayInToner4M(ROUNDUP(T$14/$F24,0)*$E$6)+ (ROUNDUP(T$14/$F24,0)*$D$11))*(1+$D$7))</f>
        <v>502000</v>
      </c>
      <c r="U24" s="7">
        <f>LamChanHangNgan((PhiMayCatDecalTron(U$14,$D24)+ PhiMayInToner4M(ROUNDUP(U$14/$F24,0)*$E$6)+ (ROUNDUP(U$14/$F24,0)*$D$11))*(1+$D$7))</f>
        <v>565000</v>
      </c>
      <c r="V24" s="7">
        <f>LamChanHangNgan((PhiMayCatDecalTron(V$14,$D24)+ PhiMayInToner4M(ROUNDUP(V$14/$F24,0)*$E$6)+ (ROUNDUP(V$14/$F24,0)*$D$11))*(1+$D$7))</f>
        <v>628000</v>
      </c>
      <c r="W24" s="7">
        <f>LamChanHangNgan((PhiMayCatDecalTron(W$14,$D24)+ PhiMayInToner4M(ROUNDUP(W$14/$F24,0)*$E$6)+ (ROUNDUP(W$14/$F24,0)*$D$11))*(1+$D$7))</f>
        <v>687000</v>
      </c>
      <c r="X24" s="7">
        <f>LamChanHangNgan((PhiMayCatDecalTron(X$14,$D24)+ PhiMayInToner4M(ROUNDUP(X$14/$F24,0)*$E$6)+ (ROUNDUP(X$14/$F24,0)*$D$11))*(1+$D$7))</f>
        <v>750000</v>
      </c>
      <c r="Y24" s="7">
        <f>LamChanHangNgan((PhiMayCatDecalTron(Y$14,$D24)+ PhiMayInToner4M(ROUNDUP(Y$14/$F24,0)*$E$6)+ (ROUNDUP(Y$14/$F24,0)*$D$11))*(1+$D$7))</f>
        <v>1368000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4">
        <f t="shared" si="5"/>
        <v>24</v>
      </c>
      <c r="G25" s="7">
        <f>LamChanHangNgan((PhiMayCatDecalTron(G$14,$D25)+ PhiMayInToner4M(ROUNDUP(G$14/$F25,0)*$E$6)+ (ROUNDUP(G$14/$F25,0)*$D$11))*(1+$D$7))</f>
        <v>150000</v>
      </c>
      <c r="H25" s="7">
        <f>LamChanHangNgan((PhiMayCatDecalTron(H$14,$D25)+ PhiMayInToner4M(ROUNDUP(H$14/$F25,0)*$E$6)+ (ROUNDUP(H$14/$F25,0)*$D$11))*(1+$D$7))</f>
        <v>165000</v>
      </c>
      <c r="I25" s="7">
        <f>LamChanHangNgan((PhiMayCatDecalTron(I$14,$D25)+ PhiMayInToner4M(ROUNDUP(I$14/$F25,0)*$E$6)+ (ROUNDUP(I$14/$F25,0)*$D$11))*(1+$D$7))</f>
        <v>180000</v>
      </c>
      <c r="J25" s="7">
        <f>LamChanHangNgan((PhiMayCatDecalTron(J$14,$D25)+ PhiMayInToner4M(ROUNDUP(J$14/$F25,0)*$E$6)+ (ROUNDUP(J$14/$F25,0)*$D$11))*(1+$D$7))</f>
        <v>195000</v>
      </c>
      <c r="K25" s="7">
        <f>LamChanHangNgan((PhiMayCatDecalTron(K$14,$D25)+ PhiMayInToner4M(ROUNDUP(K$14/$F25,0)*$E$6)+ (ROUNDUP(K$14/$F25,0)*$D$11))*(1+$D$7))</f>
        <v>209000</v>
      </c>
      <c r="L25" s="7">
        <f>LamChanHangNgan((PhiMayCatDecalTron(L$14,$D25)+ PhiMayInToner4M(ROUNDUP(L$14/$F25,0)*$E$6)+ (ROUNDUP(L$14/$F25,0)*$D$11))*(1+$D$7))</f>
        <v>224000</v>
      </c>
      <c r="M25" s="7">
        <f>LamChanHangNgan((PhiMayCatDecalTron(M$14,$D25)+ PhiMayInToner4M(ROUNDUP(M$14/$F25,0)*$E$6)+ (ROUNDUP(M$14/$F25,0)*$D$11))*(1+$D$7))</f>
        <v>242000</v>
      </c>
      <c r="N25" s="7">
        <f>LamChanHangNgan((PhiMayCatDecalTron(N$14,$D25)+ PhiMayInToner4M(ROUNDUP(N$14/$F25,0)*$E$6)+ (ROUNDUP(N$14/$F25,0)*$D$11))*(1+$D$7))</f>
        <v>257000</v>
      </c>
      <c r="O25" s="7">
        <f>LamChanHangNgan((PhiMayCatDecalTron(O$14,$D25)+ PhiMayInToner4M(ROUNDUP(O$14/$F25,0)*$E$6)+ (ROUNDUP(O$14/$F25,0)*$D$11))*(1+$D$7))</f>
        <v>272000</v>
      </c>
      <c r="P25" s="7">
        <f>LamChanHangNgan((PhiMayCatDecalTron(P$14,$D25)+ PhiMayInToner4M(ROUNDUP(P$14/$F25,0)*$E$6)+ (ROUNDUP(P$14/$F25,0)*$D$11))*(1+$D$7))</f>
        <v>286000</v>
      </c>
      <c r="Q25" s="7">
        <f>LamChanHangNgan((PhiMayCatDecalTron(Q$14,$D25)+ PhiMayInToner4M(ROUNDUP(Q$14/$F25,0)*$E$6)+ (ROUNDUP(Q$14/$F25,0)*$D$11))*(1+$D$7))</f>
        <v>364000</v>
      </c>
      <c r="R25" s="7">
        <f>LamChanHangNgan((PhiMayCatDecalTron(R$14,$D25)+ PhiMayInToner4M(ROUNDUP(R$14/$F25,0)*$E$6)+ (ROUNDUP(R$14/$F25,0)*$D$11))*(1+$D$7))</f>
        <v>441000</v>
      </c>
      <c r="S25" s="7">
        <f>LamChanHangNgan((PhiMayCatDecalTron(S$14,$D25)+ PhiMayInToner4M(ROUNDUP(S$14/$F25,0)*$E$6)+ (ROUNDUP(S$14/$F25,0)*$D$11))*(1+$D$7))</f>
        <v>518000</v>
      </c>
      <c r="T25" s="7">
        <f>LamChanHangNgan((PhiMayCatDecalTron(T$14,$D25)+ PhiMayInToner4M(ROUNDUP(T$14/$F25,0)*$E$6)+ (ROUNDUP(T$14/$F25,0)*$D$11))*(1+$D$7))</f>
        <v>592000</v>
      </c>
      <c r="U25" s="7">
        <f>LamChanHangNgan((PhiMayCatDecalTron(U$14,$D25)+ PhiMayInToner4M(ROUNDUP(U$14/$F25,0)*$E$6)+ (ROUNDUP(U$14/$F25,0)*$D$11))*(1+$D$7))</f>
        <v>669000</v>
      </c>
      <c r="V25" s="7">
        <f>LamChanHangNgan((PhiMayCatDecalTron(V$14,$D25)+ PhiMayInToner4M(ROUNDUP(V$14/$F25,0)*$E$6)+ (ROUNDUP(V$14/$F25,0)*$D$11))*(1+$D$7))</f>
        <v>746000</v>
      </c>
      <c r="W25" s="7">
        <f>LamChanHangNgan((PhiMayCatDecalTron(W$14,$D25)+ PhiMayInToner4M(ROUNDUP(W$14/$F25,0)*$E$6)+ (ROUNDUP(W$14/$F25,0)*$D$11))*(1+$D$7))</f>
        <v>823000</v>
      </c>
      <c r="X25" s="7">
        <f>LamChanHangNgan((PhiMayCatDecalTron(X$14,$D25)+ PhiMayInToner4M(ROUNDUP(X$14/$F25,0)*$E$6)+ (ROUNDUP(X$14/$F25,0)*$D$11))*(1+$D$7))</f>
        <v>900000</v>
      </c>
      <c r="Y25" s="7">
        <f>LamChanHangNgan((PhiMayCatDecalTron(Y$14,$D25)+ PhiMayInToner4M(ROUNDUP(Y$14/$F25,0)*$E$6)+ (ROUNDUP(Y$14/$F25,0)*$D$11))*(1+$D$7))</f>
        <v>1664000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4">
        <f t="shared" si="5"/>
        <v>20</v>
      </c>
      <c r="G26" s="7">
        <f>LamChanHangNgan((PhiMayCatDecalTron(G$14,$D26)+ PhiMayInToner4M(ROUNDUP(G$14/$F26,0)*$E$6)+ (ROUNDUP(G$14/$F26,0)*$D$11))*(1+$D$7))</f>
        <v>150000</v>
      </c>
      <c r="H26" s="7">
        <f>LamChanHangNgan((PhiMayCatDecalTron(H$14,$D26)+ PhiMayInToner4M(ROUNDUP(H$14/$F26,0)*$E$6)+ (ROUNDUP(H$14/$F26,0)*$D$11))*(1+$D$7))</f>
        <v>169000</v>
      </c>
      <c r="I26" s="7">
        <f>LamChanHangNgan((PhiMayCatDecalTron(I$14,$D26)+ PhiMayInToner4M(ROUNDUP(I$14/$F26,0)*$E$6)+ (ROUNDUP(I$14/$F26,0)*$D$11))*(1+$D$7))</f>
        <v>187000</v>
      </c>
      <c r="J26" s="7">
        <f>LamChanHangNgan((PhiMayCatDecalTron(J$14,$D26)+ PhiMayInToner4M(ROUNDUP(J$14/$F26,0)*$E$6)+ (ROUNDUP(J$14/$F26,0)*$D$11))*(1+$D$7))</f>
        <v>205000</v>
      </c>
      <c r="K26" s="7">
        <f>LamChanHangNgan((PhiMayCatDecalTron(K$14,$D26)+ PhiMayInToner4M(ROUNDUP(K$14/$F26,0)*$E$6)+ (ROUNDUP(K$14/$F26,0)*$D$11))*(1+$D$7))</f>
        <v>224000</v>
      </c>
      <c r="L26" s="7">
        <f>LamChanHangNgan((PhiMayCatDecalTron(L$14,$D26)+ PhiMayInToner4M(ROUNDUP(L$14/$F26,0)*$E$6)+ (ROUNDUP(L$14/$F26,0)*$D$11))*(1+$D$7))</f>
        <v>242000</v>
      </c>
      <c r="M26" s="7">
        <f>LamChanHangNgan((PhiMayCatDecalTron(M$14,$D26)+ PhiMayInToner4M(ROUNDUP(M$14/$F26,0)*$E$6)+ (ROUNDUP(M$14/$F26,0)*$D$11))*(1+$D$7))</f>
        <v>260000</v>
      </c>
      <c r="N26" s="7">
        <f>LamChanHangNgan((PhiMayCatDecalTron(N$14,$D26)+ PhiMayInToner4M(ROUNDUP(N$14/$F26,0)*$E$6)+ (ROUNDUP(N$14/$F26,0)*$D$11))*(1+$D$7))</f>
        <v>278000</v>
      </c>
      <c r="O26" s="7">
        <f>LamChanHangNgan((PhiMayCatDecalTron(O$14,$D26)+ PhiMayInToner4M(ROUNDUP(O$14/$F26,0)*$E$6)+ (ROUNDUP(O$14/$F26,0)*$D$11))*(1+$D$7))</f>
        <v>297000</v>
      </c>
      <c r="P26" s="7">
        <f>LamChanHangNgan((PhiMayCatDecalTron(P$14,$D26)+ PhiMayInToner4M(ROUNDUP(P$14/$F26,0)*$E$6)+ (ROUNDUP(P$14/$F26,0)*$D$11))*(1+$D$7))</f>
        <v>315000</v>
      </c>
      <c r="Q26" s="7">
        <f>LamChanHangNgan((PhiMayCatDecalTron(Q$14,$D26)+ PhiMayInToner4M(ROUNDUP(Q$14/$F26,0)*$E$6)+ (ROUNDUP(Q$14/$F26,0)*$D$11))*(1+$D$7))</f>
        <v>407000</v>
      </c>
      <c r="R26" s="7">
        <f>LamChanHangNgan((PhiMayCatDecalTron(R$14,$D26)+ PhiMayInToner4M(ROUNDUP(R$14/$F26,0)*$E$6)+ (ROUNDUP(R$14/$F26,0)*$D$11))*(1+$D$7))</f>
        <v>498000</v>
      </c>
      <c r="S26" s="7">
        <f>LamChanHangNgan((PhiMayCatDecalTron(S$14,$D26)+ PhiMayInToner4M(ROUNDUP(S$14/$F26,0)*$E$6)+ (ROUNDUP(S$14/$F26,0)*$D$11))*(1+$D$7))</f>
        <v>589000</v>
      </c>
      <c r="T26" s="7">
        <f>LamChanHangNgan((PhiMayCatDecalTron(T$14,$D26)+ PhiMayInToner4M(ROUNDUP(T$14/$F26,0)*$E$6)+ (ROUNDUP(T$14/$F26,0)*$D$11))*(1+$D$7))</f>
        <v>681000</v>
      </c>
      <c r="U26" s="7">
        <f>LamChanHangNgan((PhiMayCatDecalTron(U$14,$D26)+ PhiMayInToner4M(ROUNDUP(U$14/$F26,0)*$E$6)+ (ROUNDUP(U$14/$F26,0)*$D$11))*(1+$D$7))</f>
        <v>772000</v>
      </c>
      <c r="V26" s="7">
        <f>LamChanHangNgan((PhiMayCatDecalTron(V$14,$D26)+ PhiMayInToner4M(ROUNDUP(V$14/$F26,0)*$E$6)+ (ROUNDUP(V$14/$F26,0)*$D$11))*(1+$D$7))</f>
        <v>864000</v>
      </c>
      <c r="W26" s="7">
        <f>LamChanHangNgan((PhiMayCatDecalTron(W$14,$D26)+ PhiMayInToner4M(ROUNDUP(W$14/$F26,0)*$E$6)+ (ROUNDUP(W$14/$F26,0)*$D$11))*(1+$D$7))</f>
        <v>955000</v>
      </c>
      <c r="X26" s="7">
        <f>LamChanHangNgan((PhiMayCatDecalTron(X$14,$D26)+ PhiMayInToner4M(ROUNDUP(X$14/$F26,0)*$E$6)+ (ROUNDUP(X$14/$F26,0)*$D$11))*(1+$D$7))</f>
        <v>1047000</v>
      </c>
      <c r="Y26" s="7">
        <f>LamChanHangNgan((PhiMayCatDecalTron(Y$14,$D26)+ PhiMayInToner4M(ROUNDUP(Y$14/$F26,0)*$E$6)+ (ROUNDUP(Y$14/$F26,0)*$D$11))*(1+$D$7))</f>
        <v>1961000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4">
        <f t="shared" si="5"/>
        <v>20</v>
      </c>
      <c r="G27" s="7">
        <f>LamChanHangNgan((PhiMayCatDecalTron(G$14,$D27)+ PhiMayInToner4M(ROUNDUP(G$14/$F27,0)*$E$6)+ (ROUNDUP(G$14/$F27,0)*$D$11))*(1+$D$7))</f>
        <v>151000</v>
      </c>
      <c r="H27" s="7">
        <f>LamChanHangNgan((PhiMayCatDecalTron(H$14,$D27)+ PhiMayInToner4M(ROUNDUP(H$14/$F27,0)*$E$6)+ (ROUNDUP(H$14/$F27,0)*$D$11))*(1+$D$7))</f>
        <v>169000</v>
      </c>
      <c r="I27" s="7">
        <f>LamChanHangNgan((PhiMayCatDecalTron(I$14,$D27)+ PhiMayInToner4M(ROUNDUP(I$14/$F27,0)*$E$6)+ (ROUNDUP(I$14/$F27,0)*$D$11))*(1+$D$7))</f>
        <v>187000</v>
      </c>
      <c r="J27" s="7">
        <f>LamChanHangNgan((PhiMayCatDecalTron(J$14,$D27)+ PhiMayInToner4M(ROUNDUP(J$14/$F27,0)*$E$6)+ (ROUNDUP(J$14/$F27,0)*$D$11))*(1+$D$7))</f>
        <v>206000</v>
      </c>
      <c r="K27" s="7">
        <f>LamChanHangNgan((PhiMayCatDecalTron(K$14,$D27)+ PhiMayInToner4M(ROUNDUP(K$14/$F27,0)*$E$6)+ (ROUNDUP(K$14/$F27,0)*$D$11))*(1+$D$7))</f>
        <v>224000</v>
      </c>
      <c r="L27" s="7">
        <f>LamChanHangNgan((PhiMayCatDecalTron(L$14,$D27)+ PhiMayInToner4M(ROUNDUP(L$14/$F27,0)*$E$6)+ (ROUNDUP(L$14/$F27,0)*$D$11))*(1+$D$7))</f>
        <v>242000</v>
      </c>
      <c r="M27" s="7">
        <f>LamChanHangNgan((PhiMayCatDecalTron(M$14,$D27)+ PhiMayInToner4M(ROUNDUP(M$14/$F27,0)*$E$6)+ (ROUNDUP(M$14/$F27,0)*$D$11))*(1+$D$7))</f>
        <v>261000</v>
      </c>
      <c r="N27" s="7">
        <f>LamChanHangNgan((PhiMayCatDecalTron(N$14,$D27)+ PhiMayInToner4M(ROUNDUP(N$14/$F27,0)*$E$6)+ (ROUNDUP(N$14/$F27,0)*$D$11))*(1+$D$7))</f>
        <v>279000</v>
      </c>
      <c r="O27" s="7">
        <f>LamChanHangNgan((PhiMayCatDecalTron(O$14,$D27)+ PhiMayInToner4M(ROUNDUP(O$14/$F27,0)*$E$6)+ (ROUNDUP(O$14/$F27,0)*$D$11))*(1+$D$7))</f>
        <v>297000</v>
      </c>
      <c r="P27" s="7">
        <f>LamChanHangNgan((PhiMayCatDecalTron(P$14,$D27)+ PhiMayInToner4M(ROUNDUP(P$14/$F27,0)*$E$6)+ (ROUNDUP(P$14/$F27,0)*$D$11))*(1+$D$7))</f>
        <v>316000</v>
      </c>
      <c r="Q27" s="7">
        <f>LamChanHangNgan((PhiMayCatDecalTron(Q$14,$D27)+ PhiMayInToner4M(ROUNDUP(Q$14/$F27,0)*$E$6)+ (ROUNDUP(Q$14/$F27,0)*$D$11))*(1+$D$7))</f>
        <v>407000</v>
      </c>
      <c r="R27" s="7">
        <f>LamChanHangNgan((PhiMayCatDecalTron(R$14,$D27)+ PhiMayInToner4M(ROUNDUP(R$14/$F27,0)*$E$6)+ (ROUNDUP(R$14/$F27,0)*$D$11))*(1+$D$7))</f>
        <v>499000</v>
      </c>
      <c r="S27" s="7">
        <f>LamChanHangNgan((PhiMayCatDecalTron(S$14,$D27)+ PhiMayInToner4M(ROUNDUP(S$14/$F27,0)*$E$6)+ (ROUNDUP(S$14/$F27,0)*$D$11))*(1+$D$7))</f>
        <v>591000</v>
      </c>
      <c r="T27" s="7">
        <f>LamChanHangNgan((PhiMayCatDecalTron(T$14,$D27)+ PhiMayInToner4M(ROUNDUP(T$14/$F27,0)*$E$6)+ (ROUNDUP(T$14/$F27,0)*$D$11))*(1+$D$7))</f>
        <v>682000</v>
      </c>
      <c r="U27" s="7">
        <f>LamChanHangNgan((PhiMayCatDecalTron(U$14,$D27)+ PhiMayInToner4M(ROUNDUP(U$14/$F27,0)*$E$6)+ (ROUNDUP(U$14/$F27,0)*$D$11))*(1+$D$7))</f>
        <v>774000</v>
      </c>
      <c r="V27" s="7">
        <f>LamChanHangNgan((PhiMayCatDecalTron(V$14,$D27)+ PhiMayInToner4M(ROUNDUP(V$14/$F27,0)*$E$6)+ (ROUNDUP(V$14/$F27,0)*$D$11))*(1+$D$7))</f>
        <v>866000</v>
      </c>
      <c r="W27" s="7">
        <f>LamChanHangNgan((PhiMayCatDecalTron(W$14,$D27)+ PhiMayInToner4M(ROUNDUP(W$14/$F27,0)*$E$6)+ (ROUNDUP(W$14/$F27,0)*$D$11))*(1+$D$7))</f>
        <v>957000</v>
      </c>
      <c r="X27" s="7">
        <f>LamChanHangNgan((PhiMayCatDecalTron(X$14,$D27)+ PhiMayInToner4M(ROUNDUP(X$14/$F27,0)*$E$6)+ (ROUNDUP(X$14/$F27,0)*$D$11))*(1+$D$7))</f>
        <v>1049000</v>
      </c>
      <c r="Y27" s="7">
        <f>LamChanHangNgan((PhiMayCatDecalTron(Y$14,$D27)+ PhiMayInToner4M(ROUNDUP(Y$14/$F27,0)*$E$6)+ (ROUNDUP(Y$14/$F27,0)*$D$11))*(1+$D$7))</f>
        <v>1966000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4">
        <f t="shared" si="5"/>
        <v>20</v>
      </c>
      <c r="G28" s="7">
        <f>LamChanHangNgan((PhiMayCatDecalTron(G$14,$D28)+ PhiMayInToner4M(ROUNDUP(G$14/$F28,0)*$E$6)+ (ROUNDUP(G$14/$F28,0)*$D$11))*(1+$D$7))</f>
        <v>151000</v>
      </c>
      <c r="H28" s="7">
        <f>LamChanHangNgan((PhiMayCatDecalTron(H$14,$D28)+ PhiMayInToner4M(ROUNDUP(H$14/$F28,0)*$E$6)+ (ROUNDUP(H$14/$F28,0)*$D$11))*(1+$D$7))</f>
        <v>169000</v>
      </c>
      <c r="I28" s="7">
        <f>LamChanHangNgan((PhiMayCatDecalTron(I$14,$D28)+ PhiMayInToner4M(ROUNDUP(I$14/$F28,0)*$E$6)+ (ROUNDUP(I$14/$F28,0)*$D$11))*(1+$D$7))</f>
        <v>187000</v>
      </c>
      <c r="J28" s="7">
        <f>LamChanHangNgan((PhiMayCatDecalTron(J$14,$D28)+ PhiMayInToner4M(ROUNDUP(J$14/$F28,0)*$E$6)+ (ROUNDUP(J$14/$F28,0)*$D$11))*(1+$D$7))</f>
        <v>206000</v>
      </c>
      <c r="K28" s="7">
        <f>LamChanHangNgan((PhiMayCatDecalTron(K$14,$D28)+ PhiMayInToner4M(ROUNDUP(K$14/$F28,0)*$E$6)+ (ROUNDUP(K$14/$F28,0)*$D$11))*(1+$D$7))</f>
        <v>224000</v>
      </c>
      <c r="L28" s="7">
        <f>LamChanHangNgan((PhiMayCatDecalTron(L$14,$D28)+ PhiMayInToner4M(ROUNDUP(L$14/$F28,0)*$E$6)+ (ROUNDUP(L$14/$F28,0)*$D$11))*(1+$D$7))</f>
        <v>242000</v>
      </c>
      <c r="M28" s="7">
        <f>LamChanHangNgan((PhiMayCatDecalTron(M$14,$D28)+ PhiMayInToner4M(ROUNDUP(M$14/$F28,0)*$E$6)+ (ROUNDUP(M$14/$F28,0)*$D$11))*(1+$D$7))</f>
        <v>261000</v>
      </c>
      <c r="N28" s="7">
        <f>LamChanHangNgan((PhiMayCatDecalTron(N$14,$D28)+ PhiMayInToner4M(ROUNDUP(N$14/$F28,0)*$E$6)+ (ROUNDUP(N$14/$F28,0)*$D$11))*(1+$D$7))</f>
        <v>279000</v>
      </c>
      <c r="O28" s="7">
        <f>LamChanHangNgan((PhiMayCatDecalTron(O$14,$D28)+ PhiMayInToner4M(ROUNDUP(O$14/$F28,0)*$E$6)+ (ROUNDUP(O$14/$F28,0)*$D$11))*(1+$D$7))</f>
        <v>297000</v>
      </c>
      <c r="P28" s="7">
        <f>LamChanHangNgan((PhiMayCatDecalTron(P$14,$D28)+ PhiMayInToner4M(ROUNDUP(P$14/$F28,0)*$E$6)+ (ROUNDUP(P$14/$F28,0)*$D$11))*(1+$D$7))</f>
        <v>316000</v>
      </c>
      <c r="Q28" s="7">
        <f>LamChanHangNgan((PhiMayCatDecalTron(Q$14,$D28)+ PhiMayInToner4M(ROUNDUP(Q$14/$F28,0)*$E$6)+ (ROUNDUP(Q$14/$F28,0)*$D$11))*(1+$D$7))</f>
        <v>408000</v>
      </c>
      <c r="R28" s="7">
        <f>LamChanHangNgan((PhiMayCatDecalTron(R$14,$D28)+ PhiMayInToner4M(ROUNDUP(R$14/$F28,0)*$E$6)+ (ROUNDUP(R$14/$F28,0)*$D$11))*(1+$D$7))</f>
        <v>499000</v>
      </c>
      <c r="S28" s="7">
        <f>LamChanHangNgan((PhiMayCatDecalTron(S$14,$D28)+ PhiMayInToner4M(ROUNDUP(S$14/$F28,0)*$E$6)+ (ROUNDUP(S$14/$F28,0)*$D$11))*(1+$D$7))</f>
        <v>591000</v>
      </c>
      <c r="T28" s="7">
        <f>LamChanHangNgan((PhiMayCatDecalTron(T$14,$D28)+ PhiMayInToner4M(ROUNDUP(T$14/$F28,0)*$E$6)+ (ROUNDUP(T$14/$F28,0)*$D$11))*(1+$D$7))</f>
        <v>683000</v>
      </c>
      <c r="U28" s="7">
        <f>LamChanHangNgan((PhiMayCatDecalTron(U$14,$D28)+ PhiMayInToner4M(ROUNDUP(U$14/$F28,0)*$E$6)+ (ROUNDUP(U$14/$F28,0)*$D$11))*(1+$D$7))</f>
        <v>775000</v>
      </c>
      <c r="V28" s="7">
        <f>LamChanHangNgan((PhiMayCatDecalTron(V$14,$D28)+ PhiMayInToner4M(ROUNDUP(V$14/$F28,0)*$E$6)+ (ROUNDUP(V$14/$F28,0)*$D$11))*(1+$D$7))</f>
        <v>867000</v>
      </c>
      <c r="W28" s="7">
        <f>LamChanHangNgan((PhiMayCatDecalTron(W$14,$D28)+ PhiMayInToner4M(ROUNDUP(W$14/$F28,0)*$E$6)+ (ROUNDUP(W$14/$F28,0)*$D$11))*(1+$D$7))</f>
        <v>958000</v>
      </c>
      <c r="X28" s="7">
        <f>LamChanHangNgan((PhiMayCatDecalTron(X$14,$D28)+ PhiMayInToner4M(ROUNDUP(X$14/$F28,0)*$E$6)+ (ROUNDUP(X$14/$F28,0)*$D$11))*(1+$D$7))</f>
        <v>1050000</v>
      </c>
      <c r="Y28" s="7">
        <f>LamChanHangNgan((PhiMayCatDecalTron(Y$14,$D28)+ PhiMayInToner4M(ROUNDUP(Y$14/$F28,0)*$E$6)+ (ROUNDUP(Y$14/$F28,0)*$D$11))*(1+$D$7))</f>
        <v>1968000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4">
        <f t="shared" si="5"/>
        <v>16</v>
      </c>
      <c r="G29" s="7">
        <f>LamChanHangNgan((PhiMayCatDecalTron(G$14,$D29)+ PhiMayInToner4M(ROUNDUP(G$14/$F29,0)*$E$6)+ (ROUNDUP(G$14/$F29,0)*$D$11))*(1+$D$7))</f>
        <v>158000</v>
      </c>
      <c r="H29" s="7">
        <f>LamChanHangNgan((PhiMayCatDecalTron(H$14,$D29)+ PhiMayInToner4M(ROUNDUP(H$14/$F29,0)*$E$6)+ (ROUNDUP(H$14/$F29,0)*$D$11))*(1+$D$7))</f>
        <v>180000</v>
      </c>
      <c r="I29" s="7">
        <f>LamChanHangNgan((PhiMayCatDecalTron(I$14,$D29)+ PhiMayInToner4M(ROUNDUP(I$14/$F29,0)*$E$6)+ (ROUNDUP(I$14/$F29,0)*$D$11))*(1+$D$7))</f>
        <v>201000</v>
      </c>
      <c r="J29" s="7">
        <f>LamChanHangNgan((PhiMayCatDecalTron(J$14,$D29)+ PhiMayInToner4M(ROUNDUP(J$14/$F29,0)*$E$6)+ (ROUNDUP(J$14/$F29,0)*$D$11))*(1+$D$7))</f>
        <v>223000</v>
      </c>
      <c r="K29" s="7">
        <f>LamChanHangNgan((PhiMayCatDecalTron(K$14,$D29)+ PhiMayInToner4M(ROUNDUP(K$14/$F29,0)*$E$6)+ (ROUNDUP(K$14/$F29,0)*$D$11))*(1+$D$7))</f>
        <v>249000</v>
      </c>
      <c r="L29" s="7">
        <f>LamChanHangNgan((PhiMayCatDecalTron(L$14,$D29)+ PhiMayInToner4M(ROUNDUP(L$14/$F29,0)*$E$6)+ (ROUNDUP(L$14/$F29,0)*$D$11))*(1+$D$7))</f>
        <v>271000</v>
      </c>
      <c r="M29" s="7">
        <f>LamChanHangNgan((PhiMayCatDecalTron(M$14,$D29)+ PhiMayInToner4M(ROUNDUP(M$14/$F29,0)*$E$6)+ (ROUNDUP(M$14/$F29,0)*$D$11))*(1+$D$7))</f>
        <v>293000</v>
      </c>
      <c r="N29" s="7">
        <f>LamChanHangNgan((PhiMayCatDecalTron(N$14,$D29)+ PhiMayInToner4M(ROUNDUP(N$14/$F29,0)*$E$6)+ (ROUNDUP(N$14/$F29,0)*$D$11))*(1+$D$7))</f>
        <v>314000</v>
      </c>
      <c r="O29" s="7">
        <f>LamChanHangNgan((PhiMayCatDecalTron(O$14,$D29)+ PhiMayInToner4M(ROUNDUP(O$14/$F29,0)*$E$6)+ (ROUNDUP(O$14/$F29,0)*$D$11))*(1+$D$7))</f>
        <v>340000</v>
      </c>
      <c r="P29" s="7">
        <f>LamChanHangNgan((PhiMayCatDecalTron(P$14,$D29)+ PhiMayInToner4M(ROUNDUP(P$14/$F29,0)*$E$6)+ (ROUNDUP(P$14/$F29,0)*$D$11))*(1+$D$7))</f>
        <v>362000</v>
      </c>
      <c r="Q29" s="7">
        <f>LamChanHangNgan((PhiMayCatDecalTron(Q$14,$D29)+ PhiMayInToner4M(ROUNDUP(Q$14/$F29,0)*$E$6)+ (ROUNDUP(Q$14/$F29,0)*$D$11))*(1+$D$7))</f>
        <v>475000</v>
      </c>
      <c r="R29" s="7">
        <f>LamChanHangNgan((PhiMayCatDecalTron(R$14,$D29)+ PhiMayInToner4M(ROUNDUP(R$14/$F29,0)*$E$6)+ (ROUNDUP(R$14/$F29,0)*$D$11))*(1+$D$7))</f>
        <v>588000</v>
      </c>
      <c r="S29" s="7">
        <f>LamChanHangNgan((PhiMayCatDecalTron(S$14,$D29)+ PhiMayInToner4M(ROUNDUP(S$14/$F29,0)*$E$6)+ (ROUNDUP(S$14/$F29,0)*$D$11))*(1+$D$7))</f>
        <v>704000</v>
      </c>
      <c r="T29" s="7">
        <f>LamChanHangNgan((PhiMayCatDecalTron(T$14,$D29)+ PhiMayInToner4M(ROUNDUP(T$14/$F29,0)*$E$6)+ (ROUNDUP(T$14/$F29,0)*$D$11))*(1+$D$7))</f>
        <v>817000</v>
      </c>
      <c r="U29" s="7">
        <f>LamChanHangNgan((PhiMayCatDecalTron(U$14,$D29)+ PhiMayInToner4M(ROUNDUP(U$14/$F29,0)*$E$6)+ (ROUNDUP(U$14/$F29,0)*$D$11))*(1+$D$7))</f>
        <v>930000</v>
      </c>
      <c r="V29" s="7">
        <f>LamChanHangNgan((PhiMayCatDecalTron(V$14,$D29)+ PhiMayInToner4M(ROUNDUP(V$14/$F29,0)*$E$6)+ (ROUNDUP(V$14/$F29,0)*$D$11))*(1+$D$7))</f>
        <v>1043000</v>
      </c>
      <c r="W29" s="7">
        <f>LamChanHangNgan((PhiMayCatDecalTron(W$14,$D29)+ PhiMayInToner4M(ROUNDUP(W$14/$F29,0)*$E$6)+ (ROUNDUP(W$14/$F29,0)*$D$11))*(1+$D$7))</f>
        <v>1160000</v>
      </c>
      <c r="X29" s="7">
        <f>LamChanHangNgan((PhiMayCatDecalTron(X$14,$D29)+ PhiMayInToner4M(ROUNDUP(X$14/$F29,0)*$E$6)+ (ROUNDUP(X$14/$F29,0)*$D$11))*(1+$D$7))</f>
        <v>1273000</v>
      </c>
      <c r="Y29" s="7">
        <f>LamChanHangNgan((PhiMayCatDecalTron(Y$14,$D29)+ PhiMayInToner4M(ROUNDUP(Y$14/$F29,0)*$E$6)+ (ROUNDUP(Y$14/$F29,0)*$D$11))*(1+$D$7))</f>
        <v>2410000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4">
        <f t="shared" si="5"/>
        <v>12</v>
      </c>
      <c r="G30" s="7">
        <f>LamChanHangNgan((PhiMayCatDecalTron(G$14,$D30)+ PhiMayInToner4M(ROUNDUP(G$14/$F30,0)*$E$6)+ (ROUNDUP(G$14/$F30,0)*$D$11))*(1+$D$7))</f>
        <v>165000</v>
      </c>
      <c r="H30" s="7">
        <f>LamChanHangNgan((PhiMayCatDecalTron(H$14,$D30)+ PhiMayInToner4M(ROUNDUP(H$14/$F30,0)*$E$6)+ (ROUNDUP(H$14/$F30,0)*$D$11))*(1+$D$7))</f>
        <v>194000</v>
      </c>
      <c r="I30" s="7">
        <f>LamChanHangNgan((PhiMayCatDecalTron(I$14,$D30)+ PhiMayInToner4M(ROUNDUP(I$14/$F30,0)*$E$6)+ (ROUNDUP(I$14/$F30,0)*$D$11))*(1+$D$7))</f>
        <v>223000</v>
      </c>
      <c r="J30" s="7">
        <f>LamChanHangNgan((PhiMayCatDecalTron(J$14,$D30)+ PhiMayInToner4M(ROUNDUP(J$14/$F30,0)*$E$6)+ (ROUNDUP(J$14/$F30,0)*$D$11))*(1+$D$7))</f>
        <v>255000</v>
      </c>
      <c r="K30" s="7">
        <f>LamChanHangNgan((PhiMayCatDecalTron(K$14,$D30)+ PhiMayInToner4M(ROUNDUP(K$14/$F30,0)*$E$6)+ (ROUNDUP(K$14/$F30,0)*$D$11))*(1+$D$7))</f>
        <v>284000</v>
      </c>
      <c r="L30" s="7">
        <f>LamChanHangNgan((PhiMayCatDecalTron(L$14,$D30)+ PhiMayInToner4M(ROUNDUP(L$14/$F30,0)*$E$6)+ (ROUNDUP(L$14/$F30,0)*$D$11))*(1+$D$7))</f>
        <v>313000</v>
      </c>
      <c r="M30" s="7">
        <f>LamChanHangNgan((PhiMayCatDecalTron(M$14,$D30)+ PhiMayInToner4M(ROUNDUP(M$14/$F30,0)*$E$6)+ (ROUNDUP(M$14/$F30,0)*$D$11))*(1+$D$7))</f>
        <v>346000</v>
      </c>
      <c r="N30" s="7">
        <f>LamChanHangNgan((PhiMayCatDecalTron(N$14,$D30)+ PhiMayInToner4M(ROUNDUP(N$14/$F30,0)*$E$6)+ (ROUNDUP(N$14/$F30,0)*$D$11))*(1+$D$7))</f>
        <v>375000</v>
      </c>
      <c r="O30" s="7">
        <f>LamChanHangNgan((PhiMayCatDecalTron(O$14,$D30)+ PhiMayInToner4M(ROUNDUP(O$14/$F30,0)*$E$6)+ (ROUNDUP(O$14/$F30,0)*$D$11))*(1+$D$7))</f>
        <v>404000</v>
      </c>
      <c r="P30" s="7">
        <f>LamChanHangNgan((PhiMayCatDecalTron(P$14,$D30)+ PhiMayInToner4M(ROUNDUP(P$14/$F30,0)*$E$6)+ (ROUNDUP(P$14/$F30,0)*$D$11))*(1+$D$7))</f>
        <v>436000</v>
      </c>
      <c r="Q30" s="7">
        <f>LamChanHangNgan((PhiMayCatDecalTron(Q$14,$D30)+ PhiMayInToner4M(ROUNDUP(Q$14/$F30,0)*$E$6)+ (ROUNDUP(Q$14/$F30,0)*$D$11))*(1+$D$7))</f>
        <v>585000</v>
      </c>
      <c r="R30" s="7">
        <f>LamChanHangNgan((PhiMayCatDecalTron(R$14,$D30)+ PhiMayInToner4M(ROUNDUP(R$14/$F30,0)*$E$6)+ (ROUNDUP(R$14/$F30,0)*$D$11))*(1+$D$7))</f>
        <v>737000</v>
      </c>
      <c r="S30" s="7">
        <f>LamChanHangNgan((PhiMayCatDecalTron(S$14,$D30)+ PhiMayInToner4M(ROUNDUP(S$14/$F30,0)*$E$6)+ (ROUNDUP(S$14/$F30,0)*$D$11))*(1+$D$7))</f>
        <v>889000</v>
      </c>
      <c r="T30" s="7">
        <f>LamChanHangNgan((PhiMayCatDecalTron(T$14,$D30)+ PhiMayInToner4M(ROUNDUP(T$14/$F30,0)*$E$6)+ (ROUNDUP(T$14/$F30,0)*$D$11))*(1+$D$7))</f>
        <v>1038000</v>
      </c>
      <c r="U30" s="7">
        <f>LamChanHangNgan((PhiMayCatDecalTron(U$14,$D30)+ PhiMayInToner4M(ROUNDUP(U$14/$F30,0)*$E$6)+ (ROUNDUP(U$14/$F30,0)*$D$11))*(1+$D$7))</f>
        <v>1190000</v>
      </c>
      <c r="V30" s="7">
        <f>LamChanHangNgan((PhiMayCatDecalTron(V$14,$D30)+ PhiMayInToner4M(ROUNDUP(V$14/$F30,0)*$E$6)+ (ROUNDUP(V$14/$F30,0)*$D$11))*(1+$D$7))</f>
        <v>1342000</v>
      </c>
      <c r="W30" s="7">
        <f>LamChanHangNgan((PhiMayCatDecalTron(W$14,$D30)+ PhiMayInToner4M(ROUNDUP(W$14/$F30,0)*$E$6)+ (ROUNDUP(W$14/$F30,0)*$D$11))*(1+$D$7))</f>
        <v>1491000</v>
      </c>
      <c r="X30" s="7">
        <f>LamChanHangNgan((PhiMayCatDecalTron(X$14,$D30)+ PhiMayInToner4M(ROUNDUP(X$14/$F30,0)*$E$6)+ (ROUNDUP(X$14/$F30,0)*$D$11))*(1+$D$7))</f>
        <v>1643000</v>
      </c>
      <c r="Y30" s="7">
        <f>LamChanHangNgan((PhiMayCatDecalTron(Y$14,$D30)+ PhiMayInToner4M(ROUNDUP(Y$14/$F30,0)*$E$6)+ (ROUNDUP(Y$14/$F30,0)*$D$11))*(1+$D$7))</f>
        <v>3154000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4">
        <f t="shared" si="5"/>
        <v>9</v>
      </c>
      <c r="G31" s="7">
        <f>LamChanHangNgan((PhiMayCatDecalTron(G$14,$D31)+ PhiMayInToner4M(ROUNDUP(G$14/$F31,0)*$E$6)+ (ROUNDUP(G$14/$F31,0)*$D$11))*(1+$D$7))</f>
        <v>175000</v>
      </c>
      <c r="H31" s="7">
        <f>LamChanHangNgan((PhiMayCatDecalTron(H$14,$D31)+ PhiMayInToner4M(ROUNDUP(H$14/$F31,0)*$E$6)+ (ROUNDUP(H$14/$F31,0)*$D$11))*(1+$D$7))</f>
        <v>215000</v>
      </c>
      <c r="I31" s="7">
        <f>LamChanHangNgan((PhiMayCatDecalTron(I$14,$D31)+ PhiMayInToner4M(ROUNDUP(I$14/$F31,0)*$E$6)+ (ROUNDUP(I$14/$F31,0)*$D$11))*(1+$D$7))</f>
        <v>255000</v>
      </c>
      <c r="J31" s="7">
        <f>LamChanHangNgan((PhiMayCatDecalTron(J$14,$D31)+ PhiMayInToner4M(ROUNDUP(J$14/$F31,0)*$E$6)+ (ROUNDUP(J$14/$F31,0)*$D$11))*(1+$D$7))</f>
        <v>294000</v>
      </c>
      <c r="K31" s="7">
        <f>LamChanHangNgan((PhiMayCatDecalTron(K$14,$D31)+ PhiMayInToner4M(ROUNDUP(K$14/$F31,0)*$E$6)+ (ROUNDUP(K$14/$F31,0)*$D$11))*(1+$D$7))</f>
        <v>334000</v>
      </c>
      <c r="L31" s="7">
        <f>LamChanHangNgan((PhiMayCatDecalTron(L$14,$D31)+ PhiMayInToner4M(ROUNDUP(L$14/$F31,0)*$E$6)+ (ROUNDUP(L$14/$F31,0)*$D$11))*(1+$D$7))</f>
        <v>374000</v>
      </c>
      <c r="M31" s="7">
        <f>LamChanHangNgan((PhiMayCatDecalTron(M$14,$D31)+ PhiMayInToner4M(ROUNDUP(M$14/$F31,0)*$E$6)+ (ROUNDUP(M$14/$F31,0)*$D$11))*(1+$D$7))</f>
        <v>413000</v>
      </c>
      <c r="N31" s="7">
        <f>LamChanHangNgan((PhiMayCatDecalTron(N$14,$D31)+ PhiMayInToner4M(ROUNDUP(N$14/$F31,0)*$E$6)+ (ROUNDUP(N$14/$F31,0)*$D$11))*(1+$D$7))</f>
        <v>453000</v>
      </c>
      <c r="O31" s="7">
        <f>LamChanHangNgan((PhiMayCatDecalTron(O$14,$D31)+ PhiMayInToner4M(ROUNDUP(O$14/$F31,0)*$E$6)+ (ROUNDUP(O$14/$F31,0)*$D$11))*(1+$D$7))</f>
        <v>493000</v>
      </c>
      <c r="P31" s="7">
        <f>LamChanHangNgan((PhiMayCatDecalTron(P$14,$D31)+ PhiMayInToner4M(ROUNDUP(P$14/$F31,0)*$E$6)+ (ROUNDUP(P$14/$F31,0)*$D$11))*(1+$D$7))</f>
        <v>536000</v>
      </c>
      <c r="Q31" s="7">
        <f>LamChanHangNgan((PhiMayCatDecalTron(Q$14,$D31)+ PhiMayInToner4M(ROUNDUP(Q$14/$F31,0)*$E$6)+ (ROUNDUP(Q$14/$F31,0)*$D$11))*(1+$D$7))</f>
        <v>734000</v>
      </c>
      <c r="R31" s="7">
        <f>LamChanHangNgan((PhiMayCatDecalTron(R$14,$D31)+ PhiMayInToner4M(ROUNDUP(R$14/$F31,0)*$E$6)+ (ROUNDUP(R$14/$F31,0)*$D$11))*(1+$D$7))</f>
        <v>936000</v>
      </c>
      <c r="S31" s="7">
        <f>LamChanHangNgan((PhiMayCatDecalTron(S$14,$D31)+ PhiMayInToner4M(ROUNDUP(S$14/$F31,0)*$E$6)+ (ROUNDUP(S$14/$F31,0)*$D$11))*(1+$D$7))</f>
        <v>1134000</v>
      </c>
      <c r="T31" s="7">
        <f>LamChanHangNgan((PhiMayCatDecalTron(T$14,$D31)+ PhiMayInToner4M(ROUNDUP(T$14/$F31,0)*$E$6)+ (ROUNDUP(T$14/$F31,0)*$D$11))*(1+$D$7))</f>
        <v>1336000</v>
      </c>
      <c r="U31" s="7">
        <f>LamChanHangNgan((PhiMayCatDecalTron(U$14,$D31)+ PhiMayInToner4M(ROUNDUP(U$14/$F31,0)*$E$6)+ (ROUNDUP(U$14/$F31,0)*$D$11))*(1+$D$7))</f>
        <v>1534000</v>
      </c>
      <c r="V31" s="7">
        <f>LamChanHangNgan((PhiMayCatDecalTron(V$14,$D31)+ PhiMayInToner4M(ROUNDUP(V$14/$F31,0)*$E$6)+ (ROUNDUP(V$14/$F31,0)*$D$11))*(1+$D$7))</f>
        <v>1736000</v>
      </c>
      <c r="W31" s="7">
        <f>LamChanHangNgan((PhiMayCatDecalTron(W$14,$D31)+ PhiMayInToner4M(ROUNDUP(W$14/$F31,0)*$E$6)+ (ROUNDUP(W$14/$F31,0)*$D$11))*(1+$D$7))</f>
        <v>1934000</v>
      </c>
      <c r="X31" s="7">
        <f>LamChanHangNgan((PhiMayCatDecalTron(X$14,$D31)+ PhiMayInToner4M(ROUNDUP(X$14/$F31,0)*$E$6)+ (ROUNDUP(X$14/$F31,0)*$D$11))*(1+$D$7))</f>
        <v>2136000</v>
      </c>
      <c r="Y31" s="7">
        <f>LamChanHangNgan((PhiMayCatDecalTron(Y$14,$D31)+ PhiMayInToner4M(ROUNDUP(Y$14/$F31,0)*$E$6)+ (ROUNDUP(Y$14/$F31,0)*$D$11))*(1+$D$7))</f>
        <v>4139000</v>
      </c>
    </row>
    <row r="32" spans="1:25" x14ac:dyDescent="0.25">
      <c r="A32" s="2"/>
      <c r="F32" s="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4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4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474</v>
      </c>
      <c r="F35" s="44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4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4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4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4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4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dimension ref="A1:Y43"/>
  <sheetViews>
    <sheetView workbookViewId="0">
      <pane xSplit="6" ySplit="14" topLeftCell="N15" activePane="bottomRight" state="frozen"/>
      <selection pane="topRight" activeCell="G1" sqref="G1"/>
      <selection pane="bottomLeft" activeCell="A15" sqref="A15"/>
      <selection pane="bottomRight" sqref="A1:XFD1048576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477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478</v>
      </c>
      <c r="E14" t="s">
        <v>479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4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136000</v>
      </c>
      <c r="I15" s="7">
        <f>LamChanHangNgan((PhiMayCatDecalVuong(I$14,$D15,$E15)+ PhiMayInToner4M(ROUNDUP(I$14/$F15,0)*$E$6)+ (ROUNDUP(I$14/$F15,0)*$D$11))*(1+$D$7))</f>
        <v>140000</v>
      </c>
      <c r="J15" s="7">
        <f>LamChanHangNgan((PhiMayCatDecalVuong(J$14,$D15,$E15)+ PhiMayInToner4M(ROUNDUP(J$14/$F15,0)*$E$6)+ (ROUNDUP(J$14/$F15,0)*$D$11))*(1+$D$7))</f>
        <v>140000</v>
      </c>
      <c r="K15" s="7">
        <f>LamChanHangNgan((PhiMayCatDecalVuong(K$14,$D15,$E15)+ PhiMayInToner4M(ROUNDUP(K$14/$F15,0)*$E$6)+ (ROUNDUP(K$14/$F15,0)*$D$11))*(1+$D$7))</f>
        <v>144000</v>
      </c>
      <c r="L15" s="7">
        <f>LamChanHangNgan((PhiMayCatDecalVuong(L$14,$D15,$E15)+ PhiMayInToner4M(ROUNDUP(L$14/$F15,0)*$E$6)+ (ROUNDUP(L$14/$F15,0)*$D$11))*(1+$D$7))</f>
        <v>144000</v>
      </c>
      <c r="M15" s="7">
        <f>LamChanHangNgan((PhiMayCatDecalVuong(M$14,$D15,$E15)+ PhiMayInToner4M(ROUNDUP(M$14/$F15,0)*$E$6)+ (ROUNDUP(M$14/$F15,0)*$D$11))*(1+$D$7))</f>
        <v>144000</v>
      </c>
      <c r="N15" s="7">
        <f>LamChanHangNgan((PhiMayCatDecalVuong(N$14,$D15,$E15)+ PhiMayInToner4M(ROUNDUP(N$14/$F15,0)*$E$6)+ (ROUNDUP(N$14/$F15,0)*$D$11))*(1+$D$7))</f>
        <v>148000</v>
      </c>
      <c r="O15" s="7">
        <f>LamChanHangNgan((PhiMayCatDecalVuong(O$14,$D15,$E15)+ PhiMayInToner4M(ROUNDUP(O$14/$F15,0)*$E$6)+ (ROUNDUP(O$14/$F15,0)*$D$11))*(1+$D$7))</f>
        <v>148000</v>
      </c>
      <c r="P15" s="7">
        <f>LamChanHangNgan((PhiMayCatDecalVuong(P$14,$D15,$E15)+ PhiMayInToner4M(ROUNDUP(P$14/$F15,0)*$E$6)+ (ROUNDUP(P$14/$F15,0)*$D$11))*(1+$D$7))</f>
        <v>152000</v>
      </c>
      <c r="Q15" s="7">
        <f>LamChanHangNgan((PhiMayCatDecalVuong(Q$14,$D15,$E15)+ PhiMayInToner4M(ROUNDUP(Q$14/$F15,0)*$E$6)+ (ROUNDUP(Q$14/$F15,0)*$D$11))*(1+$D$7))</f>
        <v>160000</v>
      </c>
      <c r="R15" s="7">
        <f>LamChanHangNgan((PhiMayCatDecalVuong(R$14,$D15,$E15)+ PhiMayInToner4M(ROUNDUP(R$14/$F15,0)*$E$6)+ (ROUNDUP(R$14/$F15,0)*$D$11))*(1+$D$7))</f>
        <v>168000</v>
      </c>
      <c r="S15" s="7">
        <f>LamChanHangNgan((PhiMayCatDecalVuong(S$14,$D15,$E15)+ PhiMayInToner4M(ROUNDUP(S$14/$F15,0)*$E$6)+ (ROUNDUP(S$14/$F15,0)*$D$11))*(1+$D$7))</f>
        <v>176000</v>
      </c>
      <c r="T15" s="7">
        <f>LamChanHangNgan((PhiMayCatDecalVuong(T$14,$D15,$E15)+ PhiMayInToner4M(ROUNDUP(T$14/$F15,0)*$E$6)+ (ROUNDUP(T$14/$F15,0)*$D$11))*(1+$D$7))</f>
        <v>184000</v>
      </c>
      <c r="U15" s="7">
        <f>LamChanHangNgan((PhiMayCatDecalVuong(U$14,$D15,$E15)+ PhiMayInToner4M(ROUNDUP(U$14/$F15,0)*$E$6)+ (ROUNDUP(U$14/$F15,0)*$D$11))*(1+$D$7))</f>
        <v>192000</v>
      </c>
      <c r="V15" s="7">
        <f>LamChanHangNgan((PhiMayCatDecalVuong(V$14,$D15,$E15)+ PhiMayInToner4M(ROUNDUP(V$14/$F15,0)*$E$6)+ (ROUNDUP(V$14/$F15,0)*$D$11))*(1+$D$7))</f>
        <v>200000</v>
      </c>
      <c r="W15" s="7">
        <f>LamChanHangNgan((PhiMayCatDecalVuong(W$14,$D15,$E15)+ PhiMayInToner4M(ROUNDUP(W$14/$F15,0)*$E$6)+ (ROUNDUP(W$14/$F15,0)*$D$11))*(1+$D$7))</f>
        <v>208000</v>
      </c>
      <c r="X15" s="7">
        <f>LamChanHangNgan((PhiMayCatDecalVuong(X$14,$D15,$E15)+ PhiMayInToner4M(ROUNDUP(X$14/$F15,0)*$E$6)+ (ROUNDUP(X$14/$F15,0)*$D$11))*(1+$D$7))</f>
        <v>216000</v>
      </c>
      <c r="Y15" s="7">
        <f>LamChanHangNgan((PhiMayCatDecalVuong(Y$14,$D15,$E15)+ PhiMayInToner4M(ROUNDUP(Y$14/$F15,0)*$E$6)+ (ROUNDUP(Y$14/$F15,0)*$D$11))*(1+$D$7))</f>
        <v>301000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4">
        <f t="shared" si="2"/>
        <v>208</v>
      </c>
      <c r="G16" s="7">
        <f>LamChanHangNgan((PhiMayCatDecalVuong(G$14,$D16,$E16)+ PhiMayInToner4M(ROUNDUP(G$14/$F16,0)*$E$6)+ (ROUNDUP(G$14/$F16,0)*$D$11))*(1+$D$7))</f>
        <v>136000</v>
      </c>
      <c r="H16" s="7">
        <f>LamChanHangNgan((PhiMayCatDecalVuong(H$14,$D16,$E16)+ PhiMayInToner4M(ROUNDUP(H$14/$F16,0)*$E$6)+ (ROUNDUP(H$14/$F16,0)*$D$11))*(1+$D$7))</f>
        <v>136000</v>
      </c>
      <c r="I16" s="7">
        <f>LamChanHangNgan((PhiMayCatDecalVuong(I$14,$D16,$E16)+ PhiMayInToner4M(ROUNDUP(I$14/$F16,0)*$E$6)+ (ROUNDUP(I$14/$F16,0)*$D$11))*(1+$D$7))</f>
        <v>140000</v>
      </c>
      <c r="J16" s="7">
        <f>LamChanHangNgan((PhiMayCatDecalVuong(J$14,$D16,$E16)+ PhiMayInToner4M(ROUNDUP(J$14/$F16,0)*$E$6)+ (ROUNDUP(J$14/$F16,0)*$D$11))*(1+$D$7))</f>
        <v>140000</v>
      </c>
      <c r="K16" s="7">
        <f>LamChanHangNgan((PhiMayCatDecalVuong(K$14,$D16,$E16)+ PhiMayInToner4M(ROUNDUP(K$14/$F16,0)*$E$6)+ (ROUNDUP(K$14/$F16,0)*$D$11))*(1+$D$7))</f>
        <v>144000</v>
      </c>
      <c r="L16" s="7">
        <f>LamChanHangNgan((PhiMayCatDecalVuong(L$14,$D16,$E16)+ PhiMayInToner4M(ROUNDUP(L$14/$F16,0)*$E$6)+ (ROUNDUP(L$14/$F16,0)*$D$11))*(1+$D$7))</f>
        <v>144000</v>
      </c>
      <c r="M16" s="7">
        <f>LamChanHangNgan((PhiMayCatDecalVuong(M$14,$D16,$E16)+ PhiMayInToner4M(ROUNDUP(M$14/$F16,0)*$E$6)+ (ROUNDUP(M$14/$F16,0)*$D$11))*(1+$D$7))</f>
        <v>148000</v>
      </c>
      <c r="N16" s="7">
        <f>LamChanHangNgan((PhiMayCatDecalVuong(N$14,$D16,$E16)+ PhiMayInToner4M(ROUNDUP(N$14/$F16,0)*$E$6)+ (ROUNDUP(N$14/$F16,0)*$D$11))*(1+$D$7))</f>
        <v>148000</v>
      </c>
      <c r="O16" s="7">
        <f>LamChanHangNgan((PhiMayCatDecalVuong(O$14,$D16,$E16)+ PhiMayInToner4M(ROUNDUP(O$14/$F16,0)*$E$6)+ (ROUNDUP(O$14/$F16,0)*$D$11))*(1+$D$7))</f>
        <v>152000</v>
      </c>
      <c r="P16" s="7">
        <f>LamChanHangNgan((PhiMayCatDecalVuong(P$14,$D16,$E16)+ PhiMayInToner4M(ROUNDUP(P$14/$F16,0)*$E$6)+ (ROUNDUP(P$14/$F16,0)*$D$11))*(1+$D$7))</f>
        <v>152000</v>
      </c>
      <c r="Q16" s="7">
        <f>LamChanHangNgan((PhiMayCatDecalVuong(Q$14,$D16,$E16)+ PhiMayInToner4M(ROUNDUP(Q$14/$F16,0)*$E$6)+ (ROUNDUP(Q$14/$F16,0)*$D$11))*(1+$D$7))</f>
        <v>164000</v>
      </c>
      <c r="R16" s="7">
        <f>LamChanHangNgan((PhiMayCatDecalVuong(R$14,$D16,$E16)+ PhiMayInToner4M(ROUNDUP(R$14/$F16,0)*$E$6)+ (ROUNDUP(R$14/$F16,0)*$D$11))*(1+$D$7))</f>
        <v>172000</v>
      </c>
      <c r="S16" s="7">
        <f>LamChanHangNgan((PhiMayCatDecalVuong(S$14,$D16,$E16)+ PhiMayInToner4M(ROUNDUP(S$14/$F16,0)*$E$6)+ (ROUNDUP(S$14/$F16,0)*$D$11))*(1+$D$7))</f>
        <v>184000</v>
      </c>
      <c r="T16" s="7">
        <f>LamChanHangNgan((PhiMayCatDecalVuong(T$14,$D16,$E16)+ PhiMayInToner4M(ROUNDUP(T$14/$F16,0)*$E$6)+ (ROUNDUP(T$14/$F16,0)*$D$11))*(1+$D$7))</f>
        <v>192000</v>
      </c>
      <c r="U16" s="7">
        <f>LamChanHangNgan((PhiMayCatDecalVuong(U$14,$D16,$E16)+ PhiMayInToner4M(ROUNDUP(U$14/$F16,0)*$E$6)+ (ROUNDUP(U$14/$F16,0)*$D$11))*(1+$D$7))</f>
        <v>200000</v>
      </c>
      <c r="V16" s="7">
        <f>LamChanHangNgan((PhiMayCatDecalVuong(V$14,$D16,$E16)+ PhiMayInToner4M(ROUNDUP(V$14/$F16,0)*$E$6)+ (ROUNDUP(V$14/$F16,0)*$D$11))*(1+$D$7))</f>
        <v>212000</v>
      </c>
      <c r="W16" s="7">
        <f>LamChanHangNgan((PhiMayCatDecalVuong(W$14,$D16,$E16)+ PhiMayInToner4M(ROUNDUP(W$14/$F16,0)*$E$6)+ (ROUNDUP(W$14/$F16,0)*$D$11))*(1+$D$7))</f>
        <v>220000</v>
      </c>
      <c r="X16" s="7">
        <f>LamChanHangNgan((PhiMayCatDecalVuong(X$14,$D16,$E16)+ PhiMayInToner4M(ROUNDUP(X$14/$F16,0)*$E$6)+ (ROUNDUP(X$14/$F16,0)*$D$11))*(1+$D$7))</f>
        <v>232000</v>
      </c>
      <c r="Y16" s="7">
        <f>LamChanHangNgan((PhiMayCatDecalVuong(Y$14,$D16,$E16)+ PhiMayInToner4M(ROUNDUP(Y$14/$F16,0)*$E$6)+ (ROUNDUP(Y$14/$F16,0)*$D$11))*(1+$D$7))</f>
        <v>328000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4">
        <f t="shared" si="2"/>
        <v>176</v>
      </c>
      <c r="G17" s="7">
        <f>LamChanHangNgan((PhiMayCatDecalVuong(G$14,$D17,$E17)+ PhiMayInToner4M(ROUNDUP(G$14/$F17,0)*$E$6)+ (ROUNDUP(G$14/$F17,0)*$D$11))*(1+$D$7))</f>
        <v>136000</v>
      </c>
      <c r="H17" s="7">
        <f>LamChanHangNgan((PhiMayCatDecalVuong(H$14,$D17,$E17)+ PhiMayInToner4M(ROUNDUP(H$14/$F17,0)*$E$6)+ (ROUNDUP(H$14/$F17,0)*$D$11))*(1+$D$7))</f>
        <v>140000</v>
      </c>
      <c r="I17" s="7">
        <f>LamChanHangNgan((PhiMayCatDecalVuong(I$14,$D17,$E17)+ PhiMayInToner4M(ROUNDUP(I$14/$F17,0)*$E$6)+ (ROUNDUP(I$14/$F17,0)*$D$11))*(1+$D$7))</f>
        <v>140000</v>
      </c>
      <c r="J17" s="7">
        <f>LamChanHangNgan((PhiMayCatDecalVuong(J$14,$D17,$E17)+ PhiMayInToner4M(ROUNDUP(J$14/$F17,0)*$E$6)+ (ROUNDUP(J$14/$F17,0)*$D$11))*(1+$D$7))</f>
        <v>144000</v>
      </c>
      <c r="K17" s="7">
        <f>LamChanHangNgan((PhiMayCatDecalVuong(K$14,$D17,$E17)+ PhiMayInToner4M(ROUNDUP(K$14/$F17,0)*$E$6)+ (ROUNDUP(K$14/$F17,0)*$D$11))*(1+$D$7))</f>
        <v>144000</v>
      </c>
      <c r="L17" s="7">
        <f>LamChanHangNgan((PhiMayCatDecalVuong(L$14,$D17,$E17)+ PhiMayInToner4M(ROUNDUP(L$14/$F17,0)*$E$6)+ (ROUNDUP(L$14/$F17,0)*$D$11))*(1+$D$7))</f>
        <v>148000</v>
      </c>
      <c r="M17" s="7">
        <f>LamChanHangNgan((PhiMayCatDecalVuong(M$14,$D17,$E17)+ PhiMayInToner4M(ROUNDUP(M$14/$F17,0)*$E$6)+ (ROUNDUP(M$14/$F17,0)*$D$11))*(1+$D$7))</f>
        <v>148000</v>
      </c>
      <c r="N17" s="7">
        <f>LamChanHangNgan((PhiMayCatDecalVuong(N$14,$D17,$E17)+ PhiMayInToner4M(ROUNDUP(N$14/$F17,0)*$E$6)+ (ROUNDUP(N$14/$F17,0)*$D$11))*(1+$D$7))</f>
        <v>152000</v>
      </c>
      <c r="O17" s="7">
        <f>LamChanHangNgan((PhiMayCatDecalVuong(O$14,$D17,$E17)+ PhiMayInToner4M(ROUNDUP(O$14/$F17,0)*$E$6)+ (ROUNDUP(O$14/$F17,0)*$D$11))*(1+$D$7))</f>
        <v>156000</v>
      </c>
      <c r="P17" s="7">
        <f>LamChanHangNgan((PhiMayCatDecalVuong(P$14,$D17,$E17)+ PhiMayInToner4M(ROUNDUP(P$14/$F17,0)*$E$6)+ (ROUNDUP(P$14/$F17,0)*$D$11))*(1+$D$7))</f>
        <v>156000</v>
      </c>
      <c r="Q17" s="7">
        <f>LamChanHangNgan((PhiMayCatDecalVuong(Q$14,$D17,$E17)+ PhiMayInToner4M(ROUNDUP(Q$14/$F17,0)*$E$6)+ (ROUNDUP(Q$14/$F17,0)*$D$11))*(1+$D$7))</f>
        <v>168000</v>
      </c>
      <c r="R17" s="7">
        <f>LamChanHangNgan((PhiMayCatDecalVuong(R$14,$D17,$E17)+ PhiMayInToner4M(ROUNDUP(R$14/$F17,0)*$E$6)+ (ROUNDUP(R$14/$F17,0)*$D$11))*(1+$D$7))</f>
        <v>179000</v>
      </c>
      <c r="S17" s="7">
        <f>LamChanHangNgan((PhiMayCatDecalVuong(S$14,$D17,$E17)+ PhiMayInToner4M(ROUNDUP(S$14/$F17,0)*$E$6)+ (ROUNDUP(S$14/$F17,0)*$D$11))*(1+$D$7))</f>
        <v>191000</v>
      </c>
      <c r="T17" s="7">
        <f>LamChanHangNgan((PhiMayCatDecalVuong(T$14,$D17,$E17)+ PhiMayInToner4M(ROUNDUP(T$14/$F17,0)*$E$6)+ (ROUNDUP(T$14/$F17,0)*$D$11))*(1+$D$7))</f>
        <v>203000</v>
      </c>
      <c r="U17" s="7">
        <f>LamChanHangNgan((PhiMayCatDecalVuong(U$14,$D17,$E17)+ PhiMayInToner4M(ROUNDUP(U$14/$F17,0)*$E$6)+ (ROUNDUP(U$14/$F17,0)*$D$11))*(1+$D$7))</f>
        <v>211000</v>
      </c>
      <c r="V17" s="7">
        <f>LamChanHangNgan((PhiMayCatDecalVuong(V$14,$D17,$E17)+ PhiMayInToner4M(ROUNDUP(V$14/$F17,0)*$E$6)+ (ROUNDUP(V$14/$F17,0)*$D$11))*(1+$D$7))</f>
        <v>223000</v>
      </c>
      <c r="W17" s="7">
        <f>LamChanHangNgan((PhiMayCatDecalVuong(W$14,$D17,$E17)+ PhiMayInToner4M(ROUNDUP(W$14/$F17,0)*$E$6)+ (ROUNDUP(W$14/$F17,0)*$D$11))*(1+$D$7))</f>
        <v>235000</v>
      </c>
      <c r="X17" s="7">
        <f>LamChanHangNgan((PhiMayCatDecalVuong(X$14,$D17,$E17)+ PhiMayInToner4M(ROUNDUP(X$14/$F17,0)*$E$6)+ (ROUNDUP(X$14/$F17,0)*$D$11))*(1+$D$7))</f>
        <v>247000</v>
      </c>
      <c r="Y17" s="7">
        <f>LamChanHangNgan((PhiMayCatDecalVuong(Y$14,$D17,$E17)+ PhiMayInToner4M(ROUNDUP(Y$14/$F17,0)*$E$6)+ (ROUNDUP(Y$14/$F17,0)*$D$11))*(1+$D$7))</f>
        <v>358000</v>
      </c>
    </row>
    <row r="18" spans="1:25" x14ac:dyDescent="0.25">
      <c r="A18" s="1" t="s">
        <v>450</v>
      </c>
      <c r="B18">
        <v>4</v>
      </c>
      <c r="C18" t="str">
        <f t="shared" si="3"/>
        <v>2.5 x 3.5 cm</v>
      </c>
      <c r="D18">
        <v>2.5</v>
      </c>
      <c r="E18">
        <v>3.5</v>
      </c>
      <c r="F18" s="44">
        <f t="shared" si="2"/>
        <v>135</v>
      </c>
      <c r="G18" s="7">
        <f>LamChanHangNgan((PhiMayCatDecalVuong(G$14,$D18,$E18)+ PhiMayInToner4M(ROUNDUP(G$14/$F18,0)*$E$6)+ (ROUNDUP(G$14/$F18,0)*$D$11))*(1+$D$7))</f>
        <v>136000</v>
      </c>
      <c r="H18" s="7">
        <f>LamChanHangNgan((PhiMayCatDecalVuong(H$14,$D18,$E18)+ PhiMayInToner4M(ROUNDUP(H$14/$F18,0)*$E$6)+ (ROUNDUP(H$14/$F18,0)*$D$11))*(1+$D$7))</f>
        <v>140000</v>
      </c>
      <c r="I18" s="7">
        <f>LamChanHangNgan((PhiMayCatDecalVuong(I$14,$D18,$E18)+ PhiMayInToner4M(ROUNDUP(I$14/$F18,0)*$E$6)+ (ROUNDUP(I$14/$F18,0)*$D$11))*(1+$D$7))</f>
        <v>144000</v>
      </c>
      <c r="J18" s="7">
        <f>LamChanHangNgan((PhiMayCatDecalVuong(J$14,$D18,$E18)+ PhiMayInToner4M(ROUNDUP(J$14/$F18,0)*$E$6)+ (ROUNDUP(J$14/$F18,0)*$D$11))*(1+$D$7))</f>
        <v>144000</v>
      </c>
      <c r="K18" s="7">
        <f>LamChanHangNgan((PhiMayCatDecalVuong(K$14,$D18,$E18)+ PhiMayInToner4M(ROUNDUP(K$14/$F18,0)*$E$6)+ (ROUNDUP(K$14/$F18,0)*$D$11))*(1+$D$7))</f>
        <v>148000</v>
      </c>
      <c r="L18" s="7">
        <f>LamChanHangNgan((PhiMayCatDecalVuong(L$14,$D18,$E18)+ PhiMayInToner4M(ROUNDUP(L$14/$F18,0)*$E$6)+ (ROUNDUP(L$14/$F18,0)*$D$11))*(1+$D$7))</f>
        <v>151000</v>
      </c>
      <c r="M18" s="7">
        <f>LamChanHangNgan((PhiMayCatDecalVuong(M$14,$D18,$E18)+ PhiMayInToner4M(ROUNDUP(M$14/$F18,0)*$E$6)+ (ROUNDUP(M$14/$F18,0)*$D$11))*(1+$D$7))</f>
        <v>155000</v>
      </c>
      <c r="N18" s="7">
        <f>LamChanHangNgan((PhiMayCatDecalVuong(N$14,$D18,$E18)+ PhiMayInToner4M(ROUNDUP(N$14/$F18,0)*$E$6)+ (ROUNDUP(N$14/$F18,0)*$D$11))*(1+$D$7))</f>
        <v>156000</v>
      </c>
      <c r="O18" s="7">
        <f>LamChanHangNgan((PhiMayCatDecalVuong(O$14,$D18,$E18)+ PhiMayInToner4M(ROUNDUP(O$14/$F18,0)*$E$6)+ (ROUNDUP(O$14/$F18,0)*$D$11))*(1+$D$7))</f>
        <v>159000</v>
      </c>
      <c r="P18" s="7">
        <f>LamChanHangNgan((PhiMayCatDecalVuong(P$14,$D18,$E18)+ PhiMayInToner4M(ROUNDUP(P$14/$F18,0)*$E$6)+ (ROUNDUP(P$14/$F18,0)*$D$11))*(1+$D$7))</f>
        <v>163000</v>
      </c>
      <c r="Q18" s="7">
        <f>LamChanHangNgan((PhiMayCatDecalVuong(Q$14,$D18,$E18)+ PhiMayInToner4M(ROUNDUP(Q$14/$F18,0)*$E$6)+ (ROUNDUP(Q$14/$F18,0)*$D$11))*(1+$D$7))</f>
        <v>179000</v>
      </c>
      <c r="R18" s="7">
        <f>LamChanHangNgan((PhiMayCatDecalVuong(R$14,$D18,$E18)+ PhiMayInToner4M(ROUNDUP(R$14/$F18,0)*$E$6)+ (ROUNDUP(R$14/$F18,0)*$D$11))*(1+$D$7))</f>
        <v>190000</v>
      </c>
      <c r="S18" s="7">
        <f>LamChanHangNgan((PhiMayCatDecalVuong(S$14,$D18,$E18)+ PhiMayInToner4M(ROUNDUP(S$14/$F18,0)*$E$6)+ (ROUNDUP(S$14/$F18,0)*$D$11))*(1+$D$7))</f>
        <v>206000</v>
      </c>
      <c r="T18" s="7">
        <f>LamChanHangNgan((PhiMayCatDecalVuong(T$14,$D18,$E18)+ PhiMayInToner4M(ROUNDUP(T$14/$F18,0)*$E$6)+ (ROUNDUP(T$14/$F18,0)*$D$11))*(1+$D$7))</f>
        <v>221000</v>
      </c>
      <c r="U18" s="7">
        <f>LamChanHangNgan((PhiMayCatDecalVuong(U$14,$D18,$E18)+ PhiMayInToner4M(ROUNDUP(U$14/$F18,0)*$E$6)+ (ROUNDUP(U$14/$F18,0)*$D$11))*(1+$D$7))</f>
        <v>233000</v>
      </c>
      <c r="V18" s="7">
        <f>LamChanHangNgan((PhiMayCatDecalVuong(V$14,$D18,$E18)+ PhiMayInToner4M(ROUNDUP(V$14/$F18,0)*$E$6)+ (ROUNDUP(V$14/$F18,0)*$D$11))*(1+$D$7))</f>
        <v>249000</v>
      </c>
      <c r="W18" s="7">
        <f>LamChanHangNgan((PhiMayCatDecalVuong(W$14,$D18,$E18)+ PhiMayInToner4M(ROUNDUP(W$14/$F18,0)*$E$6)+ (ROUNDUP(W$14/$F18,0)*$D$11))*(1+$D$7))</f>
        <v>264000</v>
      </c>
      <c r="X18" s="7">
        <f>LamChanHangNgan((PhiMayCatDecalVuong(X$14,$D18,$E18)+ PhiMayInToner4M(ROUNDUP(X$14/$F18,0)*$E$6)+ (ROUNDUP(X$14/$F18,0)*$D$11))*(1+$D$7))</f>
        <v>280000</v>
      </c>
      <c r="Y18" s="7">
        <f>LamChanHangNgan((PhiMayCatDecalVuong(Y$14,$D18,$E18)+ PhiMayInToner4M(ROUNDUP(Y$14/$F18,0)*$E$6)+ (ROUNDUP(Y$14/$F18,0)*$D$11))*(1+$D$7))</f>
        <v>423000</v>
      </c>
    </row>
    <row r="19" spans="1:25" ht="30" x14ac:dyDescent="0.25">
      <c r="A19" s="2" t="s">
        <v>451</v>
      </c>
      <c r="B19">
        <v>5</v>
      </c>
      <c r="C19" t="str">
        <f t="shared" si="3"/>
        <v>2.5 x 4 cm</v>
      </c>
      <c r="D19">
        <v>2.5</v>
      </c>
      <c r="E19">
        <v>4</v>
      </c>
      <c r="F19" s="44">
        <f t="shared" si="2"/>
        <v>120</v>
      </c>
      <c r="G19" s="7">
        <f>LamChanHangNgan((PhiMayCatDecalVuong(G$14,$D19,$E19)+ PhiMayInToner4M(ROUNDUP(G$14/$F19,0)*$E$6)+ (ROUNDUP(G$14/$F19,0)*$D$11))*(1+$D$7))</f>
        <v>136000</v>
      </c>
      <c r="H19" s="7">
        <f>LamChanHangNgan((PhiMayCatDecalVuong(H$14,$D19,$E19)+ PhiMayInToner4M(ROUNDUP(H$14/$F19,0)*$E$6)+ (ROUNDUP(H$14/$F19,0)*$D$11))*(1+$D$7))</f>
        <v>140000</v>
      </c>
      <c r="I19" s="7">
        <f>LamChanHangNgan((PhiMayCatDecalVuong(I$14,$D19,$E19)+ PhiMayInToner4M(ROUNDUP(I$14/$F19,0)*$E$6)+ (ROUNDUP(I$14/$F19,0)*$D$11))*(1+$D$7))</f>
        <v>144000</v>
      </c>
      <c r="J19" s="7">
        <f>LamChanHangNgan((PhiMayCatDecalVuong(J$14,$D19,$E19)+ PhiMayInToner4M(ROUNDUP(J$14/$F19,0)*$E$6)+ (ROUNDUP(J$14/$F19,0)*$D$11))*(1+$D$7))</f>
        <v>147000</v>
      </c>
      <c r="K19" s="7">
        <f>LamChanHangNgan((PhiMayCatDecalVuong(K$14,$D19,$E19)+ PhiMayInToner4M(ROUNDUP(K$14/$F19,0)*$E$6)+ (ROUNDUP(K$14/$F19,0)*$D$11))*(1+$D$7))</f>
        <v>151000</v>
      </c>
      <c r="L19" s="7">
        <f>LamChanHangNgan((PhiMayCatDecalVuong(L$14,$D19,$E19)+ PhiMayInToner4M(ROUNDUP(L$14/$F19,0)*$E$6)+ (ROUNDUP(L$14/$F19,0)*$D$11))*(1+$D$7))</f>
        <v>152000</v>
      </c>
      <c r="M19" s="7">
        <f>LamChanHangNgan((PhiMayCatDecalVuong(M$14,$D19,$E19)+ PhiMayInToner4M(ROUNDUP(M$14/$F19,0)*$E$6)+ (ROUNDUP(M$14/$F19,0)*$D$11))*(1+$D$7))</f>
        <v>155000</v>
      </c>
      <c r="N19" s="7">
        <f>LamChanHangNgan((PhiMayCatDecalVuong(N$14,$D19,$E19)+ PhiMayInToner4M(ROUNDUP(N$14/$F19,0)*$E$6)+ (ROUNDUP(N$14/$F19,0)*$D$11))*(1+$D$7))</f>
        <v>159000</v>
      </c>
      <c r="O19" s="7">
        <f>LamChanHangNgan((PhiMayCatDecalVuong(O$14,$D19,$E19)+ PhiMayInToner4M(ROUNDUP(O$14/$F19,0)*$E$6)+ (ROUNDUP(O$14/$F19,0)*$D$11))*(1+$D$7))</f>
        <v>163000</v>
      </c>
      <c r="P19" s="7">
        <f>LamChanHangNgan((PhiMayCatDecalVuong(P$14,$D19,$E19)+ PhiMayInToner4M(ROUNDUP(P$14/$F19,0)*$E$6)+ (ROUNDUP(P$14/$F19,0)*$D$11))*(1+$D$7))</f>
        <v>167000</v>
      </c>
      <c r="Q19" s="7">
        <f>LamChanHangNgan((PhiMayCatDecalVuong(Q$14,$D19,$E19)+ PhiMayInToner4M(ROUNDUP(Q$14/$F19,0)*$E$6)+ (ROUNDUP(Q$14/$F19,0)*$D$11))*(1+$D$7))</f>
        <v>182000</v>
      </c>
      <c r="R19" s="7">
        <f>LamChanHangNgan((PhiMayCatDecalVuong(R$14,$D19,$E19)+ PhiMayInToner4M(ROUNDUP(R$14/$F19,0)*$E$6)+ (ROUNDUP(R$14/$F19,0)*$D$11))*(1+$D$7))</f>
        <v>198000</v>
      </c>
      <c r="S19" s="7">
        <f>LamChanHangNgan((PhiMayCatDecalVuong(S$14,$D19,$E19)+ PhiMayInToner4M(ROUNDUP(S$14/$F19,0)*$E$6)+ (ROUNDUP(S$14/$F19,0)*$D$11))*(1+$D$7))</f>
        <v>213000</v>
      </c>
      <c r="T19" s="7">
        <f>LamChanHangNgan((PhiMayCatDecalVuong(T$14,$D19,$E19)+ PhiMayInToner4M(ROUNDUP(T$14/$F19,0)*$E$6)+ (ROUNDUP(T$14/$F19,0)*$D$11))*(1+$D$7))</f>
        <v>229000</v>
      </c>
      <c r="U19" s="7">
        <f>LamChanHangNgan((PhiMayCatDecalVuong(U$14,$D19,$E19)+ PhiMayInToner4M(ROUNDUP(U$14/$F19,0)*$E$6)+ (ROUNDUP(U$14/$F19,0)*$D$11))*(1+$D$7))</f>
        <v>248000</v>
      </c>
      <c r="V19" s="7">
        <f>LamChanHangNgan((PhiMayCatDecalVuong(V$14,$D19,$E19)+ PhiMayInToner4M(ROUNDUP(V$14/$F19,0)*$E$6)+ (ROUNDUP(V$14/$F19,0)*$D$11))*(1+$D$7))</f>
        <v>264000</v>
      </c>
      <c r="W19" s="7">
        <f>LamChanHangNgan((PhiMayCatDecalVuong(W$14,$D19,$E19)+ PhiMayInToner4M(ROUNDUP(W$14/$F19,0)*$E$6)+ (ROUNDUP(W$14/$F19,0)*$D$11))*(1+$D$7))</f>
        <v>279000</v>
      </c>
      <c r="X19" s="7">
        <f>LamChanHangNgan((PhiMayCatDecalVuong(X$14,$D19,$E19)+ PhiMayInToner4M(ROUNDUP(X$14/$F19,0)*$E$6)+ (ROUNDUP(X$14/$F19,0)*$D$11))*(1+$D$7))</f>
        <v>295000</v>
      </c>
      <c r="Y19" s="7">
        <f>LamChanHangNgan((PhiMayCatDecalVuong(Y$14,$D19,$E19)+ PhiMayInToner4M(ROUNDUP(Y$14/$F19,0)*$E$6)+ (ROUNDUP(Y$14/$F19,0)*$D$11))*(1+$D$7))</f>
        <v>457000</v>
      </c>
    </row>
    <row r="20" spans="1:25" x14ac:dyDescent="0.25">
      <c r="A20" s="2" t="s">
        <v>452</v>
      </c>
      <c r="B20">
        <v>6</v>
      </c>
      <c r="C20" t="str">
        <f t="shared" si="3"/>
        <v>2.5 x 4.5 cm</v>
      </c>
      <c r="D20">
        <v>2.5</v>
      </c>
      <c r="E20">
        <v>4.5</v>
      </c>
      <c r="F20" s="44">
        <f t="shared" si="2"/>
        <v>105</v>
      </c>
      <c r="G20" s="7">
        <f>LamChanHangNgan((PhiMayCatDecalVuong(G$14,$D20,$E20)+ PhiMayInToner4M(ROUNDUP(G$14/$F20,0)*$E$6)+ (ROUNDUP(G$14/$F20,0)*$D$11))*(1+$D$7))</f>
        <v>136000</v>
      </c>
      <c r="H20" s="7">
        <f>LamChanHangNgan((PhiMayCatDecalVuong(H$14,$D20,$E20)+ PhiMayInToner4M(ROUNDUP(H$14/$F20,0)*$E$6)+ (ROUNDUP(H$14/$F20,0)*$D$11))*(1+$D$7))</f>
        <v>140000</v>
      </c>
      <c r="I20" s="7">
        <f>LamChanHangNgan((PhiMayCatDecalVuong(I$14,$D20,$E20)+ PhiMayInToner4M(ROUNDUP(I$14/$F20,0)*$E$6)+ (ROUNDUP(I$14/$F20,0)*$D$11))*(1+$D$7))</f>
        <v>144000</v>
      </c>
      <c r="J20" s="7">
        <f>LamChanHangNgan((PhiMayCatDecalVuong(J$14,$D20,$E20)+ PhiMayInToner4M(ROUNDUP(J$14/$F20,0)*$E$6)+ (ROUNDUP(J$14/$F20,0)*$D$11))*(1+$D$7))</f>
        <v>148000</v>
      </c>
      <c r="K20" s="7">
        <f>LamChanHangNgan((PhiMayCatDecalVuong(K$14,$D20,$E20)+ PhiMayInToner4M(ROUNDUP(K$14/$F20,0)*$E$6)+ (ROUNDUP(K$14/$F20,0)*$D$11))*(1+$D$7))</f>
        <v>151000</v>
      </c>
      <c r="L20" s="7">
        <f>LamChanHangNgan((PhiMayCatDecalVuong(L$14,$D20,$E20)+ PhiMayInToner4M(ROUNDUP(L$14/$F20,0)*$E$6)+ (ROUNDUP(L$14/$F20,0)*$D$11))*(1+$D$7))</f>
        <v>155000</v>
      </c>
      <c r="M20" s="7">
        <f>LamChanHangNgan((PhiMayCatDecalVuong(M$14,$D20,$E20)+ PhiMayInToner4M(ROUNDUP(M$14/$F20,0)*$E$6)+ (ROUNDUP(M$14/$F20,0)*$D$11))*(1+$D$7))</f>
        <v>159000</v>
      </c>
      <c r="N20" s="7">
        <f>LamChanHangNgan((PhiMayCatDecalVuong(N$14,$D20,$E20)+ PhiMayInToner4M(ROUNDUP(N$14/$F20,0)*$E$6)+ (ROUNDUP(N$14/$F20,0)*$D$11))*(1+$D$7))</f>
        <v>163000</v>
      </c>
      <c r="O20" s="7">
        <f>LamChanHangNgan((PhiMayCatDecalVuong(O$14,$D20,$E20)+ PhiMayInToner4M(ROUNDUP(O$14/$F20,0)*$E$6)+ (ROUNDUP(O$14/$F20,0)*$D$11))*(1+$D$7))</f>
        <v>167000</v>
      </c>
      <c r="P20" s="7">
        <f>LamChanHangNgan((PhiMayCatDecalVuong(P$14,$D20,$E20)+ PhiMayInToner4M(ROUNDUP(P$14/$F20,0)*$E$6)+ (ROUNDUP(P$14/$F20,0)*$D$11))*(1+$D$7))</f>
        <v>171000</v>
      </c>
      <c r="Q20" s="7">
        <f>LamChanHangNgan((PhiMayCatDecalVuong(Q$14,$D20,$E20)+ PhiMayInToner4M(ROUNDUP(Q$14/$F20,0)*$E$6)+ (ROUNDUP(Q$14/$F20,0)*$D$11))*(1+$D$7))</f>
        <v>190000</v>
      </c>
      <c r="R20" s="7">
        <f>LamChanHangNgan((PhiMayCatDecalVuong(R$14,$D20,$E20)+ PhiMayInToner4M(ROUNDUP(R$14/$F20,0)*$E$6)+ (ROUNDUP(R$14/$F20,0)*$D$11))*(1+$D$7))</f>
        <v>209000</v>
      </c>
      <c r="S20" s="7">
        <f>LamChanHangNgan((PhiMayCatDecalVuong(S$14,$D20,$E20)+ PhiMayInToner4M(ROUNDUP(S$14/$F20,0)*$E$6)+ (ROUNDUP(S$14/$F20,0)*$D$11))*(1+$D$7))</f>
        <v>225000</v>
      </c>
      <c r="T20" s="7">
        <f>LamChanHangNgan((PhiMayCatDecalVuong(T$14,$D20,$E20)+ PhiMayInToner4M(ROUNDUP(T$14/$F20,0)*$E$6)+ (ROUNDUP(T$14/$F20,0)*$D$11))*(1+$D$7))</f>
        <v>244000</v>
      </c>
      <c r="U20" s="7">
        <f>LamChanHangNgan((PhiMayCatDecalVuong(U$14,$D20,$E20)+ PhiMayInToner4M(ROUNDUP(U$14/$F20,0)*$E$6)+ (ROUNDUP(U$14/$F20,0)*$D$11))*(1+$D$7))</f>
        <v>263000</v>
      </c>
      <c r="V20" s="7">
        <f>LamChanHangNgan((PhiMayCatDecalVuong(V$14,$D20,$E20)+ PhiMayInToner4M(ROUNDUP(V$14/$F20,0)*$E$6)+ (ROUNDUP(V$14/$F20,0)*$D$11))*(1+$D$7))</f>
        <v>282000</v>
      </c>
      <c r="W20" s="7">
        <f>LamChanHangNgan((PhiMayCatDecalVuong(W$14,$D20,$E20)+ PhiMayInToner4M(ROUNDUP(W$14/$F20,0)*$E$6)+ (ROUNDUP(W$14/$F20,0)*$D$11))*(1+$D$7))</f>
        <v>298000</v>
      </c>
      <c r="X20" s="7">
        <f>LamChanHangNgan((PhiMayCatDecalVuong(X$14,$D20,$E20)+ PhiMayInToner4M(ROUNDUP(X$14/$F20,0)*$E$6)+ (ROUNDUP(X$14/$F20,0)*$D$11))*(1+$D$7))</f>
        <v>317000</v>
      </c>
      <c r="Y20" s="7">
        <f>LamChanHangNgan((PhiMayCatDecalVuong(Y$14,$D20,$E20)+ PhiMayInToner4M(ROUNDUP(Y$14/$F20,0)*$E$6)+ (ROUNDUP(Y$14/$F20,0)*$D$11))*(1+$D$7))</f>
        <v>502000</v>
      </c>
    </row>
    <row r="21" spans="1:25" x14ac:dyDescent="0.25">
      <c r="A21" s="2" t="s">
        <v>453</v>
      </c>
      <c r="B21">
        <v>7</v>
      </c>
      <c r="C21" t="str">
        <f t="shared" si="3"/>
        <v>2.7 x 3.5 cm</v>
      </c>
      <c r="D21">
        <v>2.7</v>
      </c>
      <c r="E21">
        <v>3.5</v>
      </c>
      <c r="F21" s="44">
        <f t="shared" si="2"/>
        <v>126</v>
      </c>
      <c r="G21" s="7">
        <f>LamChanHangNgan((PhiMayCatDecalVuong(G$14,$D21,$E21)+ PhiMayInToner4M(ROUNDUP(G$14/$F21,0)*$E$6)+ (ROUNDUP(G$14/$F21,0)*$D$11))*(1+$D$7))</f>
        <v>136000</v>
      </c>
      <c r="H21" s="7">
        <f>LamChanHangNgan((PhiMayCatDecalVuong(H$14,$D21,$E21)+ PhiMayInToner4M(ROUNDUP(H$14/$F21,0)*$E$6)+ (ROUNDUP(H$14/$F21,0)*$D$11))*(1+$D$7))</f>
        <v>140000</v>
      </c>
      <c r="I21" s="7">
        <f>LamChanHangNgan((PhiMayCatDecalVuong(I$14,$D21,$E21)+ PhiMayInToner4M(ROUNDUP(I$14/$F21,0)*$E$6)+ (ROUNDUP(I$14/$F21,0)*$D$11))*(1+$D$7))</f>
        <v>144000</v>
      </c>
      <c r="J21" s="7">
        <f>LamChanHangNgan((PhiMayCatDecalVuong(J$14,$D21,$E21)+ PhiMayInToner4M(ROUNDUP(J$14/$F21,0)*$E$6)+ (ROUNDUP(J$14/$F21,0)*$D$11))*(1+$D$7))</f>
        <v>147000</v>
      </c>
      <c r="K21" s="7">
        <f>LamChanHangNgan((PhiMayCatDecalVuong(K$14,$D21,$E21)+ PhiMayInToner4M(ROUNDUP(K$14/$F21,0)*$E$6)+ (ROUNDUP(K$14/$F21,0)*$D$11))*(1+$D$7))</f>
        <v>148000</v>
      </c>
      <c r="L21" s="7">
        <f>LamChanHangNgan((PhiMayCatDecalVuong(L$14,$D21,$E21)+ PhiMayInToner4M(ROUNDUP(L$14/$F21,0)*$E$6)+ (ROUNDUP(L$14/$F21,0)*$D$11))*(1+$D$7))</f>
        <v>151000</v>
      </c>
      <c r="M21" s="7">
        <f>LamChanHangNgan((PhiMayCatDecalVuong(M$14,$D21,$E21)+ PhiMayInToner4M(ROUNDUP(M$14/$F21,0)*$E$6)+ (ROUNDUP(M$14/$F21,0)*$D$11))*(1+$D$7))</f>
        <v>155000</v>
      </c>
      <c r="N21" s="7">
        <f>LamChanHangNgan((PhiMayCatDecalVuong(N$14,$D21,$E21)+ PhiMayInToner4M(ROUNDUP(N$14/$F21,0)*$E$6)+ (ROUNDUP(N$14/$F21,0)*$D$11))*(1+$D$7))</f>
        <v>159000</v>
      </c>
      <c r="O21" s="7">
        <f>LamChanHangNgan((PhiMayCatDecalVuong(O$14,$D21,$E21)+ PhiMayInToner4M(ROUNDUP(O$14/$F21,0)*$E$6)+ (ROUNDUP(O$14/$F21,0)*$D$11))*(1+$D$7))</f>
        <v>163000</v>
      </c>
      <c r="P21" s="7">
        <f>LamChanHangNgan((PhiMayCatDecalVuong(P$14,$D21,$E21)+ PhiMayInToner4M(ROUNDUP(P$14/$F21,0)*$E$6)+ (ROUNDUP(P$14/$F21,0)*$D$11))*(1+$D$7))</f>
        <v>163000</v>
      </c>
      <c r="Q21" s="7">
        <f>LamChanHangNgan((PhiMayCatDecalVuong(Q$14,$D21,$E21)+ PhiMayInToner4M(ROUNDUP(Q$14/$F21,0)*$E$6)+ (ROUNDUP(Q$14/$F21,0)*$D$11))*(1+$D$7))</f>
        <v>179000</v>
      </c>
      <c r="R21" s="7">
        <f>LamChanHangNgan((PhiMayCatDecalVuong(R$14,$D21,$E21)+ PhiMayInToner4M(ROUNDUP(R$14/$F21,0)*$E$6)+ (ROUNDUP(R$14/$F21,0)*$D$11))*(1+$D$7))</f>
        <v>194000</v>
      </c>
      <c r="S21" s="7">
        <f>LamChanHangNgan((PhiMayCatDecalVuong(S$14,$D21,$E21)+ PhiMayInToner4M(ROUNDUP(S$14/$F21,0)*$E$6)+ (ROUNDUP(S$14/$F21,0)*$D$11))*(1+$D$7))</f>
        <v>210000</v>
      </c>
      <c r="T21" s="7">
        <f>LamChanHangNgan((PhiMayCatDecalVuong(T$14,$D21,$E21)+ PhiMayInToner4M(ROUNDUP(T$14/$F21,0)*$E$6)+ (ROUNDUP(T$14/$F21,0)*$D$11))*(1+$D$7))</f>
        <v>225000</v>
      </c>
      <c r="U21" s="7">
        <f>LamChanHangNgan((PhiMayCatDecalVuong(U$14,$D21,$E21)+ PhiMayInToner4M(ROUNDUP(U$14/$F21,0)*$E$6)+ (ROUNDUP(U$14/$F21,0)*$D$11))*(1+$D$7))</f>
        <v>241000</v>
      </c>
      <c r="V21" s="7">
        <f>LamChanHangNgan((PhiMayCatDecalVuong(V$14,$D21,$E21)+ PhiMayInToner4M(ROUNDUP(V$14/$F21,0)*$E$6)+ (ROUNDUP(V$14/$F21,0)*$D$11))*(1+$D$7))</f>
        <v>256000</v>
      </c>
      <c r="W21" s="7">
        <f>LamChanHangNgan((PhiMayCatDecalVuong(W$14,$D21,$E21)+ PhiMayInToner4M(ROUNDUP(W$14/$F21,0)*$E$6)+ (ROUNDUP(W$14/$F21,0)*$D$11))*(1+$D$7))</f>
        <v>272000</v>
      </c>
      <c r="X21" s="7">
        <f>LamChanHangNgan((PhiMayCatDecalVuong(X$14,$D21,$E21)+ PhiMayInToner4M(ROUNDUP(X$14/$F21,0)*$E$6)+ (ROUNDUP(X$14/$F21,0)*$D$11))*(1+$D$7))</f>
        <v>287000</v>
      </c>
      <c r="Y21" s="7">
        <f>LamChanHangNgan((PhiMayCatDecalVuong(Y$14,$D21,$E21)+ PhiMayInToner4M(ROUNDUP(Y$14/$F21,0)*$E$6)+ (ROUNDUP(Y$14/$F21,0)*$D$11))*(1+$D$7))</f>
        <v>442000</v>
      </c>
    </row>
    <row r="22" spans="1:25" x14ac:dyDescent="0.25">
      <c r="A22" s="2" t="s">
        <v>454</v>
      </c>
      <c r="B22">
        <v>8</v>
      </c>
      <c r="C22" t="str">
        <f t="shared" si="3"/>
        <v>3 x 3.5 cm</v>
      </c>
      <c r="D22">
        <v>3</v>
      </c>
      <c r="E22">
        <v>3.5</v>
      </c>
      <c r="F22" s="44">
        <f t="shared" si="2"/>
        <v>117</v>
      </c>
      <c r="G22" s="7">
        <f>LamChanHangNgan((PhiMayCatDecalVuong(G$14,$D22,$E22)+ PhiMayInToner4M(ROUNDUP(G$14/$F22,0)*$E$6)+ (ROUNDUP(G$14/$F22,0)*$D$11))*(1+$D$7))</f>
        <v>136000</v>
      </c>
      <c r="H22" s="7">
        <f>LamChanHangNgan((PhiMayCatDecalVuong(H$14,$D22,$E22)+ PhiMayInToner4M(ROUNDUP(H$14/$F22,0)*$E$6)+ (ROUNDUP(H$14/$F22,0)*$D$11))*(1+$D$7))</f>
        <v>140000</v>
      </c>
      <c r="I22" s="7">
        <f>LamChanHangNgan((PhiMayCatDecalVuong(I$14,$D22,$E22)+ PhiMayInToner4M(ROUNDUP(I$14/$F22,0)*$E$6)+ (ROUNDUP(I$14/$F22,0)*$D$11))*(1+$D$7))</f>
        <v>144000</v>
      </c>
      <c r="J22" s="7">
        <f>LamChanHangNgan((PhiMayCatDecalVuong(J$14,$D22,$E22)+ PhiMayInToner4M(ROUNDUP(J$14/$F22,0)*$E$6)+ (ROUNDUP(J$14/$F22,0)*$D$11))*(1+$D$7))</f>
        <v>147000</v>
      </c>
      <c r="K22" s="7">
        <f>LamChanHangNgan((PhiMayCatDecalVuong(K$14,$D22,$E22)+ PhiMayInToner4M(ROUNDUP(K$14/$F22,0)*$E$6)+ (ROUNDUP(K$14/$F22,0)*$D$11))*(1+$D$7))</f>
        <v>151000</v>
      </c>
      <c r="L22" s="7">
        <f>LamChanHangNgan((PhiMayCatDecalVuong(L$14,$D22,$E22)+ PhiMayInToner4M(ROUNDUP(L$14/$F22,0)*$E$6)+ (ROUNDUP(L$14/$F22,0)*$D$11))*(1+$D$7))</f>
        <v>155000</v>
      </c>
      <c r="M22" s="7">
        <f>LamChanHangNgan((PhiMayCatDecalVuong(M$14,$D22,$E22)+ PhiMayInToner4M(ROUNDUP(M$14/$F22,0)*$E$6)+ (ROUNDUP(M$14/$F22,0)*$D$11))*(1+$D$7))</f>
        <v>155000</v>
      </c>
      <c r="N22" s="7">
        <f>LamChanHangNgan((PhiMayCatDecalVuong(N$14,$D22,$E22)+ PhiMayInToner4M(ROUNDUP(N$14/$F22,0)*$E$6)+ (ROUNDUP(N$14/$F22,0)*$D$11))*(1+$D$7))</f>
        <v>159000</v>
      </c>
      <c r="O22" s="7">
        <f>LamChanHangNgan((PhiMayCatDecalVuong(O$14,$D22,$E22)+ PhiMayInToner4M(ROUNDUP(O$14/$F22,0)*$E$6)+ (ROUNDUP(O$14/$F22,0)*$D$11))*(1+$D$7))</f>
        <v>163000</v>
      </c>
      <c r="P22" s="7">
        <f>LamChanHangNgan((PhiMayCatDecalVuong(P$14,$D22,$E22)+ PhiMayInToner4M(ROUNDUP(P$14/$F22,0)*$E$6)+ (ROUNDUP(P$14/$F22,0)*$D$11))*(1+$D$7))</f>
        <v>167000</v>
      </c>
      <c r="Q22" s="7">
        <f>LamChanHangNgan((PhiMayCatDecalVuong(Q$14,$D22,$E22)+ PhiMayInToner4M(ROUNDUP(Q$14/$F22,0)*$E$6)+ (ROUNDUP(Q$14/$F22,0)*$D$11))*(1+$D$7))</f>
        <v>182000</v>
      </c>
      <c r="R22" s="7">
        <f>LamChanHangNgan((PhiMayCatDecalVuong(R$14,$D22,$E22)+ PhiMayInToner4M(ROUNDUP(R$14/$F22,0)*$E$6)+ (ROUNDUP(R$14/$F22,0)*$D$11))*(1+$D$7))</f>
        <v>201000</v>
      </c>
      <c r="S22" s="7">
        <f>LamChanHangNgan((PhiMayCatDecalVuong(S$14,$D22,$E22)+ PhiMayInToner4M(ROUNDUP(S$14/$F22,0)*$E$6)+ (ROUNDUP(S$14/$F22,0)*$D$11))*(1+$D$7))</f>
        <v>217000</v>
      </c>
      <c r="T22" s="7">
        <f>LamChanHangNgan((PhiMayCatDecalVuong(T$14,$D22,$E22)+ PhiMayInToner4M(ROUNDUP(T$14/$F22,0)*$E$6)+ (ROUNDUP(T$14/$F22,0)*$D$11))*(1+$D$7))</f>
        <v>233000</v>
      </c>
      <c r="U22" s="7">
        <f>LamChanHangNgan((PhiMayCatDecalVuong(U$14,$D22,$E22)+ PhiMayInToner4M(ROUNDUP(U$14/$F22,0)*$E$6)+ (ROUNDUP(U$14/$F22,0)*$D$11))*(1+$D$7))</f>
        <v>248000</v>
      </c>
      <c r="V22" s="7">
        <f>LamChanHangNgan((PhiMayCatDecalVuong(V$14,$D22,$E22)+ PhiMayInToner4M(ROUNDUP(V$14/$F22,0)*$E$6)+ (ROUNDUP(V$14/$F22,0)*$D$11))*(1+$D$7))</f>
        <v>267000</v>
      </c>
      <c r="W22" s="7">
        <f>LamChanHangNgan((PhiMayCatDecalVuong(W$14,$D22,$E22)+ PhiMayInToner4M(ROUNDUP(W$14/$F22,0)*$E$6)+ (ROUNDUP(W$14/$F22,0)*$D$11))*(1+$D$7))</f>
        <v>283000</v>
      </c>
      <c r="X22" s="7">
        <f>LamChanHangNgan((PhiMayCatDecalVuong(X$14,$D22,$E22)+ PhiMayInToner4M(ROUNDUP(X$14/$F22,0)*$E$6)+ (ROUNDUP(X$14/$F22,0)*$D$11))*(1+$D$7))</f>
        <v>298000</v>
      </c>
      <c r="Y22" s="7">
        <f>LamChanHangNgan((PhiMayCatDecalVuong(Y$14,$D22,$E22)+ PhiMayInToner4M(ROUNDUP(Y$14/$F22,0)*$E$6)+ (ROUNDUP(Y$14/$F22,0)*$D$11))*(1+$D$7))</f>
        <v>464000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4">
        <f t="shared" si="2"/>
        <v>104</v>
      </c>
      <c r="G23" s="7">
        <f>LamChanHangNgan((PhiMayCatDecalVuong(G$14,$D23,$E23)+ PhiMayInToner4M(ROUNDUP(G$14/$F23,0)*$E$6)+ (ROUNDUP(G$14/$F23,0)*$D$11))*(1+$D$7))</f>
        <v>136000</v>
      </c>
      <c r="H23" s="7">
        <f>LamChanHangNgan((PhiMayCatDecalVuong(H$14,$D23,$E23)+ PhiMayInToner4M(ROUNDUP(H$14/$F23,0)*$E$6)+ (ROUNDUP(H$14/$F23,0)*$D$11))*(1+$D$7))</f>
        <v>140000</v>
      </c>
      <c r="I23" s="7">
        <f>LamChanHangNgan((PhiMayCatDecalVuong(I$14,$D23,$E23)+ PhiMayInToner4M(ROUNDUP(I$14/$F23,0)*$E$6)+ (ROUNDUP(I$14/$F23,0)*$D$11))*(1+$D$7))</f>
        <v>144000</v>
      </c>
      <c r="J23" s="7">
        <f>LamChanHangNgan((PhiMayCatDecalVuong(J$14,$D23,$E23)+ PhiMayInToner4M(ROUNDUP(J$14/$F23,0)*$E$6)+ (ROUNDUP(J$14/$F23,0)*$D$11))*(1+$D$7))</f>
        <v>148000</v>
      </c>
      <c r="K23" s="7">
        <f>LamChanHangNgan((PhiMayCatDecalVuong(K$14,$D23,$E23)+ PhiMayInToner4M(ROUNDUP(K$14/$F23,0)*$E$6)+ (ROUNDUP(K$14/$F23,0)*$D$11))*(1+$D$7))</f>
        <v>151000</v>
      </c>
      <c r="L23" s="7">
        <f>LamChanHangNgan((PhiMayCatDecalVuong(L$14,$D23,$E23)+ PhiMayInToner4M(ROUNDUP(L$14/$F23,0)*$E$6)+ (ROUNDUP(L$14/$F23,0)*$D$11))*(1+$D$7))</f>
        <v>155000</v>
      </c>
      <c r="M23" s="7">
        <f>LamChanHangNgan((PhiMayCatDecalVuong(M$14,$D23,$E23)+ PhiMayInToner4M(ROUNDUP(M$14/$F23,0)*$E$6)+ (ROUNDUP(M$14/$F23,0)*$D$11))*(1+$D$7))</f>
        <v>159000</v>
      </c>
      <c r="N23" s="7">
        <f>LamChanHangNgan((PhiMayCatDecalVuong(N$14,$D23,$E23)+ PhiMayInToner4M(ROUNDUP(N$14/$F23,0)*$E$6)+ (ROUNDUP(N$14/$F23,0)*$D$11))*(1+$D$7))</f>
        <v>163000</v>
      </c>
      <c r="O23" s="7">
        <f>LamChanHangNgan((PhiMayCatDecalVuong(O$14,$D23,$E23)+ PhiMayInToner4M(ROUNDUP(O$14/$F23,0)*$E$6)+ (ROUNDUP(O$14/$F23,0)*$D$11))*(1+$D$7))</f>
        <v>167000</v>
      </c>
      <c r="P23" s="7">
        <f>LamChanHangNgan((PhiMayCatDecalVuong(P$14,$D23,$E23)+ PhiMayInToner4M(ROUNDUP(P$14/$F23,0)*$E$6)+ (ROUNDUP(P$14/$F23,0)*$D$11))*(1+$D$7))</f>
        <v>171000</v>
      </c>
      <c r="Q23" s="7">
        <f>LamChanHangNgan((PhiMayCatDecalVuong(Q$14,$D23,$E23)+ PhiMayInToner4M(ROUNDUP(Q$14/$F23,0)*$E$6)+ (ROUNDUP(Q$14/$F23,0)*$D$11))*(1+$D$7))</f>
        <v>190000</v>
      </c>
      <c r="R23" s="7">
        <f>LamChanHangNgan((PhiMayCatDecalVuong(R$14,$D23,$E23)+ PhiMayInToner4M(ROUNDUP(R$14/$F23,0)*$E$6)+ (ROUNDUP(R$14/$F23,0)*$D$11))*(1+$D$7))</f>
        <v>209000</v>
      </c>
      <c r="S23" s="7">
        <f>LamChanHangNgan((PhiMayCatDecalVuong(S$14,$D23,$E23)+ PhiMayInToner4M(ROUNDUP(S$14/$F23,0)*$E$6)+ (ROUNDUP(S$14/$F23,0)*$D$11))*(1+$D$7))</f>
        <v>228000</v>
      </c>
      <c r="T23" s="7">
        <f>LamChanHangNgan((PhiMayCatDecalVuong(T$14,$D23,$E23)+ PhiMayInToner4M(ROUNDUP(T$14/$F23,0)*$E$6)+ (ROUNDUP(T$14/$F23,0)*$D$11))*(1+$D$7))</f>
        <v>244000</v>
      </c>
      <c r="U23" s="7">
        <f>LamChanHangNgan((PhiMayCatDecalVuong(U$14,$D23,$E23)+ PhiMayInToner4M(ROUNDUP(U$14/$F23,0)*$E$6)+ (ROUNDUP(U$14/$F23,0)*$D$11))*(1+$D$7))</f>
        <v>263000</v>
      </c>
      <c r="V23" s="7">
        <f>LamChanHangNgan((PhiMayCatDecalVuong(V$14,$D23,$E23)+ PhiMayInToner4M(ROUNDUP(V$14/$F23,0)*$E$6)+ (ROUNDUP(V$14/$F23,0)*$D$11))*(1+$D$7))</f>
        <v>282000</v>
      </c>
      <c r="W23" s="7">
        <f>LamChanHangNgan((PhiMayCatDecalVuong(W$14,$D23,$E23)+ PhiMayInToner4M(ROUNDUP(W$14/$F23,0)*$E$6)+ (ROUNDUP(W$14/$F23,0)*$D$11))*(1+$D$7))</f>
        <v>301000</v>
      </c>
      <c r="X23" s="7">
        <f>LamChanHangNgan((PhiMayCatDecalVuong(X$14,$D23,$E23)+ PhiMayInToner4M(ROUNDUP(X$14/$F23,0)*$E$6)+ (ROUNDUP(X$14/$F23,0)*$D$11))*(1+$D$7))</f>
        <v>320000</v>
      </c>
      <c r="Y23" s="7">
        <f>LamChanHangNgan((PhiMayCatDecalVuong(Y$14,$D23,$E23)+ PhiMayInToner4M(ROUNDUP(Y$14/$F23,0)*$E$6)+ (ROUNDUP(Y$14/$F23,0)*$D$11))*(1+$D$7))</f>
        <v>505000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4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140000</v>
      </c>
      <c r="H24" s="7">
        <f>LamChanHangNgan((PhiMayCatDecalVuong(H$14,$D24,$E24)+ PhiMayInToner4M(ROUNDUP(H$14/$F24,0)*$E$6)+ (ROUNDUP(H$14/$F24,0)*$D$11))*(1+$D$7))</f>
        <v>143000</v>
      </c>
      <c r="I24" s="7">
        <f>LamChanHangNgan((PhiMayCatDecalVuong(I$14,$D24,$E24)+ PhiMayInToner4M(ROUNDUP(I$14/$F24,0)*$E$6)+ (ROUNDUP(I$14/$F24,0)*$D$11))*(1+$D$7))</f>
        <v>147000</v>
      </c>
      <c r="J24" s="7">
        <f>LamChanHangNgan((PhiMayCatDecalVuong(J$14,$D24,$E24)+ PhiMayInToner4M(ROUNDUP(J$14/$F24,0)*$E$6)+ (ROUNDUP(J$14/$F24,0)*$D$11))*(1+$D$7))</f>
        <v>151000</v>
      </c>
      <c r="K24" s="7">
        <f>LamChanHangNgan((PhiMayCatDecalVuong(K$14,$D24,$E24)+ PhiMayInToner4M(ROUNDUP(K$14/$F24,0)*$E$6)+ (ROUNDUP(K$14/$F24,0)*$D$11))*(1+$D$7))</f>
        <v>155000</v>
      </c>
      <c r="L24" s="7">
        <f>LamChanHangNgan((PhiMayCatDecalVuong(L$14,$D24,$E24)+ PhiMayInToner4M(ROUNDUP(L$14/$F24,0)*$E$6)+ (ROUNDUP(L$14/$F24,0)*$D$11))*(1+$D$7))</f>
        <v>159000</v>
      </c>
      <c r="M24" s="7">
        <f>LamChanHangNgan((PhiMayCatDecalVuong(M$14,$D24,$E24)+ PhiMayInToner4M(ROUNDUP(M$14/$F24,0)*$E$6)+ (ROUNDUP(M$14/$F24,0)*$D$11))*(1+$D$7))</f>
        <v>163000</v>
      </c>
      <c r="N24" s="7">
        <f>LamChanHangNgan((PhiMayCatDecalVuong(N$14,$D24,$E24)+ PhiMayInToner4M(ROUNDUP(N$14/$F24,0)*$E$6)+ (ROUNDUP(N$14/$F24,0)*$D$11))*(1+$D$7))</f>
        <v>167000</v>
      </c>
      <c r="O24" s="7">
        <f>LamChanHangNgan((PhiMayCatDecalVuong(O$14,$D24,$E24)+ PhiMayInToner4M(ROUNDUP(O$14/$F24,0)*$E$6)+ (ROUNDUP(O$14/$F24,0)*$D$11))*(1+$D$7))</f>
        <v>170000</v>
      </c>
      <c r="P24" s="7">
        <f>LamChanHangNgan((PhiMayCatDecalVuong(P$14,$D24,$E24)+ PhiMayInToner4M(ROUNDUP(P$14/$F24,0)*$E$6)+ (ROUNDUP(P$14/$F24,0)*$D$11))*(1+$D$7))</f>
        <v>174000</v>
      </c>
      <c r="Q24" s="7">
        <f>LamChanHangNgan((PhiMayCatDecalVuong(Q$14,$D24,$E24)+ PhiMayInToner4M(ROUNDUP(Q$14/$F24,0)*$E$6)+ (ROUNDUP(Q$14/$F24,0)*$D$11))*(1+$D$7))</f>
        <v>197000</v>
      </c>
      <c r="R24" s="7">
        <f>LamChanHangNgan((PhiMayCatDecalVuong(R$14,$D24,$E24)+ PhiMayInToner4M(ROUNDUP(R$14/$F24,0)*$E$6)+ (ROUNDUP(R$14/$F24,0)*$D$11))*(1+$D$7))</f>
        <v>216000</v>
      </c>
      <c r="S24" s="7">
        <f>LamChanHangNgan((PhiMayCatDecalVuong(S$14,$D24,$E24)+ PhiMayInToner4M(ROUNDUP(S$14/$F24,0)*$E$6)+ (ROUNDUP(S$14/$F24,0)*$D$11))*(1+$D$7))</f>
        <v>239000</v>
      </c>
      <c r="T24" s="7">
        <f>LamChanHangNgan((PhiMayCatDecalVuong(T$14,$D24,$E24)+ PhiMayInToner4M(ROUNDUP(T$14/$F24,0)*$E$6)+ (ROUNDUP(T$14/$F24,0)*$D$11))*(1+$D$7))</f>
        <v>259000</v>
      </c>
      <c r="U24" s="7">
        <f>LamChanHangNgan((PhiMayCatDecalVuong(U$14,$D24,$E24)+ PhiMayInToner4M(ROUNDUP(U$14/$F24,0)*$E$6)+ (ROUNDUP(U$14/$F24,0)*$D$11))*(1+$D$7))</f>
        <v>281000</v>
      </c>
      <c r="V24" s="7">
        <f>LamChanHangNgan((PhiMayCatDecalVuong(V$14,$D24,$E24)+ PhiMayInToner4M(ROUNDUP(V$14/$F24,0)*$E$6)+ (ROUNDUP(V$14/$F24,0)*$D$11))*(1+$D$7))</f>
        <v>301000</v>
      </c>
      <c r="W24" s="7">
        <f>LamChanHangNgan((PhiMayCatDecalVuong(W$14,$D24,$E24)+ PhiMayInToner4M(ROUNDUP(W$14/$F24,0)*$E$6)+ (ROUNDUP(W$14/$F24,0)*$D$11))*(1+$D$7))</f>
        <v>323000</v>
      </c>
      <c r="X24" s="7">
        <f>LamChanHangNgan((PhiMayCatDecalVuong(X$14,$D24,$E24)+ PhiMayInToner4M(ROUNDUP(X$14/$F24,0)*$E$6)+ (ROUNDUP(X$14/$F24,0)*$D$11))*(1+$D$7))</f>
        <v>343000</v>
      </c>
      <c r="Y24" s="7">
        <f>LamChanHangNgan((PhiMayCatDecalVuong(Y$14,$D24,$E24)+ PhiMayInToner4M(ROUNDUP(Y$14/$F24,0)*$E$6)+ (ROUNDUP(Y$14/$F24,0)*$D$11))*(1+$D$7))</f>
        <v>553000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4">
        <f t="shared" si="4"/>
        <v>78</v>
      </c>
      <c r="G25" s="7">
        <f>LamChanHangNgan((PhiMayCatDecalVuong(G$14,$D25,$E25)+ PhiMayInToner4M(ROUNDUP(G$14/$F25,0)*$E$6)+ (ROUNDUP(G$14/$F25,0)*$D$11))*(1+$D$7))</f>
        <v>140000</v>
      </c>
      <c r="H25" s="7">
        <f>LamChanHangNgan((PhiMayCatDecalVuong(H$14,$D25,$E25)+ PhiMayInToner4M(ROUNDUP(H$14/$F25,0)*$E$6)+ (ROUNDUP(H$14/$F25,0)*$D$11))*(1+$D$7))</f>
        <v>143000</v>
      </c>
      <c r="I25" s="7">
        <f>LamChanHangNgan((PhiMayCatDecalVuong(I$14,$D25,$E25)+ PhiMayInToner4M(ROUNDUP(I$14/$F25,0)*$E$6)+ (ROUNDUP(I$14/$F25,0)*$D$11))*(1+$D$7))</f>
        <v>147000</v>
      </c>
      <c r="J25" s="7">
        <f>LamChanHangNgan((PhiMayCatDecalVuong(J$14,$D25,$E25)+ PhiMayInToner4M(ROUNDUP(J$14/$F25,0)*$E$6)+ (ROUNDUP(J$14/$F25,0)*$D$11))*(1+$D$7))</f>
        <v>155000</v>
      </c>
      <c r="K25" s="7">
        <f>LamChanHangNgan((PhiMayCatDecalVuong(K$14,$D25,$E25)+ PhiMayInToner4M(ROUNDUP(K$14/$F25,0)*$E$6)+ (ROUNDUP(K$14/$F25,0)*$D$11))*(1+$D$7))</f>
        <v>159000</v>
      </c>
      <c r="L25" s="7">
        <f>LamChanHangNgan((PhiMayCatDecalVuong(L$14,$D25,$E25)+ PhiMayInToner4M(ROUNDUP(L$14/$F25,0)*$E$6)+ (ROUNDUP(L$14/$F25,0)*$D$11))*(1+$D$7))</f>
        <v>163000</v>
      </c>
      <c r="M25" s="7">
        <f>LamChanHangNgan((PhiMayCatDecalVuong(M$14,$D25,$E25)+ PhiMayInToner4M(ROUNDUP(M$14/$F25,0)*$E$6)+ (ROUNDUP(M$14/$F25,0)*$D$11))*(1+$D$7))</f>
        <v>166000</v>
      </c>
      <c r="N25" s="7">
        <f>LamChanHangNgan((PhiMayCatDecalVuong(N$14,$D25,$E25)+ PhiMayInToner4M(ROUNDUP(N$14/$F25,0)*$E$6)+ (ROUNDUP(N$14/$F25,0)*$D$11))*(1+$D$7))</f>
        <v>174000</v>
      </c>
      <c r="O25" s="7">
        <f>LamChanHangNgan((PhiMayCatDecalVuong(O$14,$D25,$E25)+ PhiMayInToner4M(ROUNDUP(O$14/$F25,0)*$E$6)+ (ROUNDUP(O$14/$F25,0)*$D$11))*(1+$D$7))</f>
        <v>178000</v>
      </c>
      <c r="P25" s="7">
        <f>LamChanHangNgan((PhiMayCatDecalVuong(P$14,$D25,$E25)+ PhiMayInToner4M(ROUNDUP(P$14/$F25,0)*$E$6)+ (ROUNDUP(P$14/$F25,0)*$D$11))*(1+$D$7))</f>
        <v>182000</v>
      </c>
      <c r="Q25" s="7">
        <f>LamChanHangNgan((PhiMayCatDecalVuong(Q$14,$D25,$E25)+ PhiMayInToner4M(ROUNDUP(Q$14/$F25,0)*$E$6)+ (ROUNDUP(Q$14/$F25,0)*$D$11))*(1+$D$7))</f>
        <v>208000</v>
      </c>
      <c r="R25" s="7">
        <f>LamChanHangNgan((PhiMayCatDecalVuong(R$14,$D25,$E25)+ PhiMayInToner4M(ROUNDUP(R$14/$F25,0)*$E$6)+ (ROUNDUP(R$14/$F25,0)*$D$11))*(1+$D$7))</f>
        <v>231000</v>
      </c>
      <c r="S25" s="7">
        <f>LamChanHangNgan((PhiMayCatDecalVuong(S$14,$D25,$E25)+ PhiMayInToner4M(ROUNDUP(S$14/$F25,0)*$E$6)+ (ROUNDUP(S$14/$F25,0)*$D$11))*(1+$D$7))</f>
        <v>257000</v>
      </c>
      <c r="T25" s="7">
        <f>LamChanHangNgan((PhiMayCatDecalVuong(T$14,$D25,$E25)+ PhiMayInToner4M(ROUNDUP(T$14/$F25,0)*$E$6)+ (ROUNDUP(T$14/$F25,0)*$D$11))*(1+$D$7))</f>
        <v>280000</v>
      </c>
      <c r="U25" s="7">
        <f>LamChanHangNgan((PhiMayCatDecalVuong(U$14,$D25,$E25)+ PhiMayInToner4M(ROUNDUP(U$14/$F25,0)*$E$6)+ (ROUNDUP(U$14/$F25,0)*$D$11))*(1+$D$7))</f>
        <v>303000</v>
      </c>
      <c r="V25" s="7">
        <f>LamChanHangNgan((PhiMayCatDecalVuong(V$14,$D25,$E25)+ PhiMayInToner4M(ROUNDUP(V$14/$F25,0)*$E$6)+ (ROUNDUP(V$14/$F25,0)*$D$11))*(1+$D$7))</f>
        <v>330000</v>
      </c>
      <c r="W25" s="7">
        <f>LamChanHangNgan((PhiMayCatDecalVuong(W$14,$D25,$E25)+ PhiMayInToner4M(ROUNDUP(W$14/$F25,0)*$E$6)+ (ROUNDUP(W$14/$F25,0)*$D$11))*(1+$D$7))</f>
        <v>353000</v>
      </c>
      <c r="X25" s="7">
        <f>LamChanHangNgan((PhiMayCatDecalVuong(X$14,$D25,$E25)+ PhiMayInToner4M(ROUNDUP(X$14/$F25,0)*$E$6)+ (ROUNDUP(X$14/$F25,0)*$D$11))*(1+$D$7))</f>
        <v>379000</v>
      </c>
      <c r="Y25" s="7">
        <f>LamChanHangNgan((PhiMayCatDecalVuong(Y$14,$D25,$E25)+ PhiMayInToner4M(ROUNDUP(Y$14/$F25,0)*$E$6)+ (ROUNDUP(Y$14/$F25,0)*$D$11))*(1+$D$7))</f>
        <v>622000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4">
        <f t="shared" si="4"/>
        <v>70</v>
      </c>
      <c r="G26" s="7">
        <f>LamChanHangNgan((PhiMayCatDecalVuong(G$14,$D26,$E26)+ PhiMayInToner4M(ROUNDUP(G$14/$F26,0)*$E$6)+ (ROUNDUP(G$14/$F26,0)*$D$11))*(1+$D$7))</f>
        <v>140000</v>
      </c>
      <c r="H26" s="7">
        <f>LamChanHangNgan((PhiMayCatDecalVuong(H$14,$D26,$E26)+ PhiMayInToner4M(ROUNDUP(H$14/$F26,0)*$E$6)+ (ROUNDUP(H$14/$F26,0)*$D$11))*(1+$D$7))</f>
        <v>144000</v>
      </c>
      <c r="I26" s="7">
        <f>LamChanHangNgan((PhiMayCatDecalVuong(I$14,$D26,$E26)+ PhiMayInToner4M(ROUNDUP(I$14/$F26,0)*$E$6)+ (ROUNDUP(I$14/$F26,0)*$D$11))*(1+$D$7))</f>
        <v>151000</v>
      </c>
      <c r="J26" s="7">
        <f>LamChanHangNgan((PhiMayCatDecalVuong(J$14,$D26,$E26)+ PhiMayInToner4M(ROUNDUP(J$14/$F26,0)*$E$6)+ (ROUNDUP(J$14/$F26,0)*$D$11))*(1+$D$7))</f>
        <v>155000</v>
      </c>
      <c r="K26" s="7">
        <f>LamChanHangNgan((PhiMayCatDecalVuong(K$14,$D26,$E26)+ PhiMayInToner4M(ROUNDUP(K$14/$F26,0)*$E$6)+ (ROUNDUP(K$14/$F26,0)*$D$11))*(1+$D$7))</f>
        <v>162000</v>
      </c>
      <c r="L26" s="7">
        <f>LamChanHangNgan((PhiMayCatDecalVuong(L$14,$D26,$E26)+ PhiMayInToner4M(ROUNDUP(L$14/$F26,0)*$E$6)+ (ROUNDUP(L$14/$F26,0)*$D$11))*(1+$D$7))</f>
        <v>166000</v>
      </c>
      <c r="M26" s="7">
        <f>LamChanHangNgan((PhiMayCatDecalVuong(M$14,$D26,$E26)+ PhiMayInToner4M(ROUNDUP(M$14/$F26,0)*$E$6)+ (ROUNDUP(M$14/$F26,0)*$D$11))*(1+$D$7))</f>
        <v>170000</v>
      </c>
      <c r="N26" s="7">
        <f>LamChanHangNgan((PhiMayCatDecalVuong(N$14,$D26,$E26)+ PhiMayInToner4M(ROUNDUP(N$14/$F26,0)*$E$6)+ (ROUNDUP(N$14/$F26,0)*$D$11))*(1+$D$7))</f>
        <v>177000</v>
      </c>
      <c r="O26" s="7">
        <f>LamChanHangNgan((PhiMayCatDecalVuong(O$14,$D26,$E26)+ PhiMayInToner4M(ROUNDUP(O$14/$F26,0)*$E$6)+ (ROUNDUP(O$14/$F26,0)*$D$11))*(1+$D$7))</f>
        <v>181000</v>
      </c>
      <c r="P26" s="7">
        <f>LamChanHangNgan((PhiMayCatDecalVuong(P$14,$D26,$E26)+ PhiMayInToner4M(ROUNDUP(P$14/$F26,0)*$E$6)+ (ROUNDUP(P$14/$F26,0)*$D$11))*(1+$D$7))</f>
        <v>189000</v>
      </c>
      <c r="Q26" s="7">
        <f>LamChanHangNgan((PhiMayCatDecalVuong(Q$14,$D26,$E26)+ PhiMayInToner4M(ROUNDUP(Q$14/$F26,0)*$E$6)+ (ROUNDUP(Q$14/$F26,0)*$D$11))*(1+$D$7))</f>
        <v>215000</v>
      </c>
      <c r="R26" s="7">
        <f>LamChanHangNgan((PhiMayCatDecalVuong(R$14,$D26,$E26)+ PhiMayInToner4M(ROUNDUP(R$14/$F26,0)*$E$6)+ (ROUNDUP(R$14/$F26,0)*$D$11))*(1+$D$7))</f>
        <v>242000</v>
      </c>
      <c r="S26" s="7">
        <f>LamChanHangNgan((PhiMayCatDecalVuong(S$14,$D26,$E26)+ PhiMayInToner4M(ROUNDUP(S$14/$F26,0)*$E$6)+ (ROUNDUP(S$14/$F26,0)*$D$11))*(1+$D$7))</f>
        <v>268000</v>
      </c>
      <c r="T26" s="7">
        <f>LamChanHangNgan((PhiMayCatDecalVuong(T$14,$D26,$E26)+ PhiMayInToner4M(ROUNDUP(T$14/$F26,0)*$E$6)+ (ROUNDUP(T$14/$F26,0)*$D$11))*(1+$D$7))</f>
        <v>295000</v>
      </c>
      <c r="U26" s="7">
        <f>LamChanHangNgan((PhiMayCatDecalVuong(U$14,$D26,$E26)+ PhiMayInToner4M(ROUNDUP(U$14/$F26,0)*$E$6)+ (ROUNDUP(U$14/$F26,0)*$D$11))*(1+$D$7))</f>
        <v>322000</v>
      </c>
      <c r="V26" s="7">
        <f>LamChanHangNgan((PhiMayCatDecalVuong(V$14,$D26,$E26)+ PhiMayInToner4M(ROUNDUP(V$14/$F26,0)*$E$6)+ (ROUNDUP(V$14/$F26,0)*$D$11))*(1+$D$7))</f>
        <v>352000</v>
      </c>
      <c r="W26" s="7">
        <f>LamChanHangNgan((PhiMayCatDecalVuong(W$14,$D26,$E26)+ PhiMayInToner4M(ROUNDUP(W$14/$F26,0)*$E$6)+ (ROUNDUP(W$14/$F26,0)*$D$11))*(1+$D$7))</f>
        <v>378000</v>
      </c>
      <c r="X26" s="7">
        <f>LamChanHangNgan((PhiMayCatDecalVuong(X$14,$D26,$E26)+ PhiMayInToner4M(ROUNDUP(X$14/$F26,0)*$E$6)+ (ROUNDUP(X$14/$F26,0)*$D$11))*(1+$D$7))</f>
        <v>405000</v>
      </c>
      <c r="Y26" s="7">
        <f>LamChanHangNgan((PhiMayCatDecalVuong(Y$14,$D26,$E26)+ PhiMayInToner4M(ROUNDUP(Y$14/$F26,0)*$E$6)+ (ROUNDUP(Y$14/$F26,0)*$D$11))*(1+$D$7))</f>
        <v>674000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4">
        <f t="shared" si="4"/>
        <v>65</v>
      </c>
      <c r="G27" s="7">
        <f>LamChanHangNgan((PhiMayCatDecalVuong(G$14,$D27,$E27)+ PhiMayInToner4M(ROUNDUP(G$14/$F27,0)*$E$6)+ (ROUNDUP(G$14/$F27,0)*$D$11))*(1+$D$7))</f>
        <v>140000</v>
      </c>
      <c r="H27" s="7">
        <f>LamChanHangNgan((PhiMayCatDecalVuong(H$14,$D27,$E27)+ PhiMayInToner4M(ROUNDUP(H$14/$F27,0)*$E$6)+ (ROUNDUP(H$14/$F27,0)*$D$11))*(1+$D$7))</f>
        <v>147000</v>
      </c>
      <c r="I27" s="7">
        <f>LamChanHangNgan((PhiMayCatDecalVuong(I$14,$D27,$E27)+ PhiMayInToner4M(ROUNDUP(I$14/$F27,0)*$E$6)+ (ROUNDUP(I$14/$F27,0)*$D$11))*(1+$D$7))</f>
        <v>151000</v>
      </c>
      <c r="J27" s="7">
        <f>LamChanHangNgan((PhiMayCatDecalVuong(J$14,$D27,$E27)+ PhiMayInToner4M(ROUNDUP(J$14/$F27,0)*$E$6)+ (ROUNDUP(J$14/$F27,0)*$D$11))*(1+$D$7))</f>
        <v>158000</v>
      </c>
      <c r="K27" s="7">
        <f>LamChanHangNgan((PhiMayCatDecalVuong(K$14,$D27,$E27)+ PhiMayInToner4M(ROUNDUP(K$14/$F27,0)*$E$6)+ (ROUNDUP(K$14/$F27,0)*$D$11))*(1+$D$7))</f>
        <v>162000</v>
      </c>
      <c r="L27" s="7">
        <f>LamChanHangNgan((PhiMayCatDecalVuong(L$14,$D27,$E27)+ PhiMayInToner4M(ROUNDUP(L$14/$F27,0)*$E$6)+ (ROUNDUP(L$14/$F27,0)*$D$11))*(1+$D$7))</f>
        <v>170000</v>
      </c>
      <c r="M27" s="7">
        <f>LamChanHangNgan((PhiMayCatDecalVuong(M$14,$D27,$E27)+ PhiMayInToner4M(ROUNDUP(M$14/$F27,0)*$E$6)+ (ROUNDUP(M$14/$F27,0)*$D$11))*(1+$D$7))</f>
        <v>174000</v>
      </c>
      <c r="N27" s="7">
        <f>LamChanHangNgan((PhiMayCatDecalVuong(N$14,$D27,$E27)+ PhiMayInToner4M(ROUNDUP(N$14/$F27,0)*$E$6)+ (ROUNDUP(N$14/$F27,0)*$D$11))*(1+$D$7))</f>
        <v>181000</v>
      </c>
      <c r="O27" s="7">
        <f>LamChanHangNgan((PhiMayCatDecalVuong(O$14,$D27,$E27)+ PhiMayInToner4M(ROUNDUP(O$14/$F27,0)*$E$6)+ (ROUNDUP(O$14/$F27,0)*$D$11))*(1+$D$7))</f>
        <v>185000</v>
      </c>
      <c r="P27" s="7">
        <f>LamChanHangNgan((PhiMayCatDecalVuong(P$14,$D27,$E27)+ PhiMayInToner4M(ROUNDUP(P$14/$F27,0)*$E$6)+ (ROUNDUP(P$14/$F27,0)*$D$11))*(1+$D$7))</f>
        <v>193000</v>
      </c>
      <c r="Q27" s="7">
        <f>LamChanHangNgan((PhiMayCatDecalVuong(Q$14,$D27,$E27)+ PhiMayInToner4M(ROUNDUP(Q$14/$F27,0)*$E$6)+ (ROUNDUP(Q$14/$F27,0)*$D$11))*(1+$D$7))</f>
        <v>223000</v>
      </c>
      <c r="R27" s="7">
        <f>LamChanHangNgan((PhiMayCatDecalVuong(R$14,$D27,$E27)+ PhiMayInToner4M(ROUNDUP(R$14/$F27,0)*$E$6)+ (ROUNDUP(R$14/$F27,0)*$D$11))*(1+$D$7))</f>
        <v>249000</v>
      </c>
      <c r="S27" s="7">
        <f>LamChanHangNgan((PhiMayCatDecalVuong(S$14,$D27,$E27)+ PhiMayInToner4M(ROUNDUP(S$14/$F27,0)*$E$6)+ (ROUNDUP(S$14/$F27,0)*$D$11))*(1+$D$7))</f>
        <v>280000</v>
      </c>
      <c r="T27" s="7">
        <f>LamChanHangNgan((PhiMayCatDecalVuong(T$14,$D27,$E27)+ PhiMayInToner4M(ROUNDUP(T$14/$F27,0)*$E$6)+ (ROUNDUP(T$14/$F27,0)*$D$11))*(1+$D$7))</f>
        <v>310000</v>
      </c>
      <c r="U27" s="7">
        <f>LamChanHangNgan((PhiMayCatDecalVuong(U$14,$D27,$E27)+ PhiMayInToner4M(ROUNDUP(U$14/$F27,0)*$E$6)+ (ROUNDUP(U$14/$F27,0)*$D$11))*(1+$D$7))</f>
        <v>336000</v>
      </c>
      <c r="V27" s="7">
        <f>LamChanHangNgan((PhiMayCatDecalVuong(V$14,$D27,$E27)+ PhiMayInToner4M(ROUNDUP(V$14/$F27,0)*$E$6)+ (ROUNDUP(V$14/$F27,0)*$D$11))*(1+$D$7))</f>
        <v>367000</v>
      </c>
      <c r="W27" s="7">
        <f>LamChanHangNgan((PhiMayCatDecalVuong(W$14,$D27,$E27)+ PhiMayInToner4M(ROUNDUP(W$14/$F27,0)*$E$6)+ (ROUNDUP(W$14/$F27,0)*$D$11))*(1+$D$7))</f>
        <v>397000</v>
      </c>
      <c r="X27" s="7">
        <f>LamChanHangNgan((PhiMayCatDecalVuong(X$14,$D27,$E27)+ PhiMayInToner4M(ROUNDUP(X$14/$F27,0)*$E$6)+ (ROUNDUP(X$14/$F27,0)*$D$11))*(1+$D$7))</f>
        <v>423000</v>
      </c>
      <c r="Y27" s="7">
        <f>LamChanHangNgan((PhiMayCatDecalVuong(Y$14,$D27,$E27)+ PhiMayInToner4M(ROUNDUP(Y$14/$F27,0)*$E$6)+ (ROUNDUP(Y$14/$F27,0)*$D$11))*(1+$D$7))</f>
        <v>715000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4">
        <f t="shared" si="4"/>
        <v>60</v>
      </c>
      <c r="G28" s="7">
        <f>LamChanHangNgan((PhiMayCatDecalVuong(G$14,$D28,$E28)+ PhiMayInToner4M(ROUNDUP(G$14/$F28,0)*$E$6)+ (ROUNDUP(G$14/$F28,0)*$D$11))*(1+$D$7))</f>
        <v>140000</v>
      </c>
      <c r="H28" s="7">
        <f>LamChanHangNgan((PhiMayCatDecalVuong(H$14,$D28,$E28)+ PhiMayInToner4M(ROUNDUP(H$14/$F28,0)*$E$6)+ (ROUNDUP(H$14/$F28,0)*$D$11))*(1+$D$7))</f>
        <v>147000</v>
      </c>
      <c r="I28" s="7">
        <f>LamChanHangNgan((PhiMayCatDecalVuong(I$14,$D28,$E28)+ PhiMayInToner4M(ROUNDUP(I$14/$F28,0)*$E$6)+ (ROUNDUP(I$14/$F28,0)*$D$11))*(1+$D$7))</f>
        <v>151000</v>
      </c>
      <c r="J28" s="7">
        <f>LamChanHangNgan((PhiMayCatDecalVuong(J$14,$D28,$E28)+ PhiMayInToner4M(ROUNDUP(J$14/$F28,0)*$E$6)+ (ROUNDUP(J$14/$F28,0)*$D$11))*(1+$D$7))</f>
        <v>159000</v>
      </c>
      <c r="K28" s="7">
        <f>LamChanHangNgan((PhiMayCatDecalVuong(K$14,$D28,$E28)+ PhiMayInToner4M(ROUNDUP(K$14/$F28,0)*$E$6)+ (ROUNDUP(K$14/$F28,0)*$D$11))*(1+$D$7))</f>
        <v>166000</v>
      </c>
      <c r="L28" s="7">
        <f>LamChanHangNgan((PhiMayCatDecalVuong(L$14,$D28,$E28)+ PhiMayInToner4M(ROUNDUP(L$14/$F28,0)*$E$6)+ (ROUNDUP(L$14/$F28,0)*$D$11))*(1+$D$7))</f>
        <v>170000</v>
      </c>
      <c r="M28" s="7">
        <f>LamChanHangNgan((PhiMayCatDecalVuong(M$14,$D28,$E28)+ PhiMayInToner4M(ROUNDUP(M$14/$F28,0)*$E$6)+ (ROUNDUP(M$14/$F28,0)*$D$11))*(1+$D$7))</f>
        <v>177000</v>
      </c>
      <c r="N28" s="7">
        <f>LamChanHangNgan((PhiMayCatDecalVuong(N$14,$D28,$E28)+ PhiMayInToner4M(ROUNDUP(N$14/$F28,0)*$E$6)+ (ROUNDUP(N$14/$F28,0)*$D$11))*(1+$D$7))</f>
        <v>185000</v>
      </c>
      <c r="O28" s="7">
        <f>LamChanHangNgan((PhiMayCatDecalVuong(O$14,$D28,$E28)+ PhiMayInToner4M(ROUNDUP(O$14/$F28,0)*$E$6)+ (ROUNDUP(O$14/$F28,0)*$D$11))*(1+$D$7))</f>
        <v>189000</v>
      </c>
      <c r="P28" s="7">
        <f>LamChanHangNgan((PhiMayCatDecalVuong(P$14,$D28,$E28)+ PhiMayInToner4M(ROUNDUP(P$14/$F28,0)*$E$6)+ (ROUNDUP(P$14/$F28,0)*$D$11))*(1+$D$7))</f>
        <v>196000</v>
      </c>
      <c r="Q28" s="7">
        <f>LamChanHangNgan((PhiMayCatDecalVuong(Q$14,$D28,$E28)+ PhiMayInToner4M(ROUNDUP(Q$14/$F28,0)*$E$6)+ (ROUNDUP(Q$14/$F28,0)*$D$11))*(1+$D$7))</f>
        <v>227000</v>
      </c>
      <c r="R28" s="7">
        <f>LamChanHangNgan((PhiMayCatDecalVuong(R$14,$D28,$E28)+ PhiMayInToner4M(ROUNDUP(R$14/$F28,0)*$E$6)+ (ROUNDUP(R$14/$F28,0)*$D$11))*(1+$D$7))</f>
        <v>260000</v>
      </c>
      <c r="S28" s="7">
        <f>LamChanHangNgan((PhiMayCatDecalVuong(S$14,$D28,$E28)+ PhiMayInToner4M(ROUNDUP(S$14/$F28,0)*$E$6)+ (ROUNDUP(S$14/$F28,0)*$D$11))*(1+$D$7))</f>
        <v>291000</v>
      </c>
      <c r="T28" s="7">
        <f>LamChanHangNgan((PhiMayCatDecalVuong(T$14,$D28,$E28)+ PhiMayInToner4M(ROUNDUP(T$14/$F28,0)*$E$6)+ (ROUNDUP(T$14/$F28,0)*$D$11))*(1+$D$7))</f>
        <v>321000</v>
      </c>
      <c r="U28" s="7">
        <f>LamChanHangNgan((PhiMayCatDecalVuong(U$14,$D28,$E28)+ PhiMayInToner4M(ROUNDUP(U$14/$F28,0)*$E$6)+ (ROUNDUP(U$14/$F28,0)*$D$11))*(1+$D$7))</f>
        <v>355000</v>
      </c>
      <c r="V28" s="7">
        <f>LamChanHangNgan((PhiMayCatDecalVuong(V$14,$D28,$E28)+ PhiMayInToner4M(ROUNDUP(V$14/$F28,0)*$E$6)+ (ROUNDUP(V$14/$F28,0)*$D$11))*(1+$D$7))</f>
        <v>385000</v>
      </c>
      <c r="W28" s="7">
        <f>LamChanHangNgan((PhiMayCatDecalVuong(W$14,$D28,$E28)+ PhiMayInToner4M(ROUNDUP(W$14/$F28,0)*$E$6)+ (ROUNDUP(W$14/$F28,0)*$D$11))*(1+$D$7))</f>
        <v>415000</v>
      </c>
      <c r="X28" s="7">
        <f>LamChanHangNgan((PhiMayCatDecalVuong(X$14,$D28,$E28)+ PhiMayInToner4M(ROUNDUP(X$14/$F28,0)*$E$6)+ (ROUNDUP(X$14/$F28,0)*$D$11))*(1+$D$7))</f>
        <v>449000</v>
      </c>
      <c r="Y28" s="7">
        <f>LamChanHangNgan((PhiMayCatDecalVuong(Y$14,$D28,$E28)+ PhiMayInToner4M(ROUNDUP(Y$14/$F28,0)*$E$6)+ (ROUNDUP(Y$14/$F28,0)*$D$11))*(1+$D$7))</f>
        <v>763000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4">
        <f t="shared" si="4"/>
        <v>52</v>
      </c>
      <c r="G29" s="7">
        <f>LamChanHangNgan((PhiMayCatDecalVuong(G$14,$D29,$E29)+ PhiMayInToner4M(ROUNDUP(G$14/$F29,0)*$E$6)+ (ROUNDUP(G$14/$F29,0)*$D$11))*(1+$D$7))</f>
        <v>140000</v>
      </c>
      <c r="H29" s="7">
        <f>LamChanHangNgan((PhiMayCatDecalVuong(H$14,$D29,$E29)+ PhiMayInToner4M(ROUNDUP(H$14/$F29,0)*$E$6)+ (ROUNDUP(H$14/$F29,0)*$D$11))*(1+$D$7))</f>
        <v>147000</v>
      </c>
      <c r="I29" s="7">
        <f>LamChanHangNgan((PhiMayCatDecalVuong(I$14,$D29,$E29)+ PhiMayInToner4M(ROUNDUP(I$14/$F29,0)*$E$6)+ (ROUNDUP(I$14/$F29,0)*$D$11))*(1+$D$7))</f>
        <v>155000</v>
      </c>
      <c r="J29" s="7">
        <f>LamChanHangNgan((PhiMayCatDecalVuong(J$14,$D29,$E29)+ PhiMayInToner4M(ROUNDUP(J$14/$F29,0)*$E$6)+ (ROUNDUP(J$14/$F29,0)*$D$11))*(1+$D$7))</f>
        <v>162000</v>
      </c>
      <c r="K29" s="7">
        <f>LamChanHangNgan((PhiMayCatDecalVuong(K$14,$D29,$E29)+ PhiMayInToner4M(ROUNDUP(K$14/$F29,0)*$E$6)+ (ROUNDUP(K$14/$F29,0)*$D$11))*(1+$D$7))</f>
        <v>170000</v>
      </c>
      <c r="L29" s="7">
        <f>LamChanHangNgan((PhiMayCatDecalVuong(L$14,$D29,$E29)+ PhiMayInToner4M(ROUNDUP(L$14/$F29,0)*$E$6)+ (ROUNDUP(L$14/$F29,0)*$D$11))*(1+$D$7))</f>
        <v>177000</v>
      </c>
      <c r="M29" s="7">
        <f>LamChanHangNgan((PhiMayCatDecalVuong(M$14,$D29,$E29)+ PhiMayInToner4M(ROUNDUP(M$14/$F29,0)*$E$6)+ (ROUNDUP(M$14/$F29,0)*$D$11))*(1+$D$7))</f>
        <v>185000</v>
      </c>
      <c r="N29" s="7">
        <f>LamChanHangNgan((PhiMayCatDecalVuong(N$14,$D29,$E29)+ PhiMayInToner4M(ROUNDUP(N$14/$F29,0)*$E$6)+ (ROUNDUP(N$14/$F29,0)*$D$11))*(1+$D$7))</f>
        <v>192000</v>
      </c>
      <c r="O29" s="7">
        <f>LamChanHangNgan((PhiMayCatDecalVuong(O$14,$D29,$E29)+ PhiMayInToner4M(ROUNDUP(O$14/$F29,0)*$E$6)+ (ROUNDUP(O$14/$F29,0)*$D$11))*(1+$D$7))</f>
        <v>200000</v>
      </c>
      <c r="P29" s="7">
        <f>LamChanHangNgan((PhiMayCatDecalVuong(P$14,$D29,$E29)+ PhiMayInToner4M(ROUNDUP(P$14/$F29,0)*$E$6)+ (ROUNDUP(P$14/$F29,0)*$D$11))*(1+$D$7))</f>
        <v>207000</v>
      </c>
      <c r="Q29" s="7">
        <f>LamChanHangNgan((PhiMayCatDecalVuong(Q$14,$D29,$E29)+ PhiMayInToner4M(ROUNDUP(Q$14/$F29,0)*$E$6)+ (ROUNDUP(Q$14/$F29,0)*$D$11))*(1+$D$7))</f>
        <v>241000</v>
      </c>
      <c r="R29" s="7">
        <f>LamChanHangNgan((PhiMayCatDecalVuong(R$14,$D29,$E29)+ PhiMayInToner4M(ROUNDUP(R$14/$F29,0)*$E$6)+ (ROUNDUP(R$14/$F29,0)*$D$11))*(1+$D$7))</f>
        <v>278000</v>
      </c>
      <c r="S29" s="7">
        <f>LamChanHangNgan((PhiMayCatDecalVuong(S$14,$D29,$E29)+ PhiMayInToner4M(ROUNDUP(S$14/$F29,0)*$E$6)+ (ROUNDUP(S$14/$F29,0)*$D$11))*(1+$D$7))</f>
        <v>316000</v>
      </c>
      <c r="T29" s="7">
        <f>LamChanHangNgan((PhiMayCatDecalVuong(T$14,$D29,$E29)+ PhiMayInToner4M(ROUNDUP(T$14/$F29,0)*$E$6)+ (ROUNDUP(T$14/$F29,0)*$D$11))*(1+$D$7))</f>
        <v>350000</v>
      </c>
      <c r="U29" s="7">
        <f>LamChanHangNgan((PhiMayCatDecalVuong(U$14,$D29,$E29)+ PhiMayInToner4M(ROUNDUP(U$14/$F29,0)*$E$6)+ (ROUNDUP(U$14/$F29,0)*$D$11))*(1+$D$7))</f>
        <v>387000</v>
      </c>
      <c r="V29" s="7">
        <f>LamChanHangNgan((PhiMayCatDecalVuong(V$14,$D29,$E29)+ PhiMayInToner4M(ROUNDUP(V$14/$F29,0)*$E$6)+ (ROUNDUP(V$14/$F29,0)*$D$11))*(1+$D$7))</f>
        <v>421000</v>
      </c>
      <c r="W29" s="7">
        <f>LamChanHangNgan((PhiMayCatDecalVuong(W$14,$D29,$E29)+ PhiMayInToner4M(ROUNDUP(W$14/$F29,0)*$E$6)+ (ROUNDUP(W$14/$F29,0)*$D$11))*(1+$D$7))</f>
        <v>458000</v>
      </c>
      <c r="X29" s="7">
        <f>LamChanHangNgan((PhiMayCatDecalVuong(X$14,$D29,$E29)+ PhiMayInToner4M(ROUNDUP(X$14/$F29,0)*$E$6)+ (ROUNDUP(X$14/$F29,0)*$D$11))*(1+$D$7))</f>
        <v>496000</v>
      </c>
      <c r="Y29" s="7">
        <f>LamChanHangNgan((PhiMayCatDecalVuong(Y$14,$D29,$E29)+ PhiMayInToner4M(ROUNDUP(Y$14/$F29,0)*$E$6)+ (ROUNDUP(Y$14/$F29,0)*$D$11))*(1+$D$7))</f>
        <v>856000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4">
        <f t="shared" si="4"/>
        <v>64</v>
      </c>
      <c r="G30" s="7">
        <f>LamChanHangNgan((PhiMayCatDecalVuong(G$14,$D30,$E30)+ PhiMayInToner4M(ROUNDUP(G$14/$F30,0)*$E$6)+ (ROUNDUP(G$14/$F30,0)*$D$11))*(1+$D$7))</f>
        <v>140000</v>
      </c>
      <c r="H30" s="7">
        <f>LamChanHangNgan((PhiMayCatDecalVuong(H$14,$D30,$E30)+ PhiMayInToner4M(ROUNDUP(H$14/$F30,0)*$E$6)+ (ROUNDUP(H$14/$F30,0)*$D$11))*(1+$D$7))</f>
        <v>147000</v>
      </c>
      <c r="I30" s="7">
        <f>LamChanHangNgan((PhiMayCatDecalVuong(I$14,$D30,$E30)+ PhiMayInToner4M(ROUNDUP(I$14/$F30,0)*$E$6)+ (ROUNDUP(I$14/$F30,0)*$D$11))*(1+$D$7))</f>
        <v>151000</v>
      </c>
      <c r="J30" s="7">
        <f>LamChanHangNgan((PhiMayCatDecalVuong(J$14,$D30,$E30)+ PhiMayInToner4M(ROUNDUP(J$14/$F30,0)*$E$6)+ (ROUNDUP(J$14/$F30,0)*$D$11))*(1+$D$7))</f>
        <v>158000</v>
      </c>
      <c r="K30" s="7">
        <f>LamChanHangNgan((PhiMayCatDecalVuong(K$14,$D30,$E30)+ PhiMayInToner4M(ROUNDUP(K$14/$F30,0)*$E$6)+ (ROUNDUP(K$14/$F30,0)*$D$11))*(1+$D$7))</f>
        <v>162000</v>
      </c>
      <c r="L30" s="7">
        <f>LamChanHangNgan((PhiMayCatDecalVuong(L$14,$D30,$E30)+ PhiMayInToner4M(ROUNDUP(L$14/$F30,0)*$E$6)+ (ROUNDUP(L$14/$F30,0)*$D$11))*(1+$D$7))</f>
        <v>170000</v>
      </c>
      <c r="M30" s="7">
        <f>LamChanHangNgan((PhiMayCatDecalVuong(M$14,$D30,$E30)+ PhiMayInToner4M(ROUNDUP(M$14/$F30,0)*$E$6)+ (ROUNDUP(M$14/$F30,0)*$D$11))*(1+$D$7))</f>
        <v>174000</v>
      </c>
      <c r="N30" s="7">
        <f>LamChanHangNgan((PhiMayCatDecalVuong(N$14,$D30,$E30)+ PhiMayInToner4M(ROUNDUP(N$14/$F30,0)*$E$6)+ (ROUNDUP(N$14/$F30,0)*$D$11))*(1+$D$7))</f>
        <v>181000</v>
      </c>
      <c r="O30" s="7">
        <f>LamChanHangNgan((PhiMayCatDecalVuong(O$14,$D30,$E30)+ PhiMayInToner4M(ROUNDUP(O$14/$F30,0)*$E$6)+ (ROUNDUP(O$14/$F30,0)*$D$11))*(1+$D$7))</f>
        <v>188000</v>
      </c>
      <c r="P30" s="7">
        <f>LamChanHangNgan((PhiMayCatDecalVuong(P$14,$D30,$E30)+ PhiMayInToner4M(ROUNDUP(P$14/$F30,0)*$E$6)+ (ROUNDUP(P$14/$F30,0)*$D$11))*(1+$D$7))</f>
        <v>192000</v>
      </c>
      <c r="Q30" s="7">
        <f>LamChanHangNgan((PhiMayCatDecalVuong(Q$14,$D30,$E30)+ PhiMayInToner4M(ROUNDUP(Q$14/$F30,0)*$E$6)+ (ROUNDUP(Q$14/$F30,0)*$D$11))*(1+$D$7))</f>
        <v>222000</v>
      </c>
      <c r="R30" s="7">
        <f>LamChanHangNgan((PhiMayCatDecalVuong(R$14,$D30,$E30)+ PhiMayInToner4M(ROUNDUP(R$14/$F30,0)*$E$6)+ (ROUNDUP(R$14/$F30,0)*$D$11))*(1+$D$7))</f>
        <v>252000</v>
      </c>
      <c r="S30" s="7">
        <f>LamChanHangNgan((PhiMayCatDecalVuong(S$14,$D30,$E30)+ PhiMayInToner4M(ROUNDUP(S$14/$F30,0)*$E$6)+ (ROUNDUP(S$14/$F30,0)*$D$11))*(1+$D$7))</f>
        <v>282000</v>
      </c>
      <c r="T30" s="7">
        <f>LamChanHangNgan((PhiMayCatDecalVuong(T$14,$D30,$E30)+ PhiMayInToner4M(ROUNDUP(T$14/$F30,0)*$E$6)+ (ROUNDUP(T$14/$F30,0)*$D$11))*(1+$D$7))</f>
        <v>309000</v>
      </c>
      <c r="U30" s="7">
        <f>LamChanHangNgan((PhiMayCatDecalVuong(U$14,$D30,$E30)+ PhiMayInToner4M(ROUNDUP(U$14/$F30,0)*$E$6)+ (ROUNDUP(U$14/$F30,0)*$D$11))*(1+$D$7))</f>
        <v>339000</v>
      </c>
      <c r="V30" s="7">
        <f>LamChanHangNgan((PhiMayCatDecalVuong(V$14,$D30,$E30)+ PhiMayInToner4M(ROUNDUP(V$14/$F30,0)*$E$6)+ (ROUNDUP(V$14/$F30,0)*$D$11))*(1+$D$7))</f>
        <v>369000</v>
      </c>
      <c r="W30" s="7">
        <f>LamChanHangNgan((PhiMayCatDecalVuong(W$14,$D30,$E30)+ PhiMayInToner4M(ROUNDUP(W$14/$F30,0)*$E$6)+ (ROUNDUP(W$14/$F30,0)*$D$11))*(1+$D$7))</f>
        <v>399000</v>
      </c>
      <c r="X30" s="7">
        <f>LamChanHangNgan((PhiMayCatDecalVuong(X$14,$D30,$E30)+ PhiMayInToner4M(ROUNDUP(X$14/$F30,0)*$E$6)+ (ROUNDUP(X$14/$F30,0)*$D$11))*(1+$D$7))</f>
        <v>429000</v>
      </c>
      <c r="Y30" s="7">
        <f>LamChanHangNgan((PhiMayCatDecalVuong(Y$14,$D30,$E30)+ PhiMayInToner4M(ROUNDUP(Y$14/$F30,0)*$E$6)+ (ROUNDUP(Y$14/$F30,0)*$D$11))*(1+$D$7))</f>
        <v>723000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4">
        <f t="shared" si="4"/>
        <v>56</v>
      </c>
      <c r="G31" s="7">
        <f>LamChanHangNgan((PhiMayCatDecalVuong(G$14,$D31,$E31)+ PhiMayInToner4M(ROUNDUP(G$14/$F31,0)*$E$6)+ (ROUNDUP(G$14/$F31,0)*$D$11))*(1+$D$7))</f>
        <v>140000</v>
      </c>
      <c r="H31" s="7">
        <f>LamChanHangNgan((PhiMayCatDecalVuong(H$14,$D31,$E31)+ PhiMayInToner4M(ROUNDUP(H$14/$F31,0)*$E$6)+ (ROUNDUP(H$14/$F31,0)*$D$11))*(1+$D$7))</f>
        <v>147000</v>
      </c>
      <c r="I31" s="7">
        <f>LamChanHangNgan((PhiMayCatDecalVuong(I$14,$D31,$E31)+ PhiMayInToner4M(ROUNDUP(I$14/$F31,0)*$E$6)+ (ROUNDUP(I$14/$F31,0)*$D$11))*(1+$D$7))</f>
        <v>155000</v>
      </c>
      <c r="J31" s="7">
        <f>LamChanHangNgan((PhiMayCatDecalVuong(J$14,$D31,$E31)+ PhiMayInToner4M(ROUNDUP(J$14/$F31,0)*$E$6)+ (ROUNDUP(J$14/$F31,0)*$D$11))*(1+$D$7))</f>
        <v>162000</v>
      </c>
      <c r="K31" s="7">
        <f>LamChanHangNgan((PhiMayCatDecalVuong(K$14,$D31,$E31)+ PhiMayInToner4M(ROUNDUP(K$14/$F31,0)*$E$6)+ (ROUNDUP(K$14/$F31,0)*$D$11))*(1+$D$7))</f>
        <v>166000</v>
      </c>
      <c r="L31" s="7">
        <f>LamChanHangNgan((PhiMayCatDecalVuong(L$14,$D31,$E31)+ PhiMayInToner4M(ROUNDUP(L$14/$F31,0)*$E$6)+ (ROUNDUP(L$14/$F31,0)*$D$11))*(1+$D$7))</f>
        <v>173000</v>
      </c>
      <c r="M31" s="7">
        <f>LamChanHangNgan((PhiMayCatDecalVuong(M$14,$D31,$E31)+ PhiMayInToner4M(ROUNDUP(M$14/$F31,0)*$E$6)+ (ROUNDUP(M$14/$F31,0)*$D$11))*(1+$D$7))</f>
        <v>181000</v>
      </c>
      <c r="N31" s="7">
        <f>LamChanHangNgan((PhiMayCatDecalVuong(N$14,$D31,$E31)+ PhiMayInToner4M(ROUNDUP(N$14/$F31,0)*$E$6)+ (ROUNDUP(N$14/$F31,0)*$D$11))*(1+$D$7))</f>
        <v>188000</v>
      </c>
      <c r="O31" s="7">
        <f>LamChanHangNgan((PhiMayCatDecalVuong(O$14,$D31,$E31)+ PhiMayInToner4M(ROUNDUP(O$14/$F31,0)*$E$6)+ (ROUNDUP(O$14/$F31,0)*$D$11))*(1+$D$7))</f>
        <v>196000</v>
      </c>
      <c r="P31" s="7">
        <f>LamChanHangNgan((PhiMayCatDecalVuong(P$14,$D31,$E31)+ PhiMayInToner4M(ROUNDUP(P$14/$F31,0)*$E$6)+ (ROUNDUP(P$14/$F31,0)*$D$11))*(1+$D$7))</f>
        <v>200000</v>
      </c>
      <c r="Q31" s="7">
        <f>LamChanHangNgan((PhiMayCatDecalVuong(Q$14,$D31,$E31)+ PhiMayInToner4M(ROUNDUP(Q$14/$F31,0)*$E$6)+ (ROUNDUP(Q$14/$F31,0)*$D$11))*(1+$D$7))</f>
        <v>233000</v>
      </c>
      <c r="R31" s="7">
        <f>LamChanHangNgan((PhiMayCatDecalVuong(R$14,$D31,$E31)+ PhiMayInToner4M(ROUNDUP(R$14/$F31,0)*$E$6)+ (ROUNDUP(R$14/$F31,0)*$D$11))*(1+$D$7))</f>
        <v>267000</v>
      </c>
      <c r="S31" s="7">
        <f>LamChanHangNgan((PhiMayCatDecalVuong(S$14,$D31,$E31)+ PhiMayInToner4M(ROUNDUP(S$14/$F31,0)*$E$6)+ (ROUNDUP(S$14/$F31,0)*$D$11))*(1+$D$7))</f>
        <v>301000</v>
      </c>
      <c r="T31" s="7">
        <f>LamChanHangNgan((PhiMayCatDecalVuong(T$14,$D31,$E31)+ PhiMayInToner4M(ROUNDUP(T$14/$F31,0)*$E$6)+ (ROUNDUP(T$14/$F31,0)*$D$11))*(1+$D$7))</f>
        <v>334000</v>
      </c>
      <c r="U31" s="7">
        <f>LamChanHangNgan((PhiMayCatDecalVuong(U$14,$D31,$E31)+ PhiMayInToner4M(ROUNDUP(U$14/$F31,0)*$E$6)+ (ROUNDUP(U$14/$F31,0)*$D$11))*(1+$D$7))</f>
        <v>368000</v>
      </c>
      <c r="V31" s="7">
        <f>LamChanHangNgan((PhiMayCatDecalVuong(V$14,$D31,$E31)+ PhiMayInToner4M(ROUNDUP(V$14/$F31,0)*$E$6)+ (ROUNDUP(V$14/$F31,0)*$D$11))*(1+$D$7))</f>
        <v>402000</v>
      </c>
      <c r="W31" s="7">
        <f>LamChanHangNgan((PhiMayCatDecalVuong(W$14,$D31,$E31)+ PhiMayInToner4M(ROUNDUP(W$14/$F31,0)*$E$6)+ (ROUNDUP(W$14/$F31,0)*$D$11))*(1+$D$7))</f>
        <v>435000</v>
      </c>
      <c r="X31" s="7">
        <f>LamChanHangNgan((PhiMayCatDecalVuong(X$14,$D31,$E31)+ PhiMayInToner4M(ROUNDUP(X$14/$F31,0)*$E$6)+ (ROUNDUP(X$14/$F31,0)*$D$11))*(1+$D$7))</f>
        <v>469000</v>
      </c>
      <c r="Y31" s="7">
        <f>LamChanHangNgan((PhiMayCatDecalVuong(Y$14,$D31,$E31)+ PhiMayInToner4M(ROUNDUP(Y$14/$F31,0)*$E$6)+ (ROUNDUP(Y$14/$F31,0)*$D$11))*(1+$D$7))</f>
        <v>802000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4">
        <f t="shared" si="4"/>
        <v>56</v>
      </c>
      <c r="G32" s="7">
        <f>LamChanHangNgan((PhiMayCatDecalVuong(G$14,$D32,$E32)+ PhiMayInToner4M(ROUNDUP(G$14/$F32,0)*$E$6)+ (ROUNDUP(G$14/$F32,0)*$D$11))*(1+$D$7))</f>
        <v>140000</v>
      </c>
      <c r="H32" s="7">
        <f>LamChanHangNgan((PhiMayCatDecalVuong(H$14,$D32,$E32)+ PhiMayInToner4M(ROUNDUP(H$14/$F32,0)*$E$6)+ (ROUNDUP(H$14/$F32,0)*$D$11))*(1+$D$7))</f>
        <v>147000</v>
      </c>
      <c r="I32" s="7">
        <f>LamChanHangNgan((PhiMayCatDecalVuong(I$14,$D32,$E32)+ PhiMayInToner4M(ROUNDUP(I$14/$F32,0)*$E$6)+ (ROUNDUP(I$14/$F32,0)*$D$11))*(1+$D$7))</f>
        <v>155000</v>
      </c>
      <c r="J32" s="7">
        <f>LamChanHangNgan((PhiMayCatDecalVuong(J$14,$D32,$E32)+ PhiMayInToner4M(ROUNDUP(J$14/$F32,0)*$E$6)+ (ROUNDUP(J$14/$F32,0)*$D$11))*(1+$D$7))</f>
        <v>162000</v>
      </c>
      <c r="K32" s="7">
        <f>LamChanHangNgan((PhiMayCatDecalVuong(K$14,$D32,$E32)+ PhiMayInToner4M(ROUNDUP(K$14/$F32,0)*$E$6)+ (ROUNDUP(K$14/$F32,0)*$D$11))*(1+$D$7))</f>
        <v>166000</v>
      </c>
      <c r="L32" s="7">
        <f>LamChanHangNgan((PhiMayCatDecalVuong(L$14,$D32,$E32)+ PhiMayInToner4M(ROUNDUP(L$14/$F32,0)*$E$6)+ (ROUNDUP(L$14/$F32,0)*$D$11))*(1+$D$7))</f>
        <v>173000</v>
      </c>
      <c r="M32" s="7">
        <f>LamChanHangNgan((PhiMayCatDecalVuong(M$14,$D32,$E32)+ PhiMayInToner4M(ROUNDUP(M$14/$F32,0)*$E$6)+ (ROUNDUP(M$14/$F32,0)*$D$11))*(1+$D$7))</f>
        <v>181000</v>
      </c>
      <c r="N32" s="7">
        <f>LamChanHangNgan((PhiMayCatDecalVuong(N$14,$D32,$E32)+ PhiMayInToner4M(ROUNDUP(N$14/$F32,0)*$E$6)+ (ROUNDUP(N$14/$F32,0)*$D$11))*(1+$D$7))</f>
        <v>188000</v>
      </c>
      <c r="O32" s="7">
        <f>LamChanHangNgan((PhiMayCatDecalVuong(O$14,$D32,$E32)+ PhiMayInToner4M(ROUNDUP(O$14/$F32,0)*$E$6)+ (ROUNDUP(O$14/$F32,0)*$D$11))*(1+$D$7))</f>
        <v>196000</v>
      </c>
      <c r="P32" s="7">
        <f>LamChanHangNgan((PhiMayCatDecalVuong(P$14,$D32,$E32)+ PhiMayInToner4M(ROUNDUP(P$14/$F32,0)*$E$6)+ (ROUNDUP(P$14/$F32,0)*$D$11))*(1+$D$7))</f>
        <v>200000</v>
      </c>
      <c r="Q32" s="7">
        <f>LamChanHangNgan((PhiMayCatDecalVuong(Q$14,$D32,$E32)+ PhiMayInToner4M(ROUNDUP(Q$14/$F32,0)*$E$6)+ (ROUNDUP(Q$14/$F32,0)*$D$11))*(1+$D$7))</f>
        <v>234000</v>
      </c>
      <c r="R32" s="7">
        <f>LamChanHangNgan((PhiMayCatDecalVuong(R$14,$D32,$E32)+ PhiMayInToner4M(ROUNDUP(R$14/$F32,0)*$E$6)+ (ROUNDUP(R$14/$F32,0)*$D$11))*(1+$D$7))</f>
        <v>267000</v>
      </c>
      <c r="S32" s="7">
        <f>LamChanHangNgan((PhiMayCatDecalVuong(S$14,$D32,$E32)+ PhiMayInToner4M(ROUNDUP(S$14/$F32,0)*$E$6)+ (ROUNDUP(S$14/$F32,0)*$D$11))*(1+$D$7))</f>
        <v>301000</v>
      </c>
      <c r="T32" s="7">
        <f>LamChanHangNgan((PhiMayCatDecalVuong(T$14,$D32,$E32)+ PhiMayInToner4M(ROUNDUP(T$14/$F32,0)*$E$6)+ (ROUNDUP(T$14/$F32,0)*$D$11))*(1+$D$7))</f>
        <v>335000</v>
      </c>
      <c r="U32" s="7">
        <f>LamChanHangNgan((PhiMayCatDecalVuong(U$14,$D32,$E32)+ PhiMayInToner4M(ROUNDUP(U$14/$F32,0)*$E$6)+ (ROUNDUP(U$14/$F32,0)*$D$11))*(1+$D$7))</f>
        <v>369000</v>
      </c>
      <c r="V32" s="7">
        <f>LamChanHangNgan((PhiMayCatDecalVuong(V$14,$D32,$E32)+ PhiMayInToner4M(ROUNDUP(V$14/$F32,0)*$E$6)+ (ROUNDUP(V$14/$F32,0)*$D$11))*(1+$D$7))</f>
        <v>403000</v>
      </c>
      <c r="W32" s="7">
        <f>LamChanHangNgan((PhiMayCatDecalVuong(W$14,$D32,$E32)+ PhiMayInToner4M(ROUNDUP(W$14/$F32,0)*$E$6)+ (ROUNDUP(W$14/$F32,0)*$D$11))*(1+$D$7))</f>
        <v>436000</v>
      </c>
      <c r="X32" s="7">
        <f>LamChanHangNgan((PhiMayCatDecalVuong(X$14,$D32,$E32)+ PhiMayInToner4M(ROUNDUP(X$14/$F32,0)*$E$6)+ (ROUNDUP(X$14/$F32,0)*$D$11))*(1+$D$7))</f>
        <v>470000</v>
      </c>
      <c r="Y32" s="7">
        <f>LamChanHangNgan((PhiMayCatDecalVuong(Y$14,$D32,$E32)+ PhiMayInToner4M(ROUNDUP(Y$14/$F32,0)*$E$6)+ (ROUNDUP(Y$14/$F32,0)*$D$11))*(1+$D$7))</f>
        <v>805000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4">
        <f t="shared" si="4"/>
        <v>48</v>
      </c>
      <c r="G33" s="7">
        <f>LamChanHangNgan((PhiMayCatDecalVuong(G$14,$D33,$E33)+ PhiMayInToner4M(ROUNDUP(G$14/$F33,0)*$E$6)+ (ROUNDUP(G$14/$F33,0)*$D$11))*(1+$D$7))</f>
        <v>143000</v>
      </c>
      <c r="H33" s="7">
        <f>LamChanHangNgan((PhiMayCatDecalVuong(H$14,$D33,$E33)+ PhiMayInToner4M(ROUNDUP(H$14/$F33,0)*$E$6)+ (ROUNDUP(H$14/$F33,0)*$D$11))*(1+$D$7))</f>
        <v>151000</v>
      </c>
      <c r="I33" s="7">
        <f>LamChanHangNgan((PhiMayCatDecalVuong(I$14,$D33,$E33)+ PhiMayInToner4M(ROUNDUP(I$14/$F33,0)*$E$6)+ (ROUNDUP(I$14/$F33,0)*$D$11))*(1+$D$7))</f>
        <v>158000</v>
      </c>
      <c r="J33" s="7">
        <f>LamChanHangNgan((PhiMayCatDecalVuong(J$14,$D33,$E33)+ PhiMayInToner4M(ROUNDUP(J$14/$F33,0)*$E$6)+ (ROUNDUP(J$14/$F33,0)*$D$11))*(1+$D$7))</f>
        <v>166000</v>
      </c>
      <c r="K33" s="7">
        <f>LamChanHangNgan((PhiMayCatDecalVuong(K$14,$D33,$E33)+ PhiMayInToner4M(ROUNDUP(K$14/$F33,0)*$E$6)+ (ROUNDUP(K$14/$F33,0)*$D$11))*(1+$D$7))</f>
        <v>173000</v>
      </c>
      <c r="L33" s="7">
        <f>LamChanHangNgan((PhiMayCatDecalVuong(L$14,$D33,$E33)+ PhiMayInToner4M(ROUNDUP(L$14/$F33,0)*$E$6)+ (ROUNDUP(L$14/$F33,0)*$D$11))*(1+$D$7))</f>
        <v>181000</v>
      </c>
      <c r="M33" s="7">
        <f>LamChanHangNgan((PhiMayCatDecalVuong(M$14,$D33,$E33)+ PhiMayInToner4M(ROUNDUP(M$14/$F33,0)*$E$6)+ (ROUNDUP(M$14/$F33,0)*$D$11))*(1+$D$7))</f>
        <v>188000</v>
      </c>
      <c r="N33" s="7">
        <f>LamChanHangNgan((PhiMayCatDecalVuong(N$14,$D33,$E33)+ PhiMayInToner4M(ROUNDUP(N$14/$F33,0)*$E$6)+ (ROUNDUP(N$14/$F33,0)*$D$11))*(1+$D$7))</f>
        <v>196000</v>
      </c>
      <c r="O33" s="7">
        <f>LamChanHangNgan((PhiMayCatDecalVuong(O$14,$D33,$E33)+ PhiMayInToner4M(ROUNDUP(O$14/$F33,0)*$E$6)+ (ROUNDUP(O$14/$F33,0)*$D$11))*(1+$D$7))</f>
        <v>203000</v>
      </c>
      <c r="P33" s="7">
        <f>LamChanHangNgan((PhiMayCatDecalVuong(P$14,$D33,$E33)+ PhiMayInToner4M(ROUNDUP(P$14/$F33,0)*$E$6)+ (ROUNDUP(P$14/$F33,0)*$D$11))*(1+$D$7))</f>
        <v>211000</v>
      </c>
      <c r="Q33" s="7">
        <f>LamChanHangNgan((PhiMayCatDecalVuong(Q$14,$D33,$E33)+ PhiMayInToner4M(ROUNDUP(Q$14/$F33,0)*$E$6)+ (ROUNDUP(Q$14/$F33,0)*$D$11))*(1+$D$7))</f>
        <v>251000</v>
      </c>
      <c r="R33" s="7">
        <f>LamChanHangNgan((PhiMayCatDecalVuong(R$14,$D33,$E33)+ PhiMayInToner4M(ROUNDUP(R$14/$F33,0)*$E$6)+ (ROUNDUP(R$14/$F33,0)*$D$11))*(1+$D$7))</f>
        <v>289000</v>
      </c>
      <c r="S33" s="7">
        <f>LamChanHangNgan((PhiMayCatDecalVuong(S$14,$D33,$E33)+ PhiMayInToner4M(ROUNDUP(S$14/$F33,0)*$E$6)+ (ROUNDUP(S$14/$F33,0)*$D$11))*(1+$D$7))</f>
        <v>330000</v>
      </c>
      <c r="T33" s="7">
        <f>LamChanHangNgan((PhiMayCatDecalVuong(T$14,$D33,$E33)+ PhiMayInToner4M(ROUNDUP(T$14/$F33,0)*$E$6)+ (ROUNDUP(T$14/$F33,0)*$D$11))*(1+$D$7))</f>
        <v>367000</v>
      </c>
      <c r="U33" s="7">
        <f>LamChanHangNgan((PhiMayCatDecalVuong(U$14,$D33,$E33)+ PhiMayInToner4M(ROUNDUP(U$14/$F33,0)*$E$6)+ (ROUNDUP(U$14/$F33,0)*$D$11))*(1+$D$7))</f>
        <v>405000</v>
      </c>
      <c r="V33" s="7">
        <f>LamChanHangNgan((PhiMayCatDecalVuong(V$14,$D33,$E33)+ PhiMayInToner4M(ROUNDUP(V$14/$F33,0)*$E$6)+ (ROUNDUP(V$14/$F33,0)*$D$11))*(1+$D$7))</f>
        <v>446000</v>
      </c>
      <c r="W33" s="7">
        <f>LamChanHangNgan((PhiMayCatDecalVuong(W$14,$D33,$E33)+ PhiMayInToner4M(ROUNDUP(W$14/$F33,0)*$E$6)+ (ROUNDUP(W$14/$F33,0)*$D$11))*(1+$D$7))</f>
        <v>483000</v>
      </c>
      <c r="X33" s="7">
        <f>LamChanHangNgan((PhiMayCatDecalVuong(X$14,$D33,$E33)+ PhiMayInToner4M(ROUNDUP(X$14/$F33,0)*$E$6)+ (ROUNDUP(X$14/$F33,0)*$D$11))*(1+$D$7))</f>
        <v>524000</v>
      </c>
      <c r="Y33" s="7">
        <f>LamChanHangNgan((PhiMayCatDecalVuong(Y$14,$D33,$E33)+ PhiMayInToner4M(ROUNDUP(Y$14/$F33,0)*$E$6)+ (ROUNDUP(Y$14/$F33,0)*$D$11))*(1+$D$7))</f>
        <v>912000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4">
        <f t="shared" si="4"/>
        <v>48</v>
      </c>
      <c r="G34" s="7">
        <f>LamChanHangNgan((PhiMayCatDecalVuong(G$14,$D34,$E34)+ PhiMayInToner4M(ROUNDUP(G$14/$F34,0)*$E$6)+ (ROUNDUP(G$14/$F34,0)*$D$11))*(1+$D$7))</f>
        <v>143000</v>
      </c>
      <c r="H34" s="7">
        <f>LamChanHangNgan((PhiMayCatDecalVuong(H$14,$D34,$E34)+ PhiMayInToner4M(ROUNDUP(H$14/$F34,0)*$E$6)+ (ROUNDUP(H$14/$F34,0)*$D$11))*(1+$D$7))</f>
        <v>151000</v>
      </c>
      <c r="I34" s="7">
        <f>LamChanHangNgan((PhiMayCatDecalVuong(I$14,$D34,$E34)+ PhiMayInToner4M(ROUNDUP(I$14/$F34,0)*$E$6)+ (ROUNDUP(I$14/$F34,0)*$D$11))*(1+$D$7))</f>
        <v>158000</v>
      </c>
      <c r="J34" s="7">
        <f>LamChanHangNgan((PhiMayCatDecalVuong(J$14,$D34,$E34)+ PhiMayInToner4M(ROUNDUP(J$14/$F34,0)*$E$6)+ (ROUNDUP(J$14/$F34,0)*$D$11))*(1+$D$7))</f>
        <v>166000</v>
      </c>
      <c r="K34" s="7">
        <f>LamChanHangNgan((PhiMayCatDecalVuong(K$14,$D34,$E34)+ PhiMayInToner4M(ROUNDUP(K$14/$F34,0)*$E$6)+ (ROUNDUP(K$14/$F34,0)*$D$11))*(1+$D$7))</f>
        <v>173000</v>
      </c>
      <c r="L34" s="7">
        <f>LamChanHangNgan((PhiMayCatDecalVuong(L$14,$D34,$E34)+ PhiMayInToner4M(ROUNDUP(L$14/$F34,0)*$E$6)+ (ROUNDUP(L$14/$F34,0)*$D$11))*(1+$D$7))</f>
        <v>181000</v>
      </c>
      <c r="M34" s="7">
        <f>LamChanHangNgan((PhiMayCatDecalVuong(M$14,$D34,$E34)+ PhiMayInToner4M(ROUNDUP(M$14/$F34,0)*$E$6)+ (ROUNDUP(M$14/$F34,0)*$D$11))*(1+$D$7))</f>
        <v>188000</v>
      </c>
      <c r="N34" s="7">
        <f>LamChanHangNgan((PhiMayCatDecalVuong(N$14,$D34,$E34)+ PhiMayInToner4M(ROUNDUP(N$14/$F34,0)*$E$6)+ (ROUNDUP(N$14/$F34,0)*$D$11))*(1+$D$7))</f>
        <v>196000</v>
      </c>
      <c r="O34" s="7">
        <f>LamChanHangNgan((PhiMayCatDecalVuong(O$14,$D34,$E34)+ PhiMayInToner4M(ROUNDUP(O$14/$F34,0)*$E$6)+ (ROUNDUP(O$14/$F34,0)*$D$11))*(1+$D$7))</f>
        <v>203000</v>
      </c>
      <c r="P34" s="7">
        <f>LamChanHangNgan((PhiMayCatDecalVuong(P$14,$D34,$E34)+ PhiMayInToner4M(ROUNDUP(P$14/$F34,0)*$E$6)+ (ROUNDUP(P$14/$F34,0)*$D$11))*(1+$D$7))</f>
        <v>211000</v>
      </c>
      <c r="Q34" s="7">
        <f>LamChanHangNgan((PhiMayCatDecalVuong(Q$14,$D34,$E34)+ PhiMayInToner4M(ROUNDUP(Q$14/$F34,0)*$E$6)+ (ROUNDUP(Q$14/$F34,0)*$D$11))*(1+$D$7))</f>
        <v>252000</v>
      </c>
      <c r="R34" s="7">
        <f>LamChanHangNgan((PhiMayCatDecalVuong(R$14,$D34,$E34)+ PhiMayInToner4M(ROUNDUP(R$14/$F34,0)*$E$6)+ (ROUNDUP(R$14/$F34,0)*$D$11))*(1+$D$7))</f>
        <v>289000</v>
      </c>
      <c r="S34" s="7">
        <f>LamChanHangNgan((PhiMayCatDecalVuong(S$14,$D34,$E34)+ PhiMayInToner4M(ROUNDUP(S$14/$F34,0)*$E$6)+ (ROUNDUP(S$14/$F34,0)*$D$11))*(1+$D$7))</f>
        <v>330000</v>
      </c>
      <c r="T34" s="7">
        <f>LamChanHangNgan((PhiMayCatDecalVuong(T$14,$D34,$E34)+ PhiMayInToner4M(ROUNDUP(T$14/$F34,0)*$E$6)+ (ROUNDUP(T$14/$F34,0)*$D$11))*(1+$D$7))</f>
        <v>368000</v>
      </c>
      <c r="U34" s="7">
        <f>LamChanHangNgan((PhiMayCatDecalVuong(U$14,$D34,$E34)+ PhiMayInToner4M(ROUNDUP(U$14/$F34,0)*$E$6)+ (ROUNDUP(U$14/$F34,0)*$D$11))*(1+$D$7))</f>
        <v>405000</v>
      </c>
      <c r="V34" s="7">
        <f>LamChanHangNgan((PhiMayCatDecalVuong(V$14,$D34,$E34)+ PhiMayInToner4M(ROUNDUP(V$14/$F34,0)*$E$6)+ (ROUNDUP(V$14/$F34,0)*$D$11))*(1+$D$7))</f>
        <v>447000</v>
      </c>
      <c r="W34" s="7">
        <f>LamChanHangNgan((PhiMayCatDecalVuong(W$14,$D34,$E34)+ PhiMayInToner4M(ROUNDUP(W$14/$F34,0)*$E$6)+ (ROUNDUP(W$14/$F34,0)*$D$11))*(1+$D$7))</f>
        <v>484000</v>
      </c>
      <c r="X34" s="7">
        <f>LamChanHangNgan((PhiMayCatDecalVuong(X$14,$D34,$E34)+ PhiMayInToner4M(ROUNDUP(X$14/$F34,0)*$E$6)+ (ROUNDUP(X$14/$F34,0)*$D$11))*(1+$D$7))</f>
        <v>525000</v>
      </c>
      <c r="Y34" s="7">
        <f>LamChanHangNgan((PhiMayCatDecalVuong(Y$14,$D34,$E34)+ PhiMayInToner4M(ROUNDUP(Y$14/$F34,0)*$E$6)+ (ROUNDUP(Y$14/$F34,0)*$D$11))*(1+$D$7))</f>
        <v>914000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4">
        <f t="shared" si="4"/>
        <v>40</v>
      </c>
      <c r="G35" s="7">
        <f>LamChanHangNgan((PhiMayCatDecalVuong(G$14,$D35,$E35)+ PhiMayInToner4M(ROUNDUP(G$14/$F35,0)*$E$6)+ (ROUNDUP(G$14/$F35,0)*$D$11))*(1+$D$7))</f>
        <v>143000</v>
      </c>
      <c r="H35" s="7">
        <f>LamChanHangNgan((PhiMayCatDecalVuong(H$14,$D35,$E35)+ PhiMayInToner4M(ROUNDUP(H$14/$F35,0)*$E$6)+ (ROUNDUP(H$14/$F35,0)*$D$11))*(1+$D$7))</f>
        <v>151000</v>
      </c>
      <c r="I35" s="7">
        <f>LamChanHangNgan((PhiMayCatDecalVuong(I$14,$D35,$E35)+ PhiMayInToner4M(ROUNDUP(I$14/$F35,0)*$E$6)+ (ROUNDUP(I$14/$F35,0)*$D$11))*(1+$D$7))</f>
        <v>162000</v>
      </c>
      <c r="J35" s="7">
        <f>LamChanHangNgan((PhiMayCatDecalVuong(J$14,$D35,$E35)+ PhiMayInToner4M(ROUNDUP(J$14/$F35,0)*$E$6)+ (ROUNDUP(J$14/$F35,0)*$D$11))*(1+$D$7))</f>
        <v>169000</v>
      </c>
      <c r="K35" s="7">
        <f>LamChanHangNgan((PhiMayCatDecalVuong(K$14,$D35,$E35)+ PhiMayInToner4M(ROUNDUP(K$14/$F35,0)*$E$6)+ (ROUNDUP(K$14/$F35,0)*$D$11))*(1+$D$7))</f>
        <v>180000</v>
      </c>
      <c r="L35" s="7">
        <f>LamChanHangNgan((PhiMayCatDecalVuong(L$14,$D35,$E35)+ PhiMayInToner4M(ROUNDUP(L$14/$F35,0)*$E$6)+ (ROUNDUP(L$14/$F35,0)*$D$11))*(1+$D$7))</f>
        <v>188000</v>
      </c>
      <c r="M35" s="7">
        <f>LamChanHangNgan((PhiMayCatDecalVuong(M$14,$D35,$E35)+ PhiMayInToner4M(ROUNDUP(M$14/$F35,0)*$E$6)+ (ROUNDUP(M$14/$F35,0)*$D$11))*(1+$D$7))</f>
        <v>199000</v>
      </c>
      <c r="N35" s="7">
        <f>LamChanHangNgan((PhiMayCatDecalVuong(N$14,$D35,$E35)+ PhiMayInToner4M(ROUNDUP(N$14/$F35,0)*$E$6)+ (ROUNDUP(N$14/$F35,0)*$D$11))*(1+$D$7))</f>
        <v>206000</v>
      </c>
      <c r="O35" s="7">
        <f>LamChanHangNgan((PhiMayCatDecalVuong(O$14,$D35,$E35)+ PhiMayInToner4M(ROUNDUP(O$14/$F35,0)*$E$6)+ (ROUNDUP(O$14/$F35,0)*$D$11))*(1+$D$7))</f>
        <v>218000</v>
      </c>
      <c r="P35" s="7">
        <f>LamChanHangNgan((PhiMayCatDecalVuong(P$14,$D35,$E35)+ PhiMayInToner4M(ROUNDUP(P$14/$F35,0)*$E$6)+ (ROUNDUP(P$14/$F35,0)*$D$11))*(1+$D$7))</f>
        <v>225000</v>
      </c>
      <c r="Q35" s="7">
        <f>LamChanHangNgan((PhiMayCatDecalVuong(Q$14,$D35,$E35)+ PhiMayInToner4M(ROUNDUP(Q$14/$F35,0)*$E$6)+ (ROUNDUP(Q$14/$F35,0)*$D$11))*(1+$D$7))</f>
        <v>273000</v>
      </c>
      <c r="R35" s="7">
        <f>LamChanHangNgan((PhiMayCatDecalVuong(R$14,$D35,$E35)+ PhiMayInToner4M(ROUNDUP(R$14/$F35,0)*$E$6)+ (ROUNDUP(R$14/$F35,0)*$D$11))*(1+$D$7))</f>
        <v>318000</v>
      </c>
      <c r="S35" s="7">
        <f>LamChanHangNgan((PhiMayCatDecalVuong(S$14,$D35,$E35)+ PhiMayInToner4M(ROUNDUP(S$14/$F35,0)*$E$6)+ (ROUNDUP(S$14/$F35,0)*$D$11))*(1+$D$7))</f>
        <v>366000</v>
      </c>
      <c r="T35" s="7">
        <f>LamChanHangNgan((PhiMayCatDecalVuong(T$14,$D35,$E35)+ PhiMayInToner4M(ROUNDUP(T$14/$F35,0)*$E$6)+ (ROUNDUP(T$14/$F35,0)*$D$11))*(1+$D$7))</f>
        <v>411000</v>
      </c>
      <c r="U35" s="7">
        <f>LamChanHangNgan((PhiMayCatDecalVuong(U$14,$D35,$E35)+ PhiMayInToner4M(ROUNDUP(U$14/$F35,0)*$E$6)+ (ROUNDUP(U$14/$F35,0)*$D$11))*(1+$D$7))</f>
        <v>459000</v>
      </c>
      <c r="V35" s="7">
        <f>LamChanHangNgan((PhiMayCatDecalVuong(V$14,$D35,$E35)+ PhiMayInToner4M(ROUNDUP(V$14/$F35,0)*$E$6)+ (ROUNDUP(V$14/$F35,0)*$D$11))*(1+$D$7))</f>
        <v>504000</v>
      </c>
      <c r="W35" s="7">
        <f>LamChanHangNgan((PhiMayCatDecalVuong(W$14,$D35,$E35)+ PhiMayInToner4M(ROUNDUP(W$14/$F35,0)*$E$6)+ (ROUNDUP(W$14/$F35,0)*$D$11))*(1+$D$7))</f>
        <v>552000</v>
      </c>
      <c r="X35" s="7">
        <f>LamChanHangNgan((PhiMayCatDecalVuong(X$14,$D35,$E35)+ PhiMayInToner4M(ROUNDUP(X$14/$F35,0)*$E$6)+ (ROUNDUP(X$14/$F35,0)*$D$11))*(1+$D$7))</f>
        <v>596000</v>
      </c>
      <c r="Y35" s="7">
        <f>LamChanHangNgan((PhiMayCatDecalVuong(Y$14,$D35,$E35)+ PhiMayInToner4M(ROUNDUP(Y$14/$F35,0)*$E$6)+ (ROUNDUP(Y$14/$F35,0)*$D$11))*(1+$D$7))</f>
        <v>1061000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4">
        <f t="shared" si="4"/>
        <v>36</v>
      </c>
      <c r="G36" s="7">
        <f>LamChanHangNgan((PhiMayCatDecalVuong(G$14,$D36,$E36)+ PhiMayInToner4M(ROUNDUP(G$14/$F36,0)*$E$6)+ (ROUNDUP(G$14/$F36,0)*$D$11))*(1+$D$7))</f>
        <v>143000</v>
      </c>
      <c r="H36" s="7">
        <f>LamChanHangNgan((PhiMayCatDecalVuong(H$14,$D36,$E36)+ PhiMayInToner4M(ROUNDUP(H$14/$F36,0)*$E$6)+ (ROUNDUP(H$14/$F36,0)*$D$11))*(1+$D$7))</f>
        <v>154000</v>
      </c>
      <c r="I36" s="7">
        <f>LamChanHangNgan((PhiMayCatDecalVuong(I$14,$D36,$E36)+ PhiMayInToner4M(ROUNDUP(I$14/$F36,0)*$E$6)+ (ROUNDUP(I$14/$F36,0)*$D$11))*(1+$D$7))</f>
        <v>165000</v>
      </c>
      <c r="J36" s="7">
        <f>LamChanHangNgan((PhiMayCatDecalVuong(J$14,$D36,$E36)+ PhiMayInToner4M(ROUNDUP(J$14/$F36,0)*$E$6)+ (ROUNDUP(J$14/$F36,0)*$D$11))*(1+$D$7))</f>
        <v>177000</v>
      </c>
      <c r="K36" s="7">
        <f>LamChanHangNgan((PhiMayCatDecalVuong(K$14,$D36,$E36)+ PhiMayInToner4M(ROUNDUP(K$14/$F36,0)*$E$6)+ (ROUNDUP(K$14/$F36,0)*$D$11))*(1+$D$7))</f>
        <v>184000</v>
      </c>
      <c r="L36" s="7">
        <f>LamChanHangNgan((PhiMayCatDecalVuong(L$14,$D36,$E36)+ PhiMayInToner4M(ROUNDUP(L$14/$F36,0)*$E$6)+ (ROUNDUP(L$14/$F36,0)*$D$11))*(1+$D$7))</f>
        <v>195000</v>
      </c>
      <c r="M36" s="7">
        <f>LamChanHangNgan((PhiMayCatDecalVuong(M$14,$D36,$E36)+ PhiMayInToner4M(ROUNDUP(M$14/$F36,0)*$E$6)+ (ROUNDUP(M$14/$F36,0)*$D$11))*(1+$D$7))</f>
        <v>206000</v>
      </c>
      <c r="N36" s="7">
        <f>LamChanHangNgan((PhiMayCatDecalVuong(N$14,$D36,$E36)+ PhiMayInToner4M(ROUNDUP(N$14/$F36,0)*$E$6)+ (ROUNDUP(N$14/$F36,0)*$D$11))*(1+$D$7))</f>
        <v>217000</v>
      </c>
      <c r="O36" s="7">
        <f>LamChanHangNgan((PhiMayCatDecalVuong(O$14,$D36,$E36)+ PhiMayInToner4M(ROUNDUP(O$14/$F36,0)*$E$6)+ (ROUNDUP(O$14/$F36,0)*$D$11))*(1+$D$7))</f>
        <v>225000</v>
      </c>
      <c r="P36" s="7">
        <f>LamChanHangNgan((PhiMayCatDecalVuong(P$14,$D36,$E36)+ PhiMayInToner4M(ROUNDUP(P$14/$F36,0)*$E$6)+ (ROUNDUP(P$14/$F36,0)*$D$11))*(1+$D$7))</f>
        <v>236000</v>
      </c>
      <c r="Q36" s="7">
        <f>LamChanHangNgan((PhiMayCatDecalVuong(Q$14,$D36,$E36)+ PhiMayInToner4M(ROUNDUP(Q$14/$F36,0)*$E$6)+ (ROUNDUP(Q$14/$F36,0)*$D$11))*(1+$D$7))</f>
        <v>288000</v>
      </c>
      <c r="R36" s="7">
        <f>LamChanHangNgan((PhiMayCatDecalVuong(R$14,$D36,$E36)+ PhiMayInToner4M(ROUNDUP(R$14/$F36,0)*$E$6)+ (ROUNDUP(R$14/$F36,0)*$D$11))*(1+$D$7))</f>
        <v>340000</v>
      </c>
      <c r="S36" s="7">
        <f>LamChanHangNgan((PhiMayCatDecalVuong(S$14,$D36,$E36)+ PhiMayInToner4M(ROUNDUP(S$14/$F36,0)*$E$6)+ (ROUNDUP(S$14/$F36,0)*$D$11))*(1+$D$7))</f>
        <v>392000</v>
      </c>
      <c r="T36" s="7">
        <f>LamChanHangNgan((PhiMayCatDecalVuong(T$14,$D36,$E36)+ PhiMayInToner4M(ROUNDUP(T$14/$F36,0)*$E$6)+ (ROUNDUP(T$14/$F36,0)*$D$11))*(1+$D$7))</f>
        <v>444000</v>
      </c>
      <c r="U36" s="7">
        <f>LamChanHangNgan((PhiMayCatDecalVuong(U$14,$D36,$E36)+ PhiMayInToner4M(ROUNDUP(U$14/$F36,0)*$E$6)+ (ROUNDUP(U$14/$F36,0)*$D$11))*(1+$D$7))</f>
        <v>496000</v>
      </c>
      <c r="V36" s="7">
        <f>LamChanHangNgan((PhiMayCatDecalVuong(V$14,$D36,$E36)+ PhiMayInToner4M(ROUNDUP(V$14/$F36,0)*$E$6)+ (ROUNDUP(V$14/$F36,0)*$D$11))*(1+$D$7))</f>
        <v>548000</v>
      </c>
      <c r="W36" s="7">
        <f>LamChanHangNgan((PhiMayCatDecalVuong(W$14,$D36,$E36)+ PhiMayInToner4M(ROUNDUP(W$14/$F36,0)*$E$6)+ (ROUNDUP(W$14/$F36,0)*$D$11))*(1+$D$7))</f>
        <v>596000</v>
      </c>
      <c r="X36" s="7">
        <f>LamChanHangNgan((PhiMayCatDecalVuong(X$14,$D36,$E36)+ PhiMayInToner4M(ROUNDUP(X$14/$F36,0)*$E$6)+ (ROUNDUP(X$14/$F36,0)*$D$11))*(1+$D$7))</f>
        <v>648000</v>
      </c>
      <c r="Y36" s="7">
        <f>LamChanHangNgan((PhiMayCatDecalVuong(Y$14,$D36,$E36)+ PhiMayInToner4M(ROUNDUP(Y$14/$F36,0)*$E$6)+ (ROUNDUP(Y$14/$F36,0)*$D$11))*(1+$D$7))</f>
        <v>1164000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4">
        <f t="shared" si="4"/>
        <v>28</v>
      </c>
      <c r="G37" s="7">
        <f>LamChanHangNgan((PhiMayCatDecalVuong(G$14,$D37,$E37)+ PhiMayInToner4M(ROUNDUP(G$14/$F37,0)*$E$6)+ (ROUNDUP(G$14/$F37,0)*$D$11))*(1+$D$7))</f>
        <v>147000</v>
      </c>
      <c r="H37" s="7">
        <f>LamChanHangNgan((PhiMayCatDecalVuong(H$14,$D37,$E37)+ PhiMayInToner4M(ROUNDUP(H$14/$F37,0)*$E$6)+ (ROUNDUP(H$14/$F37,0)*$D$11))*(1+$D$7))</f>
        <v>162000</v>
      </c>
      <c r="I37" s="7">
        <f>LamChanHangNgan((PhiMayCatDecalVuong(I$14,$D37,$E37)+ PhiMayInToner4M(ROUNDUP(I$14/$F37,0)*$E$6)+ (ROUNDUP(I$14/$F37,0)*$D$11))*(1+$D$7))</f>
        <v>173000</v>
      </c>
      <c r="J37" s="7">
        <f>LamChanHangNgan((PhiMayCatDecalVuong(J$14,$D37,$E37)+ PhiMayInToner4M(ROUNDUP(J$14/$F37,0)*$E$6)+ (ROUNDUP(J$14/$F37,0)*$D$11))*(1+$D$7))</f>
        <v>187000</v>
      </c>
      <c r="K37" s="7">
        <f>LamChanHangNgan((PhiMayCatDecalVuong(K$14,$D37,$E37)+ PhiMayInToner4M(ROUNDUP(K$14/$F37,0)*$E$6)+ (ROUNDUP(K$14/$F37,0)*$D$11))*(1+$D$7))</f>
        <v>199000</v>
      </c>
      <c r="L37" s="7">
        <f>LamChanHangNgan((PhiMayCatDecalVuong(L$14,$D37,$E37)+ PhiMayInToner4M(ROUNDUP(L$14/$F37,0)*$E$6)+ (ROUNDUP(L$14/$F37,0)*$D$11))*(1+$D$7))</f>
        <v>213000</v>
      </c>
      <c r="M37" s="7">
        <f>LamChanHangNgan((PhiMayCatDecalVuong(M$14,$D37,$E37)+ PhiMayInToner4M(ROUNDUP(M$14/$F37,0)*$E$6)+ (ROUNDUP(M$14/$F37,0)*$D$11))*(1+$D$7))</f>
        <v>224000</v>
      </c>
      <c r="N37" s="7">
        <f>LamChanHangNgan((PhiMayCatDecalVuong(N$14,$D37,$E37)+ PhiMayInToner4M(ROUNDUP(N$14/$F37,0)*$E$6)+ (ROUNDUP(N$14/$F37,0)*$D$11))*(1+$D$7))</f>
        <v>239000</v>
      </c>
      <c r="O37" s="7">
        <f>LamChanHangNgan((PhiMayCatDecalVuong(O$14,$D37,$E37)+ PhiMayInToner4M(ROUNDUP(O$14/$F37,0)*$E$6)+ (ROUNDUP(O$14/$F37,0)*$D$11))*(1+$D$7))</f>
        <v>254000</v>
      </c>
      <c r="P37" s="7">
        <f>LamChanHangNgan((PhiMayCatDecalVuong(P$14,$D37,$E37)+ PhiMayInToner4M(ROUNDUP(P$14/$F37,0)*$E$6)+ (ROUNDUP(P$14/$F37,0)*$D$11))*(1+$D$7))</f>
        <v>265000</v>
      </c>
      <c r="Q37" s="7">
        <f>LamChanHangNgan((PhiMayCatDecalVuong(Q$14,$D37,$E37)+ PhiMayInToner4M(ROUNDUP(Q$14/$F37,0)*$E$6)+ (ROUNDUP(Q$14/$F37,0)*$D$11))*(1+$D$7))</f>
        <v>331000</v>
      </c>
      <c r="R37" s="7">
        <f>LamChanHangNgan((PhiMayCatDecalVuong(R$14,$D37,$E37)+ PhiMayInToner4M(ROUNDUP(R$14/$F37,0)*$E$6)+ (ROUNDUP(R$14/$F37,0)*$D$11))*(1+$D$7))</f>
        <v>397000</v>
      </c>
      <c r="S37" s="7">
        <f>LamChanHangNgan((PhiMayCatDecalVuong(S$14,$D37,$E37)+ PhiMayInToner4M(ROUNDUP(S$14/$F37,0)*$E$6)+ (ROUNDUP(S$14/$F37,0)*$D$11))*(1+$D$7))</f>
        <v>464000</v>
      </c>
      <c r="T37" s="7">
        <f>LamChanHangNgan((PhiMayCatDecalVuong(T$14,$D37,$E37)+ PhiMayInToner4M(ROUNDUP(T$14/$F37,0)*$E$6)+ (ROUNDUP(T$14/$F37,0)*$D$11))*(1+$D$7))</f>
        <v>530000</v>
      </c>
      <c r="U37" s="7">
        <f>LamChanHangNgan((PhiMayCatDecalVuong(U$14,$D37,$E37)+ PhiMayInToner4M(ROUNDUP(U$14/$F37,0)*$E$6)+ (ROUNDUP(U$14/$F37,0)*$D$11))*(1+$D$7))</f>
        <v>593000</v>
      </c>
      <c r="V37" s="7">
        <f>LamChanHangNgan((PhiMayCatDecalVuong(V$14,$D37,$E37)+ PhiMayInToner4M(ROUNDUP(V$14/$F37,0)*$E$6)+ (ROUNDUP(V$14/$F37,0)*$D$11))*(1+$D$7))</f>
        <v>659000</v>
      </c>
      <c r="W37" s="7">
        <f>LamChanHangNgan((PhiMayCatDecalVuong(W$14,$D37,$E37)+ PhiMayInToner4M(ROUNDUP(W$14/$F37,0)*$E$6)+ (ROUNDUP(W$14/$F37,0)*$D$11))*(1+$D$7))</f>
        <v>725000</v>
      </c>
      <c r="X37" s="7">
        <f>LamChanHangNgan((PhiMayCatDecalVuong(X$14,$D37,$E37)+ PhiMayInToner4M(ROUNDUP(X$14/$F37,0)*$E$6)+ (ROUNDUP(X$14/$F37,0)*$D$11))*(1+$D$7))</f>
        <v>792000</v>
      </c>
      <c r="Y37" s="7">
        <f>LamChanHangNgan((PhiMayCatDecalVuong(Y$14,$D37,$E37)+ PhiMayInToner4M(ROUNDUP(Y$14/$F37,0)*$E$6)+ (ROUNDUP(Y$14/$F37,0)*$D$11))*(1+$D$7))</f>
        <v>1451000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4">
        <f t="shared" si="4"/>
        <v>42</v>
      </c>
      <c r="G38" s="7">
        <f>LamChanHangNgan((PhiMayCatDecalVuong(G$14,$D38,$E38)+ PhiMayInToner4M(ROUNDUP(G$14/$F38,0)*$E$6)+ (ROUNDUP(G$14/$F38,0)*$D$11))*(1+$D$7))</f>
        <v>143000</v>
      </c>
      <c r="H38" s="7">
        <f>LamChanHangNgan((PhiMayCatDecalVuong(H$14,$D38,$E38)+ PhiMayInToner4M(ROUNDUP(H$14/$F38,0)*$E$6)+ (ROUNDUP(H$14/$F38,0)*$D$11))*(1+$D$7))</f>
        <v>151000</v>
      </c>
      <c r="I38" s="7">
        <f>LamChanHangNgan((PhiMayCatDecalVuong(I$14,$D38,$E38)+ PhiMayInToner4M(ROUNDUP(I$14/$F38,0)*$E$6)+ (ROUNDUP(I$14/$F38,0)*$D$11))*(1+$D$7))</f>
        <v>162000</v>
      </c>
      <c r="J38" s="7">
        <f>LamChanHangNgan((PhiMayCatDecalVuong(J$14,$D38,$E38)+ PhiMayInToner4M(ROUNDUP(J$14/$F38,0)*$E$6)+ (ROUNDUP(J$14/$F38,0)*$D$11))*(1+$D$7))</f>
        <v>169000</v>
      </c>
      <c r="K38" s="7">
        <f>LamChanHangNgan((PhiMayCatDecalVuong(K$14,$D38,$E38)+ PhiMayInToner4M(ROUNDUP(K$14/$F38,0)*$E$6)+ (ROUNDUP(K$14/$F38,0)*$D$11))*(1+$D$7))</f>
        <v>177000</v>
      </c>
      <c r="L38" s="7">
        <f>LamChanHangNgan((PhiMayCatDecalVuong(L$14,$D38,$E38)+ PhiMayInToner4M(ROUNDUP(L$14/$F38,0)*$E$6)+ (ROUNDUP(L$14/$F38,0)*$D$11))*(1+$D$7))</f>
        <v>188000</v>
      </c>
      <c r="M38" s="7">
        <f>LamChanHangNgan((PhiMayCatDecalVuong(M$14,$D38,$E38)+ PhiMayInToner4M(ROUNDUP(M$14/$F38,0)*$E$6)+ (ROUNDUP(M$14/$F38,0)*$D$11))*(1+$D$7))</f>
        <v>195000</v>
      </c>
      <c r="N38" s="7">
        <f>LamChanHangNgan((PhiMayCatDecalVuong(N$14,$D38,$E38)+ PhiMayInToner4M(ROUNDUP(N$14/$F38,0)*$E$6)+ (ROUNDUP(N$14/$F38,0)*$D$11))*(1+$D$7))</f>
        <v>206000</v>
      </c>
      <c r="O38" s="7">
        <f>LamChanHangNgan((PhiMayCatDecalVuong(O$14,$D38,$E38)+ PhiMayInToner4M(ROUNDUP(O$14/$F38,0)*$E$6)+ (ROUNDUP(O$14/$F38,0)*$D$11))*(1+$D$7))</f>
        <v>214000</v>
      </c>
      <c r="P38" s="7">
        <f>LamChanHangNgan((PhiMayCatDecalVuong(P$14,$D38,$E38)+ PhiMayInToner4M(ROUNDUP(P$14/$F38,0)*$E$6)+ (ROUNDUP(P$14/$F38,0)*$D$11))*(1+$D$7))</f>
        <v>221000</v>
      </c>
      <c r="Q38" s="7">
        <f>LamChanHangNgan((PhiMayCatDecalVuong(Q$14,$D38,$E38)+ PhiMayInToner4M(ROUNDUP(Q$14/$F38,0)*$E$6)+ (ROUNDUP(Q$14/$F38,0)*$D$11))*(1+$D$7))</f>
        <v>266000</v>
      </c>
      <c r="R38" s="7">
        <f>LamChanHangNgan((PhiMayCatDecalVuong(R$14,$D38,$E38)+ PhiMayInToner4M(ROUNDUP(R$14/$F38,0)*$E$6)+ (ROUNDUP(R$14/$F38,0)*$D$11))*(1+$D$7))</f>
        <v>310000</v>
      </c>
      <c r="S38" s="7">
        <f>LamChanHangNgan((PhiMayCatDecalVuong(S$14,$D38,$E38)+ PhiMayInToner4M(ROUNDUP(S$14/$F38,0)*$E$6)+ (ROUNDUP(S$14/$F38,0)*$D$11))*(1+$D$7))</f>
        <v>355000</v>
      </c>
      <c r="T38" s="7">
        <f>LamChanHangNgan((PhiMayCatDecalVuong(T$14,$D38,$E38)+ PhiMayInToner4M(ROUNDUP(T$14/$F38,0)*$E$6)+ (ROUNDUP(T$14/$F38,0)*$D$11))*(1+$D$7))</f>
        <v>400000</v>
      </c>
      <c r="U38" s="7">
        <f>LamChanHangNgan((PhiMayCatDecalVuong(U$14,$D38,$E38)+ PhiMayInToner4M(ROUNDUP(U$14/$F38,0)*$E$6)+ (ROUNDUP(U$14/$F38,0)*$D$11))*(1+$D$7))</f>
        <v>444000</v>
      </c>
      <c r="V38" s="7">
        <f>LamChanHangNgan((PhiMayCatDecalVuong(V$14,$D38,$E38)+ PhiMayInToner4M(ROUNDUP(V$14/$F38,0)*$E$6)+ (ROUNDUP(V$14/$F38,0)*$D$11))*(1+$D$7))</f>
        <v>489000</v>
      </c>
      <c r="W38" s="7">
        <f>LamChanHangNgan((PhiMayCatDecalVuong(W$14,$D38,$E38)+ PhiMayInToner4M(ROUNDUP(W$14/$F38,0)*$E$6)+ (ROUNDUP(W$14/$F38,0)*$D$11))*(1+$D$7))</f>
        <v>533000</v>
      </c>
      <c r="X38" s="7">
        <f>LamChanHangNgan((PhiMayCatDecalVuong(X$14,$D38,$E38)+ PhiMayInToner4M(ROUNDUP(X$14/$F38,0)*$E$6)+ (ROUNDUP(X$14/$F38,0)*$D$11))*(1+$D$7))</f>
        <v>578000</v>
      </c>
      <c r="Y38" s="7">
        <f>LamChanHangNgan((PhiMayCatDecalVuong(Y$14,$D38,$E38)+ PhiMayInToner4M(ROUNDUP(Y$14/$F38,0)*$E$6)+ (ROUNDUP(Y$14/$F38,0)*$D$11))*(1+$D$7))</f>
        <v>1020000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4">
        <f t="shared" si="4"/>
        <v>36</v>
      </c>
      <c r="G39" s="7">
        <f>LamChanHangNgan((PhiMayCatDecalVuong(G$14,$D39,$E39)+ PhiMayInToner4M(ROUNDUP(G$14/$F39,0)*$E$6)+ (ROUNDUP(G$14/$F39,0)*$D$11))*(1+$D$7))</f>
        <v>143000</v>
      </c>
      <c r="H39" s="7">
        <f>LamChanHangNgan((PhiMayCatDecalVuong(H$14,$D39,$E39)+ PhiMayInToner4M(ROUNDUP(H$14/$F39,0)*$E$6)+ (ROUNDUP(H$14/$F39,0)*$D$11))*(1+$D$7))</f>
        <v>154000</v>
      </c>
      <c r="I39" s="7">
        <f>LamChanHangNgan((PhiMayCatDecalVuong(I$14,$D39,$E39)+ PhiMayInToner4M(ROUNDUP(I$14/$F39,0)*$E$6)+ (ROUNDUP(I$14/$F39,0)*$D$11))*(1+$D$7))</f>
        <v>165000</v>
      </c>
      <c r="J39" s="7">
        <f>LamChanHangNgan((PhiMayCatDecalVuong(J$14,$D39,$E39)+ PhiMayInToner4M(ROUNDUP(J$14/$F39,0)*$E$6)+ (ROUNDUP(J$14/$F39,0)*$D$11))*(1+$D$7))</f>
        <v>176000</v>
      </c>
      <c r="K39" s="7">
        <f>LamChanHangNgan((PhiMayCatDecalVuong(K$14,$D39,$E39)+ PhiMayInToner4M(ROUNDUP(K$14/$F39,0)*$E$6)+ (ROUNDUP(K$14/$F39,0)*$D$11))*(1+$D$7))</f>
        <v>184000</v>
      </c>
      <c r="L39" s="7">
        <f>LamChanHangNgan((PhiMayCatDecalVuong(L$14,$D39,$E39)+ PhiMayInToner4M(ROUNDUP(L$14/$F39,0)*$E$6)+ (ROUNDUP(L$14/$F39,0)*$D$11))*(1+$D$7))</f>
        <v>195000</v>
      </c>
      <c r="M39" s="7">
        <f>LamChanHangNgan((PhiMayCatDecalVuong(M$14,$D39,$E39)+ PhiMayInToner4M(ROUNDUP(M$14/$F39,0)*$E$6)+ (ROUNDUP(M$14/$F39,0)*$D$11))*(1+$D$7))</f>
        <v>206000</v>
      </c>
      <c r="N39" s="7">
        <f>LamChanHangNgan((PhiMayCatDecalVuong(N$14,$D39,$E39)+ PhiMayInToner4M(ROUNDUP(N$14/$F39,0)*$E$6)+ (ROUNDUP(N$14/$F39,0)*$D$11))*(1+$D$7))</f>
        <v>217000</v>
      </c>
      <c r="O39" s="7">
        <f>LamChanHangNgan((PhiMayCatDecalVuong(O$14,$D39,$E39)+ PhiMayInToner4M(ROUNDUP(O$14/$F39,0)*$E$6)+ (ROUNDUP(O$14/$F39,0)*$D$11))*(1+$D$7))</f>
        <v>225000</v>
      </c>
      <c r="P39" s="7">
        <f>LamChanHangNgan((PhiMayCatDecalVuong(P$14,$D39,$E39)+ PhiMayInToner4M(ROUNDUP(P$14/$F39,0)*$E$6)+ (ROUNDUP(P$14/$F39,0)*$D$11))*(1+$D$7))</f>
        <v>236000</v>
      </c>
      <c r="Q39" s="7">
        <f>LamChanHangNgan((PhiMayCatDecalVuong(Q$14,$D39,$E39)+ PhiMayInToner4M(ROUNDUP(Q$14/$F39,0)*$E$6)+ (ROUNDUP(Q$14/$F39,0)*$D$11))*(1+$D$7))</f>
        <v>287000</v>
      </c>
      <c r="R39" s="7">
        <f>LamChanHangNgan((PhiMayCatDecalVuong(R$14,$D39,$E39)+ PhiMayInToner4M(ROUNDUP(R$14/$F39,0)*$E$6)+ (ROUNDUP(R$14/$F39,0)*$D$11))*(1+$D$7))</f>
        <v>339000</v>
      </c>
      <c r="S39" s="7">
        <f>LamChanHangNgan((PhiMayCatDecalVuong(S$14,$D39,$E39)+ PhiMayInToner4M(ROUNDUP(S$14/$F39,0)*$E$6)+ (ROUNDUP(S$14/$F39,0)*$D$11))*(1+$D$7))</f>
        <v>391000</v>
      </c>
      <c r="T39" s="7">
        <f>LamChanHangNgan((PhiMayCatDecalVuong(T$14,$D39,$E39)+ PhiMayInToner4M(ROUNDUP(T$14/$F39,0)*$E$6)+ (ROUNDUP(T$14/$F39,0)*$D$11))*(1+$D$7))</f>
        <v>442000</v>
      </c>
      <c r="U39" s="7">
        <f>LamChanHangNgan((PhiMayCatDecalVuong(U$14,$D39,$E39)+ PhiMayInToner4M(ROUNDUP(U$14/$F39,0)*$E$6)+ (ROUNDUP(U$14/$F39,0)*$D$11))*(1+$D$7))</f>
        <v>494000</v>
      </c>
      <c r="V39" s="7">
        <f>LamChanHangNgan((PhiMayCatDecalVuong(V$14,$D39,$E39)+ PhiMayInToner4M(ROUNDUP(V$14/$F39,0)*$E$6)+ (ROUNDUP(V$14/$F39,0)*$D$11))*(1+$D$7))</f>
        <v>546000</v>
      </c>
      <c r="W39" s="7">
        <f>LamChanHangNgan((PhiMayCatDecalVuong(W$14,$D39,$E39)+ PhiMayInToner4M(ROUNDUP(W$14/$F39,0)*$E$6)+ (ROUNDUP(W$14/$F39,0)*$D$11))*(1+$D$7))</f>
        <v>594000</v>
      </c>
      <c r="X39" s="7">
        <f>LamChanHangNgan((PhiMayCatDecalVuong(X$14,$D39,$E39)+ PhiMayInToner4M(ROUNDUP(X$14/$F39,0)*$E$6)+ (ROUNDUP(X$14/$F39,0)*$D$11))*(1+$D$7))</f>
        <v>646000</v>
      </c>
      <c r="Y39" s="7">
        <f>LamChanHangNgan((PhiMayCatDecalVuong(Y$14,$D39,$E39)+ PhiMayInToner4M(ROUNDUP(Y$14/$F39,0)*$E$6)+ (ROUNDUP(Y$14/$F39,0)*$D$11))*(1+$D$7))</f>
        <v>1159000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4">
        <f t="shared" si="4"/>
        <v>36</v>
      </c>
      <c r="G40" s="7">
        <f>LamChanHangNgan((PhiMayCatDecalVuong(G$14,$D40,$E40)+ PhiMayInToner4M(ROUNDUP(G$14/$F40,0)*$E$6)+ (ROUNDUP(G$14/$F40,0)*$D$11))*(1+$D$7))</f>
        <v>143000</v>
      </c>
      <c r="H40" s="7">
        <f>LamChanHangNgan((PhiMayCatDecalVuong(H$14,$D40,$E40)+ PhiMayInToner4M(ROUNDUP(H$14/$F40,0)*$E$6)+ (ROUNDUP(H$14/$F40,0)*$D$11))*(1+$D$7))</f>
        <v>154000</v>
      </c>
      <c r="I40" s="7">
        <f>LamChanHangNgan((PhiMayCatDecalVuong(I$14,$D40,$E40)+ PhiMayInToner4M(ROUNDUP(I$14/$F40,0)*$E$6)+ (ROUNDUP(I$14/$F40,0)*$D$11))*(1+$D$7))</f>
        <v>165000</v>
      </c>
      <c r="J40" s="7">
        <f>LamChanHangNgan((PhiMayCatDecalVuong(J$14,$D40,$E40)+ PhiMayInToner4M(ROUNDUP(J$14/$F40,0)*$E$6)+ (ROUNDUP(J$14/$F40,0)*$D$11))*(1+$D$7))</f>
        <v>176000</v>
      </c>
      <c r="K40" s="7">
        <f>LamChanHangNgan((PhiMayCatDecalVuong(K$14,$D40,$E40)+ PhiMayInToner4M(ROUNDUP(K$14/$F40,0)*$E$6)+ (ROUNDUP(K$14/$F40,0)*$D$11))*(1+$D$7))</f>
        <v>184000</v>
      </c>
      <c r="L40" s="7">
        <f>LamChanHangNgan((PhiMayCatDecalVuong(L$14,$D40,$E40)+ PhiMayInToner4M(ROUNDUP(L$14/$F40,0)*$E$6)+ (ROUNDUP(L$14/$F40,0)*$D$11))*(1+$D$7))</f>
        <v>195000</v>
      </c>
      <c r="M40" s="7">
        <f>LamChanHangNgan((PhiMayCatDecalVuong(M$14,$D40,$E40)+ PhiMayInToner4M(ROUNDUP(M$14/$F40,0)*$E$6)+ (ROUNDUP(M$14/$F40,0)*$D$11))*(1+$D$7))</f>
        <v>206000</v>
      </c>
      <c r="N40" s="7">
        <f>LamChanHangNgan((PhiMayCatDecalVuong(N$14,$D40,$E40)+ PhiMayInToner4M(ROUNDUP(N$14/$F40,0)*$E$6)+ (ROUNDUP(N$14/$F40,0)*$D$11))*(1+$D$7))</f>
        <v>217000</v>
      </c>
      <c r="O40" s="7">
        <f>LamChanHangNgan((PhiMayCatDecalVuong(O$14,$D40,$E40)+ PhiMayInToner4M(ROUNDUP(O$14/$F40,0)*$E$6)+ (ROUNDUP(O$14/$F40,0)*$D$11))*(1+$D$7))</f>
        <v>225000</v>
      </c>
      <c r="P40" s="7">
        <f>LamChanHangNgan((PhiMayCatDecalVuong(P$14,$D40,$E40)+ PhiMayInToner4M(ROUNDUP(P$14/$F40,0)*$E$6)+ (ROUNDUP(P$14/$F40,0)*$D$11))*(1+$D$7))</f>
        <v>236000</v>
      </c>
      <c r="Q40" s="7">
        <f>LamChanHangNgan((PhiMayCatDecalVuong(Q$14,$D40,$E40)+ PhiMayInToner4M(ROUNDUP(Q$14/$F40,0)*$E$6)+ (ROUNDUP(Q$14/$F40,0)*$D$11))*(1+$D$7))</f>
        <v>288000</v>
      </c>
      <c r="R40" s="7">
        <f>LamChanHangNgan((PhiMayCatDecalVuong(R$14,$D40,$E40)+ PhiMayInToner4M(ROUNDUP(R$14/$F40,0)*$E$6)+ (ROUNDUP(R$14/$F40,0)*$D$11))*(1+$D$7))</f>
        <v>339000</v>
      </c>
      <c r="S40" s="7">
        <f>LamChanHangNgan((PhiMayCatDecalVuong(S$14,$D40,$E40)+ PhiMayInToner4M(ROUNDUP(S$14/$F40,0)*$E$6)+ (ROUNDUP(S$14/$F40,0)*$D$11))*(1+$D$7))</f>
        <v>391000</v>
      </c>
      <c r="T40" s="7">
        <f>LamChanHangNgan((PhiMayCatDecalVuong(T$14,$D40,$E40)+ PhiMayInToner4M(ROUNDUP(T$14/$F40,0)*$E$6)+ (ROUNDUP(T$14/$F40,0)*$D$11))*(1+$D$7))</f>
        <v>443000</v>
      </c>
      <c r="U40" s="7">
        <f>LamChanHangNgan((PhiMayCatDecalVuong(U$14,$D40,$E40)+ PhiMayInToner4M(ROUNDUP(U$14/$F40,0)*$E$6)+ (ROUNDUP(U$14/$F40,0)*$D$11))*(1+$D$7))</f>
        <v>495000</v>
      </c>
      <c r="V40" s="7">
        <f>LamChanHangNgan((PhiMayCatDecalVuong(V$14,$D40,$E40)+ PhiMayInToner4M(ROUNDUP(V$14/$F40,0)*$E$6)+ (ROUNDUP(V$14/$F40,0)*$D$11))*(1+$D$7))</f>
        <v>547000</v>
      </c>
      <c r="W40" s="7">
        <f>LamChanHangNgan((PhiMayCatDecalVuong(W$14,$D40,$E40)+ PhiMayInToner4M(ROUNDUP(W$14/$F40,0)*$E$6)+ (ROUNDUP(W$14/$F40,0)*$D$11))*(1+$D$7))</f>
        <v>595000</v>
      </c>
      <c r="X40" s="7">
        <f>LamChanHangNgan((PhiMayCatDecalVuong(X$14,$D40,$E40)+ PhiMayInToner4M(ROUNDUP(X$14/$F40,0)*$E$6)+ (ROUNDUP(X$14/$F40,0)*$D$11))*(1+$D$7))</f>
        <v>647000</v>
      </c>
      <c r="Y40" s="7">
        <f>LamChanHangNgan((PhiMayCatDecalVuong(Y$14,$D40,$E40)+ PhiMayInToner4M(ROUNDUP(Y$14/$F40,0)*$E$6)+ (ROUNDUP(Y$14/$F40,0)*$D$11))*(1+$D$7))</f>
        <v>1161000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4">
        <f t="shared" si="4"/>
        <v>30</v>
      </c>
      <c r="G41" s="7">
        <f>LamChanHangNgan((PhiMayCatDecalVuong(G$14,$D41,$E41)+ PhiMayInToner4M(ROUNDUP(G$14/$F41,0)*$E$6)+ (ROUNDUP(G$14/$F41,0)*$D$11))*(1+$D$7))</f>
        <v>147000</v>
      </c>
      <c r="H41" s="7">
        <f>LamChanHangNgan((PhiMayCatDecalVuong(H$14,$D41,$E41)+ PhiMayInToner4M(ROUNDUP(H$14/$F41,0)*$E$6)+ (ROUNDUP(H$14/$F41,0)*$D$11))*(1+$D$7))</f>
        <v>158000</v>
      </c>
      <c r="I41" s="7">
        <f>LamChanHangNgan((PhiMayCatDecalVuong(I$14,$D41,$E41)+ PhiMayInToner4M(ROUNDUP(I$14/$F41,0)*$E$6)+ (ROUNDUP(I$14/$F41,0)*$D$11))*(1+$D$7))</f>
        <v>169000</v>
      </c>
      <c r="J41" s="7">
        <f>LamChanHangNgan((PhiMayCatDecalVuong(J$14,$D41,$E41)+ PhiMayInToner4M(ROUNDUP(J$14/$F41,0)*$E$6)+ (ROUNDUP(J$14/$F41,0)*$D$11))*(1+$D$7))</f>
        <v>184000</v>
      </c>
      <c r="K41" s="7">
        <f>LamChanHangNgan((PhiMayCatDecalVuong(K$14,$D41,$E41)+ PhiMayInToner4M(ROUNDUP(K$14/$F41,0)*$E$6)+ (ROUNDUP(K$14/$F41,0)*$D$11))*(1+$D$7))</f>
        <v>195000</v>
      </c>
      <c r="L41" s="7">
        <f>LamChanHangNgan((PhiMayCatDecalVuong(L$14,$D41,$E41)+ PhiMayInToner4M(ROUNDUP(L$14/$F41,0)*$E$6)+ (ROUNDUP(L$14/$F41,0)*$D$11))*(1+$D$7))</f>
        <v>206000</v>
      </c>
      <c r="M41" s="7">
        <f>LamChanHangNgan((PhiMayCatDecalVuong(M$14,$D41,$E41)+ PhiMayInToner4M(ROUNDUP(M$14/$F41,0)*$E$6)+ (ROUNDUP(M$14/$F41,0)*$D$11))*(1+$D$7))</f>
        <v>220000</v>
      </c>
      <c r="N41" s="7">
        <f>LamChanHangNgan((PhiMayCatDecalVuong(N$14,$D41,$E41)+ PhiMayInToner4M(ROUNDUP(N$14/$F41,0)*$E$6)+ (ROUNDUP(N$14/$F41,0)*$D$11))*(1+$D$7))</f>
        <v>231000</v>
      </c>
      <c r="O41" s="7">
        <f>LamChanHangNgan((PhiMayCatDecalVuong(O$14,$D41,$E41)+ PhiMayInToner4M(ROUNDUP(O$14/$F41,0)*$E$6)+ (ROUNDUP(O$14/$F41,0)*$D$11))*(1+$D$7))</f>
        <v>242000</v>
      </c>
      <c r="P41" s="7">
        <f>LamChanHangNgan((PhiMayCatDecalVuong(P$14,$D41,$E41)+ PhiMayInToner4M(ROUNDUP(P$14/$F41,0)*$E$6)+ (ROUNDUP(P$14/$F41,0)*$D$11))*(1+$D$7))</f>
        <v>257000</v>
      </c>
      <c r="Q41" s="7">
        <f>LamChanHangNgan((PhiMayCatDecalVuong(Q$14,$D41,$E41)+ PhiMayInToner4M(ROUNDUP(Q$14/$F41,0)*$E$6)+ (ROUNDUP(Q$14/$F41,0)*$D$11))*(1+$D$7))</f>
        <v>316000</v>
      </c>
      <c r="R41" s="7">
        <f>LamChanHangNgan((PhiMayCatDecalVuong(R$14,$D41,$E41)+ PhiMayInToner4M(ROUNDUP(R$14/$F41,0)*$E$6)+ (ROUNDUP(R$14/$F41,0)*$D$11))*(1+$D$7))</f>
        <v>378000</v>
      </c>
      <c r="S41" s="7">
        <f>LamChanHangNgan((PhiMayCatDecalVuong(S$14,$D41,$E41)+ PhiMayInToner4M(ROUNDUP(S$14/$F41,0)*$E$6)+ (ROUNDUP(S$14/$F41,0)*$D$11))*(1+$D$7))</f>
        <v>441000</v>
      </c>
      <c r="T41" s="7">
        <f>LamChanHangNgan((PhiMayCatDecalVuong(T$14,$D41,$E41)+ PhiMayInToner4M(ROUNDUP(T$14/$F41,0)*$E$6)+ (ROUNDUP(T$14/$F41,0)*$D$11))*(1+$D$7))</f>
        <v>500000</v>
      </c>
      <c r="U41" s="7">
        <f>LamChanHangNgan((PhiMayCatDecalVuong(U$14,$D41,$E41)+ PhiMayInToner4M(ROUNDUP(U$14/$F41,0)*$E$6)+ (ROUNDUP(U$14/$F41,0)*$D$11))*(1+$D$7))</f>
        <v>562000</v>
      </c>
      <c r="V41" s="7">
        <f>LamChanHangNgan((PhiMayCatDecalVuong(V$14,$D41,$E41)+ PhiMayInToner4M(ROUNDUP(V$14/$F41,0)*$E$6)+ (ROUNDUP(V$14/$F41,0)*$D$11))*(1+$D$7))</f>
        <v>625000</v>
      </c>
      <c r="W41" s="7">
        <f>LamChanHangNgan((PhiMayCatDecalVuong(W$14,$D41,$E41)+ PhiMayInToner4M(ROUNDUP(W$14/$F41,0)*$E$6)+ (ROUNDUP(W$14/$F41,0)*$D$11))*(1+$D$7))</f>
        <v>684000</v>
      </c>
      <c r="X41" s="7">
        <f>LamChanHangNgan((PhiMayCatDecalVuong(X$14,$D41,$E41)+ PhiMayInToner4M(ROUNDUP(X$14/$F41,0)*$E$6)+ (ROUNDUP(X$14/$F41,0)*$D$11))*(1+$D$7))</f>
        <v>746000</v>
      </c>
      <c r="Y41" s="7">
        <f>LamChanHangNgan((PhiMayCatDecalVuong(Y$14,$D41,$E41)+ PhiMayInToner4M(ROUNDUP(Y$14/$F41,0)*$E$6)+ (ROUNDUP(Y$14/$F41,0)*$D$11))*(1+$D$7))</f>
        <v>1360000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4">
        <f t="shared" si="4"/>
        <v>30</v>
      </c>
      <c r="G42" s="7">
        <f>LamChanHangNgan((PhiMayCatDecalVuong(G$14,$D42,$E42)+ PhiMayInToner4M(ROUNDUP(G$14/$F42,0)*$E$6)+ (ROUNDUP(G$14/$F42,0)*$D$11))*(1+$D$7))</f>
        <v>147000</v>
      </c>
      <c r="H42" s="7">
        <f>LamChanHangNgan((PhiMayCatDecalVuong(H$14,$D42,$E42)+ PhiMayInToner4M(ROUNDUP(H$14/$F42,0)*$E$6)+ (ROUNDUP(H$14/$F42,0)*$D$11))*(1+$D$7))</f>
        <v>158000</v>
      </c>
      <c r="I42" s="7">
        <f>LamChanHangNgan((PhiMayCatDecalVuong(I$14,$D42,$E42)+ PhiMayInToner4M(ROUNDUP(I$14/$F42,0)*$E$6)+ (ROUNDUP(I$14/$F42,0)*$D$11))*(1+$D$7))</f>
        <v>169000</v>
      </c>
      <c r="J42" s="7">
        <f>LamChanHangNgan((PhiMayCatDecalVuong(J$14,$D42,$E42)+ PhiMayInToner4M(ROUNDUP(J$14/$F42,0)*$E$6)+ (ROUNDUP(J$14/$F42,0)*$D$11))*(1+$D$7))</f>
        <v>184000</v>
      </c>
      <c r="K42" s="7">
        <f>LamChanHangNgan((PhiMayCatDecalVuong(K$14,$D42,$E42)+ PhiMayInToner4M(ROUNDUP(K$14/$F42,0)*$E$6)+ (ROUNDUP(K$14/$F42,0)*$D$11))*(1+$D$7))</f>
        <v>195000</v>
      </c>
      <c r="L42" s="7">
        <f>LamChanHangNgan((PhiMayCatDecalVuong(L$14,$D42,$E42)+ PhiMayInToner4M(ROUNDUP(L$14/$F42,0)*$E$6)+ (ROUNDUP(L$14/$F42,0)*$D$11))*(1+$D$7))</f>
        <v>206000</v>
      </c>
      <c r="M42" s="7">
        <f>LamChanHangNgan((PhiMayCatDecalVuong(M$14,$D42,$E42)+ PhiMayInToner4M(ROUNDUP(M$14/$F42,0)*$E$6)+ (ROUNDUP(M$14/$F42,0)*$D$11))*(1+$D$7))</f>
        <v>220000</v>
      </c>
      <c r="N42" s="7">
        <f>LamChanHangNgan((PhiMayCatDecalVuong(N$14,$D42,$E42)+ PhiMayInToner4M(ROUNDUP(N$14/$F42,0)*$E$6)+ (ROUNDUP(N$14/$F42,0)*$D$11))*(1+$D$7))</f>
        <v>232000</v>
      </c>
      <c r="O42" s="7">
        <f>LamChanHangNgan((PhiMayCatDecalVuong(O$14,$D42,$E42)+ PhiMayInToner4M(ROUNDUP(O$14/$F42,0)*$E$6)+ (ROUNDUP(O$14/$F42,0)*$D$11))*(1+$D$7))</f>
        <v>243000</v>
      </c>
      <c r="P42" s="7">
        <f>LamChanHangNgan((PhiMayCatDecalVuong(P$14,$D42,$E42)+ PhiMayInToner4M(ROUNDUP(P$14/$F42,0)*$E$6)+ (ROUNDUP(P$14/$F42,0)*$D$11))*(1+$D$7))</f>
        <v>257000</v>
      </c>
      <c r="Q42" s="7">
        <f>LamChanHangNgan((PhiMayCatDecalVuong(Q$14,$D42,$E42)+ PhiMayInToner4M(ROUNDUP(Q$14/$F42,0)*$E$6)+ (ROUNDUP(Q$14/$F42,0)*$D$11))*(1+$D$7))</f>
        <v>316000</v>
      </c>
      <c r="R42" s="7">
        <f>LamChanHangNgan((PhiMayCatDecalVuong(R$14,$D42,$E42)+ PhiMayInToner4M(ROUNDUP(R$14/$F42,0)*$E$6)+ (ROUNDUP(R$14/$F42,0)*$D$11))*(1+$D$7))</f>
        <v>379000</v>
      </c>
      <c r="S42" s="7">
        <f>LamChanHangNgan((PhiMayCatDecalVuong(S$14,$D42,$E42)+ PhiMayInToner4M(ROUNDUP(S$14/$F42,0)*$E$6)+ (ROUNDUP(S$14/$F42,0)*$D$11))*(1+$D$7))</f>
        <v>441000</v>
      </c>
      <c r="T42" s="7">
        <f>LamChanHangNgan((PhiMayCatDecalVuong(T$14,$D42,$E42)+ PhiMayInToner4M(ROUNDUP(T$14/$F42,0)*$E$6)+ (ROUNDUP(T$14/$F42,0)*$D$11))*(1+$D$7))</f>
        <v>501000</v>
      </c>
      <c r="U42" s="7">
        <f>LamChanHangNgan((PhiMayCatDecalVuong(U$14,$D42,$E42)+ PhiMayInToner4M(ROUNDUP(U$14/$F42,0)*$E$6)+ (ROUNDUP(U$14/$F42,0)*$D$11))*(1+$D$7))</f>
        <v>563000</v>
      </c>
      <c r="V42" s="7">
        <f>LamChanHangNgan((PhiMayCatDecalVuong(V$14,$D42,$E42)+ PhiMayInToner4M(ROUNDUP(V$14/$F42,0)*$E$6)+ (ROUNDUP(V$14/$F42,0)*$D$11))*(1+$D$7))</f>
        <v>626000</v>
      </c>
      <c r="W42" s="7">
        <f>LamChanHangNgan((PhiMayCatDecalVuong(W$14,$D42,$E42)+ PhiMayInToner4M(ROUNDUP(W$14/$F42,0)*$E$6)+ (ROUNDUP(W$14/$F42,0)*$D$11))*(1+$D$7))</f>
        <v>685000</v>
      </c>
      <c r="X42" s="7">
        <f>LamChanHangNgan((PhiMayCatDecalVuong(X$14,$D42,$E42)+ PhiMayInToner4M(ROUNDUP(X$14/$F42,0)*$E$6)+ (ROUNDUP(X$14/$F42,0)*$D$11))*(1+$D$7))</f>
        <v>747000</v>
      </c>
      <c r="Y42" s="7">
        <f>LamChanHangNgan((PhiMayCatDecalVuong(Y$14,$D42,$E42)+ PhiMayInToner4M(ROUNDUP(Y$14/$F42,0)*$E$6)+ (ROUNDUP(Y$14/$F42,0)*$D$11))*(1+$D$7))</f>
        <v>1362000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4">
        <f t="shared" si="4"/>
        <v>25</v>
      </c>
      <c r="G43" s="7">
        <f>LamChanHangNgan((PhiMayCatDecalVuong(G$14,$D43,$E43)+ PhiMayInToner4M(ROUNDUP(G$14/$F43,0)*$E$6)+ (ROUNDUP(G$14/$F43,0)*$D$11))*(1+$D$7))</f>
        <v>147000</v>
      </c>
      <c r="H43" s="7">
        <f>LamChanHangNgan((PhiMayCatDecalVuong(H$14,$D43,$E43)+ PhiMayInToner4M(ROUNDUP(H$14/$F43,0)*$E$6)+ (ROUNDUP(H$14/$F43,0)*$D$11))*(1+$D$7))</f>
        <v>161000</v>
      </c>
      <c r="I43" s="7">
        <f>LamChanHangNgan((PhiMayCatDecalVuong(I$14,$D43,$E43)+ PhiMayInToner4M(ROUNDUP(I$14/$F43,0)*$E$6)+ (ROUNDUP(I$14/$F43,0)*$D$11))*(1+$D$7))</f>
        <v>176000</v>
      </c>
      <c r="J43" s="7">
        <f>LamChanHangNgan((PhiMayCatDecalVuong(J$14,$D43,$E43)+ PhiMayInToner4M(ROUNDUP(J$14/$F43,0)*$E$6)+ (ROUNDUP(J$14/$F43,0)*$D$11))*(1+$D$7))</f>
        <v>191000</v>
      </c>
      <c r="K43" s="7">
        <f>LamChanHangNgan((PhiMayCatDecalVuong(K$14,$D43,$E43)+ PhiMayInToner4M(ROUNDUP(K$14/$F43,0)*$E$6)+ (ROUNDUP(K$14/$F43,0)*$D$11))*(1+$D$7))</f>
        <v>205000</v>
      </c>
      <c r="L43" s="7">
        <f>LamChanHangNgan((PhiMayCatDecalVuong(L$14,$D43,$E43)+ PhiMayInToner4M(ROUNDUP(L$14/$F43,0)*$E$6)+ (ROUNDUP(L$14/$F43,0)*$D$11))*(1+$D$7))</f>
        <v>220000</v>
      </c>
      <c r="M43" s="7">
        <f>LamChanHangNgan((PhiMayCatDecalVuong(M$14,$D43,$E43)+ PhiMayInToner4M(ROUNDUP(M$14/$F43,0)*$E$6)+ (ROUNDUP(M$14/$F43,0)*$D$11))*(1+$D$7))</f>
        <v>235000</v>
      </c>
      <c r="N43" s="7">
        <f>LamChanHangNgan((PhiMayCatDecalVuong(N$14,$D43,$E43)+ PhiMayInToner4M(ROUNDUP(N$14/$F43,0)*$E$6)+ (ROUNDUP(N$14/$F43,0)*$D$11))*(1+$D$7))</f>
        <v>249000</v>
      </c>
      <c r="O43" s="7">
        <f>LamChanHangNgan((PhiMayCatDecalVuong(O$14,$D43,$E43)+ PhiMayInToner4M(ROUNDUP(O$14/$F43,0)*$E$6)+ (ROUNDUP(O$14/$F43,0)*$D$11))*(1+$D$7))</f>
        <v>264000</v>
      </c>
      <c r="P43" s="7">
        <f>LamChanHangNgan((PhiMayCatDecalVuong(P$14,$D43,$E43)+ PhiMayInToner4M(ROUNDUP(P$14/$F43,0)*$E$6)+ (ROUNDUP(P$14/$F43,0)*$D$11))*(1+$D$7))</f>
        <v>279000</v>
      </c>
      <c r="Q43" s="7">
        <f>LamChanHangNgan((PhiMayCatDecalVuong(Q$14,$D43,$E43)+ PhiMayInToner4M(ROUNDUP(Q$14/$F43,0)*$E$6)+ (ROUNDUP(Q$14/$F43,0)*$D$11))*(1+$D$7))</f>
        <v>352000</v>
      </c>
      <c r="R43" s="7">
        <f>LamChanHangNgan((PhiMayCatDecalVuong(R$14,$D43,$E43)+ PhiMayInToner4M(ROUNDUP(R$14/$F43,0)*$E$6)+ (ROUNDUP(R$14/$F43,0)*$D$11))*(1+$D$7))</f>
        <v>425000</v>
      </c>
      <c r="S43" s="7">
        <f>LamChanHangNgan((PhiMayCatDecalVuong(S$14,$D43,$E43)+ PhiMayInToner4M(ROUNDUP(S$14/$F43,0)*$E$6)+ (ROUNDUP(S$14/$F43,0)*$D$11))*(1+$D$7))</f>
        <v>498000</v>
      </c>
      <c r="T43" s="7">
        <f>LamChanHangNgan((PhiMayCatDecalVuong(T$14,$D43,$E43)+ PhiMayInToner4M(ROUNDUP(T$14/$F43,0)*$E$6)+ (ROUNDUP(T$14/$F43,0)*$D$11))*(1+$D$7))</f>
        <v>571000</v>
      </c>
      <c r="U43" s="7">
        <f>LamChanHangNgan((PhiMayCatDecalVuong(U$14,$D43,$E43)+ PhiMayInToner4M(ROUNDUP(U$14/$F43,0)*$E$6)+ (ROUNDUP(U$14/$F43,0)*$D$11))*(1+$D$7))</f>
        <v>645000</v>
      </c>
      <c r="V43" s="7">
        <f>LamChanHangNgan((PhiMayCatDecalVuong(V$14,$D43,$E43)+ PhiMayInToner4M(ROUNDUP(V$14/$F43,0)*$E$6)+ (ROUNDUP(V$14/$F43,0)*$D$11))*(1+$D$7))</f>
        <v>718000</v>
      </c>
      <c r="W43" s="7">
        <f>LamChanHangNgan((PhiMayCatDecalVuong(W$14,$D43,$E43)+ PhiMayInToner4M(ROUNDUP(W$14/$F43,0)*$E$6)+ (ROUNDUP(W$14/$F43,0)*$D$11))*(1+$D$7))</f>
        <v>791000</v>
      </c>
      <c r="X43" s="7">
        <f>LamChanHangNgan((PhiMayCatDecalVuong(X$14,$D43,$E43)+ PhiMayInToner4M(ROUNDUP(X$14/$F43,0)*$E$6)+ (ROUNDUP(X$14/$F43,0)*$D$11))*(1+$D$7))</f>
        <v>864000</v>
      </c>
      <c r="Y43" s="7">
        <f>LamChanHangNgan((PhiMayCatDecalVuong(Y$14,$D43,$E43)+ PhiMayInToner4M(ROUNDUP(Y$14/$F43,0)*$E$6)+ (ROUNDUP(Y$14/$F43,0)*$D$11))*(1+$D$7))</f>
        <v>1596000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dimension ref="A1:X43"/>
  <sheetViews>
    <sheetView tabSelected="1" topLeftCell="A15" workbookViewId="0">
      <pane xSplit="1" topLeftCell="H1" activePane="topRight" state="frozen"/>
      <selection pane="topRight" activeCell="L47" sqref="L47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480</v>
      </c>
      <c r="B1" t="s">
        <v>459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4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4" x14ac:dyDescent="0.25">
      <c r="A11" t="s">
        <v>456</v>
      </c>
      <c r="B11" t="s">
        <v>457</v>
      </c>
      <c r="D11">
        <v>1250</v>
      </c>
      <c r="E11" s="7"/>
    </row>
    <row r="12" spans="1:24" x14ac:dyDescent="0.25">
      <c r="E12" s="7"/>
    </row>
    <row r="13" spans="1:24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4" ht="45" x14ac:dyDescent="0.25">
      <c r="A14" t="s">
        <v>448</v>
      </c>
      <c r="C14" t="s">
        <v>470</v>
      </c>
      <c r="D14" t="s">
        <v>478</v>
      </c>
      <c r="E14" t="s">
        <v>479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449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4">
        <f t="shared" ref="F15:F43" si="2">SoConTrenToLon($C$5,$D$5,$D15,$E15)</f>
        <v>130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140000</v>
      </c>
      <c r="I15" s="7">
        <f>LamChanHangNgan((PhiMayCatDecalVuong(I$14,$D15,$E15)+ PhiMayInToner4M(ROUNDUP(I$14/$F15,0)*$E$6)+ (ROUNDUP(I$14/$F15,0)*$D$11))*(1+$D$7))</f>
        <v>144000</v>
      </c>
      <c r="J15" s="7">
        <f>LamChanHangNgan((PhiMayCatDecalVuong(J$14,$D15,$E15)+ PhiMayInToner4M(ROUNDUP(J$14/$F15,0)*$E$6)+ (ROUNDUP(J$14/$F15,0)*$D$11))*(1+$D$7))</f>
        <v>147000</v>
      </c>
      <c r="K15" s="7">
        <f>LamChanHangNgan((PhiMayCatDecalVuong(K$14,$D15,$E15)+ PhiMayInToner4M(ROUNDUP(K$14/$F15,0)*$E$6)+ (ROUNDUP(K$14/$F15,0)*$D$11))*(1+$D$7))</f>
        <v>148000</v>
      </c>
      <c r="L15" s="7">
        <f>LamChanHangNgan((PhiMayCatDecalVuong(L$14,$D15,$E15)+ PhiMayInToner4M(ROUNDUP(L$14/$F15,0)*$E$6)+ (ROUNDUP(L$14/$F15,0)*$D$11))*(1+$D$7))</f>
        <v>151000</v>
      </c>
      <c r="M15" s="7">
        <f>LamChanHangNgan((PhiMayCatDecalVuong(M$14,$D15,$E15)+ PhiMayInToner4M(ROUNDUP(M$14/$F15,0)*$E$6)+ (ROUNDUP(M$14/$F15,0)*$D$11))*(1+$D$7))</f>
        <v>155000</v>
      </c>
      <c r="N15" s="7">
        <f>LamChanHangNgan((PhiMayCatDecalVuong(N$14,$D15,$E15)+ PhiMayInToner4M(ROUNDUP(N$14/$F15,0)*$E$6)+ (ROUNDUP(N$14/$F15,0)*$D$11))*(1+$D$7))</f>
        <v>159000</v>
      </c>
      <c r="O15" s="7">
        <f>LamChanHangNgan((PhiMayCatDecalVuong(O$14,$D15,$E15)+ PhiMayInToner4M(ROUNDUP(O$14/$F15,0)*$E$6)+ (ROUNDUP(O$14/$F15,0)*$D$11))*(1+$D$7))</f>
        <v>159000</v>
      </c>
      <c r="P15" s="7">
        <f>LamChanHangNgan((PhiMayCatDecalVuong(P$14,$D15,$E15)+ PhiMayInToner4M(ROUNDUP(P$14/$F15,0)*$E$6)+ (ROUNDUP(P$14/$F15,0)*$D$11))*(1+$D$7))</f>
        <v>163000</v>
      </c>
      <c r="Q15" s="7">
        <f>LamChanHangNgan((PhiMayCatDecalVuong(Q$14,$D15,$E15)+ PhiMayInToner4M(ROUNDUP(Q$14/$F15,0)*$E$6)+ (ROUNDUP(Q$14/$F15,0)*$D$11))*(1+$D$7))</f>
        <v>179000</v>
      </c>
      <c r="R15" s="7">
        <f>LamChanHangNgan((PhiMayCatDecalVuong(R$14,$D15,$E15)+ PhiMayInToner4M(ROUNDUP(R$14/$F15,0)*$E$6)+ (ROUNDUP(R$14/$F15,0)*$D$11))*(1+$D$7))</f>
        <v>194000</v>
      </c>
      <c r="S15" s="7">
        <f>LamChanHangNgan((PhiMayCatDecalVuong(S$14,$D15,$E15)+ PhiMayInToner4M(ROUNDUP(S$14/$F15,0)*$E$6)+ (ROUNDUP(S$14/$F15,0)*$D$11))*(1+$D$7))</f>
        <v>209000</v>
      </c>
      <c r="T15" s="7">
        <f>LamChanHangNgan((PhiMayCatDecalVuong(T$14,$D15,$E15)+ PhiMayInToner4M(ROUNDUP(T$14/$F15,0)*$E$6)+ (ROUNDUP(T$14/$F15,0)*$D$11))*(1+$D$7))</f>
        <v>225000</v>
      </c>
      <c r="U15" s="7">
        <f>LamChanHangNgan((PhiMayCatDecalVuong(U$14,$D15,$E15)+ PhiMayInToner4M(ROUNDUP(U$14/$F15,0)*$E$6)+ (ROUNDUP(U$14/$F15,0)*$D$11))*(1+$D$7))</f>
        <v>237000</v>
      </c>
      <c r="V15" s="7">
        <f>LamChanHangNgan((PhiMayCatDecalVuong(V$14,$D15,$E15)+ PhiMayInToner4M(ROUNDUP(V$14/$F15,0)*$E$6)+ (ROUNDUP(V$14/$F15,0)*$D$11))*(1+$D$7))</f>
        <v>252000</v>
      </c>
      <c r="W15" s="7">
        <f>LamChanHangNgan((PhiMayCatDecalVuong(W$14,$D15,$E15)+ PhiMayInToner4M(ROUNDUP(W$14/$F15,0)*$E$6)+ (ROUNDUP(W$14/$F15,0)*$D$11))*(1+$D$7))</f>
        <v>268000</v>
      </c>
      <c r="X15" s="7">
        <f>LamChanHangNgan((PhiMayCatDecalVuong(X$14,$D15,$E15)+ PhiMayInToner4M(ROUNDUP(X$14/$F15,0)*$E$6)+ (ROUNDUP(X$14/$F15,0)*$D$11))*(1+$D$7))</f>
        <v>283000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4">
        <f t="shared" si="2"/>
        <v>117</v>
      </c>
      <c r="G16" s="7">
        <f>LamChanHangNgan((PhiMayCatDecalVuong(G$14,$D16,$E16)+ PhiMayInToner4M(ROUNDUP(G$14/$F16,0)*$E$6)+ (ROUNDUP(G$14/$F16,0)*$D$11))*(1+$D$7))</f>
        <v>136000</v>
      </c>
      <c r="H16" s="7">
        <f>LamChanHangNgan((PhiMayCatDecalVuong(H$14,$D16,$E16)+ PhiMayInToner4M(ROUNDUP(H$14/$F16,0)*$E$6)+ (ROUNDUP(H$14/$F16,0)*$D$11))*(1+$D$7))</f>
        <v>140000</v>
      </c>
      <c r="I16" s="7">
        <f>LamChanHangNgan((PhiMayCatDecalVuong(I$14,$D16,$E16)+ PhiMayInToner4M(ROUNDUP(I$14/$F16,0)*$E$6)+ (ROUNDUP(I$14/$F16,0)*$D$11))*(1+$D$7))</f>
        <v>144000</v>
      </c>
      <c r="J16" s="7">
        <f>LamChanHangNgan((PhiMayCatDecalVuong(J$14,$D16,$E16)+ PhiMayInToner4M(ROUNDUP(J$14/$F16,0)*$E$6)+ (ROUNDUP(J$14/$F16,0)*$D$11))*(1+$D$7))</f>
        <v>147000</v>
      </c>
      <c r="K16" s="7">
        <f>LamChanHangNgan((PhiMayCatDecalVuong(K$14,$D16,$E16)+ PhiMayInToner4M(ROUNDUP(K$14/$F16,0)*$E$6)+ (ROUNDUP(K$14/$F16,0)*$D$11))*(1+$D$7))</f>
        <v>151000</v>
      </c>
      <c r="L16" s="7">
        <f>LamChanHangNgan((PhiMayCatDecalVuong(L$14,$D16,$E16)+ PhiMayInToner4M(ROUNDUP(L$14/$F16,0)*$E$6)+ (ROUNDUP(L$14/$F16,0)*$D$11))*(1+$D$7))</f>
        <v>155000</v>
      </c>
      <c r="M16" s="7">
        <f>LamChanHangNgan((PhiMayCatDecalVuong(M$14,$D16,$E16)+ PhiMayInToner4M(ROUNDUP(M$14/$F16,0)*$E$6)+ (ROUNDUP(M$14/$F16,0)*$D$11))*(1+$D$7))</f>
        <v>155000</v>
      </c>
      <c r="N16" s="7">
        <f>LamChanHangNgan((PhiMayCatDecalVuong(N$14,$D16,$E16)+ PhiMayInToner4M(ROUNDUP(N$14/$F16,0)*$E$6)+ (ROUNDUP(N$14/$F16,0)*$D$11))*(1+$D$7))</f>
        <v>159000</v>
      </c>
      <c r="O16" s="7">
        <f>LamChanHangNgan((PhiMayCatDecalVuong(O$14,$D16,$E16)+ PhiMayInToner4M(ROUNDUP(O$14/$F16,0)*$E$6)+ (ROUNDUP(O$14/$F16,0)*$D$11))*(1+$D$7))</f>
        <v>163000</v>
      </c>
      <c r="P16" s="7">
        <f>LamChanHangNgan((PhiMayCatDecalVuong(P$14,$D16,$E16)+ PhiMayInToner4M(ROUNDUP(P$14/$F16,0)*$E$6)+ (ROUNDUP(P$14/$F16,0)*$D$11))*(1+$D$7))</f>
        <v>167000</v>
      </c>
      <c r="Q16" s="7">
        <f>LamChanHangNgan((PhiMayCatDecalVuong(Q$14,$D16,$E16)+ PhiMayInToner4M(ROUNDUP(Q$14/$F16,0)*$E$6)+ (ROUNDUP(Q$14/$F16,0)*$D$11))*(1+$D$7))</f>
        <v>182000</v>
      </c>
      <c r="R16" s="7">
        <f>LamChanHangNgan((PhiMayCatDecalVuong(R$14,$D16,$E16)+ PhiMayInToner4M(ROUNDUP(R$14/$F16,0)*$E$6)+ (ROUNDUP(R$14/$F16,0)*$D$11))*(1+$D$7))</f>
        <v>201000</v>
      </c>
      <c r="S16" s="7">
        <f>LamChanHangNgan((PhiMayCatDecalVuong(S$14,$D16,$E16)+ PhiMayInToner4M(ROUNDUP(S$14/$F16,0)*$E$6)+ (ROUNDUP(S$14/$F16,0)*$D$11))*(1+$D$7))</f>
        <v>217000</v>
      </c>
      <c r="T16" s="7">
        <f>LamChanHangNgan((PhiMayCatDecalVuong(T$14,$D16,$E16)+ PhiMayInToner4M(ROUNDUP(T$14/$F16,0)*$E$6)+ (ROUNDUP(T$14/$F16,0)*$D$11))*(1+$D$7))</f>
        <v>233000</v>
      </c>
      <c r="U16" s="7">
        <f>LamChanHangNgan((PhiMayCatDecalVuong(U$14,$D16,$E16)+ PhiMayInToner4M(ROUNDUP(U$14/$F16,0)*$E$6)+ (ROUNDUP(U$14/$F16,0)*$D$11))*(1+$D$7))</f>
        <v>248000</v>
      </c>
      <c r="V16" s="7">
        <f>LamChanHangNgan((PhiMayCatDecalVuong(V$14,$D16,$E16)+ PhiMayInToner4M(ROUNDUP(V$14/$F16,0)*$E$6)+ (ROUNDUP(V$14/$F16,0)*$D$11))*(1+$D$7))</f>
        <v>267000</v>
      </c>
      <c r="W16" s="7">
        <f>LamChanHangNgan((PhiMayCatDecalVuong(W$14,$D16,$E16)+ PhiMayInToner4M(ROUNDUP(W$14/$F16,0)*$E$6)+ (ROUNDUP(W$14/$F16,0)*$D$11))*(1+$D$7))</f>
        <v>283000</v>
      </c>
      <c r="X16" s="7">
        <f>LamChanHangNgan((PhiMayCatDecalVuong(X$14,$D16,$E16)+ PhiMayInToner4M(ROUNDUP(X$14/$F16,0)*$E$6)+ (ROUNDUP(X$14/$F16,0)*$D$11))*(1+$D$7))</f>
        <v>298000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4">
        <f t="shared" si="2"/>
        <v>104</v>
      </c>
      <c r="G17" s="7">
        <f>LamChanHangNgan((PhiMayCatDecalVuong(G$14,$D17,$E17)+ PhiMayInToner4M(ROUNDUP(G$14/$F17,0)*$E$6)+ (ROUNDUP(G$14/$F17,0)*$D$11))*(1+$D$7))</f>
        <v>136000</v>
      </c>
      <c r="H17" s="7">
        <f>LamChanHangNgan((PhiMayCatDecalVuong(H$14,$D17,$E17)+ PhiMayInToner4M(ROUNDUP(H$14/$F17,0)*$E$6)+ (ROUNDUP(H$14/$F17,0)*$D$11))*(1+$D$7))</f>
        <v>140000</v>
      </c>
      <c r="I17" s="7">
        <f>LamChanHangNgan((PhiMayCatDecalVuong(I$14,$D17,$E17)+ PhiMayInToner4M(ROUNDUP(I$14/$F17,0)*$E$6)+ (ROUNDUP(I$14/$F17,0)*$D$11))*(1+$D$7))</f>
        <v>144000</v>
      </c>
      <c r="J17" s="7">
        <f>LamChanHangNgan((PhiMayCatDecalVuong(J$14,$D17,$E17)+ PhiMayInToner4M(ROUNDUP(J$14/$F17,0)*$E$6)+ (ROUNDUP(J$14/$F17,0)*$D$11))*(1+$D$7))</f>
        <v>148000</v>
      </c>
      <c r="K17" s="7">
        <f>LamChanHangNgan((PhiMayCatDecalVuong(K$14,$D17,$E17)+ PhiMayInToner4M(ROUNDUP(K$14/$F17,0)*$E$6)+ (ROUNDUP(K$14/$F17,0)*$D$11))*(1+$D$7))</f>
        <v>151000</v>
      </c>
      <c r="L17" s="7">
        <f>LamChanHangNgan((PhiMayCatDecalVuong(L$14,$D17,$E17)+ PhiMayInToner4M(ROUNDUP(L$14/$F17,0)*$E$6)+ (ROUNDUP(L$14/$F17,0)*$D$11))*(1+$D$7))</f>
        <v>155000</v>
      </c>
      <c r="M17" s="7">
        <f>LamChanHangNgan((PhiMayCatDecalVuong(M$14,$D17,$E17)+ PhiMayInToner4M(ROUNDUP(M$14/$F17,0)*$E$6)+ (ROUNDUP(M$14/$F17,0)*$D$11))*(1+$D$7))</f>
        <v>159000</v>
      </c>
      <c r="N17" s="7">
        <f>LamChanHangNgan((PhiMayCatDecalVuong(N$14,$D17,$E17)+ PhiMayInToner4M(ROUNDUP(N$14/$F17,0)*$E$6)+ (ROUNDUP(N$14/$F17,0)*$D$11))*(1+$D$7))</f>
        <v>163000</v>
      </c>
      <c r="O17" s="7">
        <f>LamChanHangNgan((PhiMayCatDecalVuong(O$14,$D17,$E17)+ PhiMayInToner4M(ROUNDUP(O$14/$F17,0)*$E$6)+ (ROUNDUP(O$14/$F17,0)*$D$11))*(1+$D$7))</f>
        <v>167000</v>
      </c>
      <c r="P17" s="7">
        <f>LamChanHangNgan((PhiMayCatDecalVuong(P$14,$D17,$E17)+ PhiMayInToner4M(ROUNDUP(P$14/$F17,0)*$E$6)+ (ROUNDUP(P$14/$F17,0)*$D$11))*(1+$D$7))</f>
        <v>171000</v>
      </c>
      <c r="Q17" s="7">
        <f>LamChanHangNgan((PhiMayCatDecalVuong(Q$14,$D17,$E17)+ PhiMayInToner4M(ROUNDUP(Q$14/$F17,0)*$E$6)+ (ROUNDUP(Q$14/$F17,0)*$D$11))*(1+$D$7))</f>
        <v>190000</v>
      </c>
      <c r="R17" s="7">
        <f>LamChanHangNgan((PhiMayCatDecalVuong(R$14,$D17,$E17)+ PhiMayInToner4M(ROUNDUP(R$14/$F17,0)*$E$6)+ (ROUNDUP(R$14/$F17,0)*$D$11))*(1+$D$7))</f>
        <v>209000</v>
      </c>
      <c r="S17" s="7">
        <f>LamChanHangNgan((PhiMayCatDecalVuong(S$14,$D17,$E17)+ PhiMayInToner4M(ROUNDUP(S$14/$F17,0)*$E$6)+ (ROUNDUP(S$14/$F17,0)*$D$11))*(1+$D$7))</f>
        <v>228000</v>
      </c>
      <c r="T17" s="7">
        <f>LamChanHangNgan((PhiMayCatDecalVuong(T$14,$D17,$E17)+ PhiMayInToner4M(ROUNDUP(T$14/$F17,0)*$E$6)+ (ROUNDUP(T$14/$F17,0)*$D$11))*(1+$D$7))</f>
        <v>244000</v>
      </c>
      <c r="U17" s="7">
        <f>LamChanHangNgan((PhiMayCatDecalVuong(U$14,$D17,$E17)+ PhiMayInToner4M(ROUNDUP(U$14/$F17,0)*$E$6)+ (ROUNDUP(U$14/$F17,0)*$D$11))*(1+$D$7))</f>
        <v>263000</v>
      </c>
      <c r="V17" s="7">
        <f>LamChanHangNgan((PhiMayCatDecalVuong(V$14,$D17,$E17)+ PhiMayInToner4M(ROUNDUP(V$14/$F17,0)*$E$6)+ (ROUNDUP(V$14/$F17,0)*$D$11))*(1+$D$7))</f>
        <v>282000</v>
      </c>
      <c r="W17" s="7">
        <f>LamChanHangNgan((PhiMayCatDecalVuong(W$14,$D17,$E17)+ PhiMayInToner4M(ROUNDUP(W$14/$F17,0)*$E$6)+ (ROUNDUP(W$14/$F17,0)*$D$11))*(1+$D$7))</f>
        <v>301000</v>
      </c>
      <c r="X17" s="7">
        <f>LamChanHangNgan((PhiMayCatDecalVuong(X$14,$D17,$E17)+ PhiMayInToner4M(ROUNDUP(X$14/$F17,0)*$E$6)+ (ROUNDUP(X$14/$F17,0)*$D$11))*(1+$D$7))</f>
        <v>320000</v>
      </c>
    </row>
    <row r="18" spans="1:24" x14ac:dyDescent="0.25">
      <c r="A18" s="1" t="s">
        <v>450</v>
      </c>
      <c r="B18">
        <v>4</v>
      </c>
      <c r="C18" t="str">
        <f t="shared" si="3"/>
        <v>3 x 4.5 cm</v>
      </c>
      <c r="D18">
        <v>3</v>
      </c>
      <c r="E18">
        <v>4.5</v>
      </c>
      <c r="F18" s="44">
        <f t="shared" si="2"/>
        <v>91</v>
      </c>
      <c r="G18" s="7">
        <f>LamChanHangNgan((PhiMayCatDecalVuong(G$14,$D18,$E18)+ PhiMayInToner4M(ROUNDUP(G$14/$F18,0)*$E$6)+ (ROUNDUP(G$14/$F18,0)*$D$11))*(1+$D$7))</f>
        <v>140000</v>
      </c>
      <c r="H18" s="7">
        <f>LamChanHangNgan((PhiMayCatDecalVuong(H$14,$D18,$E18)+ PhiMayInToner4M(ROUNDUP(H$14/$F18,0)*$E$6)+ (ROUNDUP(H$14/$F18,0)*$D$11))*(1+$D$7))</f>
        <v>143000</v>
      </c>
      <c r="I18" s="7">
        <f>LamChanHangNgan((PhiMayCatDecalVuong(I$14,$D18,$E18)+ PhiMayInToner4M(ROUNDUP(I$14/$F18,0)*$E$6)+ (ROUNDUP(I$14/$F18,0)*$D$11))*(1+$D$7))</f>
        <v>147000</v>
      </c>
      <c r="J18" s="7">
        <f>LamChanHangNgan((PhiMayCatDecalVuong(J$14,$D18,$E18)+ PhiMayInToner4M(ROUNDUP(J$14/$F18,0)*$E$6)+ (ROUNDUP(J$14/$F18,0)*$D$11))*(1+$D$7))</f>
        <v>151000</v>
      </c>
      <c r="K18" s="7">
        <f>LamChanHangNgan((PhiMayCatDecalVuong(K$14,$D18,$E18)+ PhiMayInToner4M(ROUNDUP(K$14/$F18,0)*$E$6)+ (ROUNDUP(K$14/$F18,0)*$D$11))*(1+$D$7))</f>
        <v>155000</v>
      </c>
      <c r="L18" s="7">
        <f>LamChanHangNgan((PhiMayCatDecalVuong(L$14,$D18,$E18)+ PhiMayInToner4M(ROUNDUP(L$14/$F18,0)*$E$6)+ (ROUNDUP(L$14/$F18,0)*$D$11))*(1+$D$7))</f>
        <v>159000</v>
      </c>
      <c r="M18" s="7">
        <f>LamChanHangNgan((PhiMayCatDecalVuong(M$14,$D18,$E18)+ PhiMayInToner4M(ROUNDUP(M$14/$F18,0)*$E$6)+ (ROUNDUP(M$14/$F18,0)*$D$11))*(1+$D$7))</f>
        <v>163000</v>
      </c>
      <c r="N18" s="7">
        <f>LamChanHangNgan((PhiMayCatDecalVuong(N$14,$D18,$E18)+ PhiMayInToner4M(ROUNDUP(N$14/$F18,0)*$E$6)+ (ROUNDUP(N$14/$F18,0)*$D$11))*(1+$D$7))</f>
        <v>167000</v>
      </c>
      <c r="O18" s="7">
        <f>LamChanHangNgan((PhiMayCatDecalVuong(O$14,$D18,$E18)+ PhiMayInToner4M(ROUNDUP(O$14/$F18,0)*$E$6)+ (ROUNDUP(O$14/$F18,0)*$D$11))*(1+$D$7))</f>
        <v>170000</v>
      </c>
      <c r="P18" s="7">
        <f>LamChanHangNgan((PhiMayCatDecalVuong(P$14,$D18,$E18)+ PhiMayInToner4M(ROUNDUP(P$14/$F18,0)*$E$6)+ (ROUNDUP(P$14/$F18,0)*$D$11))*(1+$D$7))</f>
        <v>174000</v>
      </c>
      <c r="Q18" s="7">
        <f>LamChanHangNgan((PhiMayCatDecalVuong(Q$14,$D18,$E18)+ PhiMayInToner4M(ROUNDUP(Q$14/$F18,0)*$E$6)+ (ROUNDUP(Q$14/$F18,0)*$D$11))*(1+$D$7))</f>
        <v>197000</v>
      </c>
      <c r="R18" s="7">
        <f>LamChanHangNgan((PhiMayCatDecalVuong(R$14,$D18,$E18)+ PhiMayInToner4M(ROUNDUP(R$14/$F18,0)*$E$6)+ (ROUNDUP(R$14/$F18,0)*$D$11))*(1+$D$7))</f>
        <v>216000</v>
      </c>
      <c r="S18" s="7">
        <f>LamChanHangNgan((PhiMayCatDecalVuong(S$14,$D18,$E18)+ PhiMayInToner4M(ROUNDUP(S$14/$F18,0)*$E$6)+ (ROUNDUP(S$14/$F18,0)*$D$11))*(1+$D$7))</f>
        <v>239000</v>
      </c>
      <c r="T18" s="7">
        <f>LamChanHangNgan((PhiMayCatDecalVuong(T$14,$D18,$E18)+ PhiMayInToner4M(ROUNDUP(T$14/$F18,0)*$E$6)+ (ROUNDUP(T$14/$F18,0)*$D$11))*(1+$D$7))</f>
        <v>259000</v>
      </c>
      <c r="U18" s="7">
        <f>LamChanHangNgan((PhiMayCatDecalVuong(U$14,$D18,$E18)+ PhiMayInToner4M(ROUNDUP(U$14/$F18,0)*$E$6)+ (ROUNDUP(U$14/$F18,0)*$D$11))*(1+$D$7))</f>
        <v>281000</v>
      </c>
      <c r="V18" s="7">
        <f>LamChanHangNgan((PhiMayCatDecalVuong(V$14,$D18,$E18)+ PhiMayInToner4M(ROUNDUP(V$14/$F18,0)*$E$6)+ (ROUNDUP(V$14/$F18,0)*$D$11))*(1+$D$7))</f>
        <v>301000</v>
      </c>
      <c r="W18" s="7">
        <f>LamChanHangNgan((PhiMayCatDecalVuong(W$14,$D18,$E18)+ PhiMayInToner4M(ROUNDUP(W$14/$F18,0)*$E$6)+ (ROUNDUP(W$14/$F18,0)*$D$11))*(1+$D$7))</f>
        <v>323000</v>
      </c>
      <c r="X18" s="7">
        <f>LamChanHangNgan((PhiMayCatDecalVuong(X$14,$D18,$E18)+ PhiMayInToner4M(ROUNDUP(X$14/$F18,0)*$E$6)+ (ROUNDUP(X$14/$F18,0)*$D$11))*(1+$D$7))</f>
        <v>343000</v>
      </c>
    </row>
    <row r="19" spans="1:24" ht="30" x14ac:dyDescent="0.25">
      <c r="A19" s="2" t="s">
        <v>451</v>
      </c>
      <c r="B19">
        <v>5</v>
      </c>
      <c r="C19" t="str">
        <f t="shared" si="3"/>
        <v>3 x 5 cm</v>
      </c>
      <c r="D19">
        <v>3</v>
      </c>
      <c r="E19">
        <v>5</v>
      </c>
      <c r="F19" s="44">
        <f t="shared" si="2"/>
        <v>78</v>
      </c>
      <c r="G19" s="7">
        <f>LamChanHangNgan((PhiMayCatDecalVuong(G$14,$D19,$E19)+ PhiMayInToner4M(ROUNDUP(G$14/$F19,0)*$E$6)+ (ROUNDUP(G$14/$F19,0)*$D$11))*(1+$D$7))</f>
        <v>140000</v>
      </c>
      <c r="H19" s="7">
        <f>LamChanHangNgan((PhiMayCatDecalVuong(H$14,$D19,$E19)+ PhiMayInToner4M(ROUNDUP(H$14/$F19,0)*$E$6)+ (ROUNDUP(H$14/$F19,0)*$D$11))*(1+$D$7))</f>
        <v>143000</v>
      </c>
      <c r="I19" s="7">
        <f>LamChanHangNgan((PhiMayCatDecalVuong(I$14,$D19,$E19)+ PhiMayInToner4M(ROUNDUP(I$14/$F19,0)*$E$6)+ (ROUNDUP(I$14/$F19,0)*$D$11))*(1+$D$7))</f>
        <v>147000</v>
      </c>
      <c r="J19" s="7">
        <f>LamChanHangNgan((PhiMayCatDecalVuong(J$14,$D19,$E19)+ PhiMayInToner4M(ROUNDUP(J$14/$F19,0)*$E$6)+ (ROUNDUP(J$14/$F19,0)*$D$11))*(1+$D$7))</f>
        <v>155000</v>
      </c>
      <c r="K19" s="7">
        <f>LamChanHangNgan((PhiMayCatDecalVuong(K$14,$D19,$E19)+ PhiMayInToner4M(ROUNDUP(K$14/$F19,0)*$E$6)+ (ROUNDUP(K$14/$F19,0)*$D$11))*(1+$D$7))</f>
        <v>159000</v>
      </c>
      <c r="L19" s="7">
        <f>LamChanHangNgan((PhiMayCatDecalVuong(L$14,$D19,$E19)+ PhiMayInToner4M(ROUNDUP(L$14/$F19,0)*$E$6)+ (ROUNDUP(L$14/$F19,0)*$D$11))*(1+$D$7))</f>
        <v>163000</v>
      </c>
      <c r="M19" s="7">
        <f>LamChanHangNgan((PhiMayCatDecalVuong(M$14,$D19,$E19)+ PhiMayInToner4M(ROUNDUP(M$14/$F19,0)*$E$6)+ (ROUNDUP(M$14/$F19,0)*$D$11))*(1+$D$7))</f>
        <v>166000</v>
      </c>
      <c r="N19" s="7">
        <f>LamChanHangNgan((PhiMayCatDecalVuong(N$14,$D19,$E19)+ PhiMayInToner4M(ROUNDUP(N$14/$F19,0)*$E$6)+ (ROUNDUP(N$14/$F19,0)*$D$11))*(1+$D$7))</f>
        <v>174000</v>
      </c>
      <c r="O19" s="7">
        <f>LamChanHangNgan((PhiMayCatDecalVuong(O$14,$D19,$E19)+ PhiMayInToner4M(ROUNDUP(O$14/$F19,0)*$E$6)+ (ROUNDUP(O$14/$F19,0)*$D$11))*(1+$D$7))</f>
        <v>178000</v>
      </c>
      <c r="P19" s="7">
        <f>LamChanHangNgan((PhiMayCatDecalVuong(P$14,$D19,$E19)+ PhiMayInToner4M(ROUNDUP(P$14/$F19,0)*$E$6)+ (ROUNDUP(P$14/$F19,0)*$D$11))*(1+$D$7))</f>
        <v>182000</v>
      </c>
      <c r="Q19" s="7">
        <f>LamChanHangNgan((PhiMayCatDecalVuong(Q$14,$D19,$E19)+ PhiMayInToner4M(ROUNDUP(Q$14/$F19,0)*$E$6)+ (ROUNDUP(Q$14/$F19,0)*$D$11))*(1+$D$7))</f>
        <v>208000</v>
      </c>
      <c r="R19" s="7">
        <f>LamChanHangNgan((PhiMayCatDecalVuong(R$14,$D19,$E19)+ PhiMayInToner4M(ROUNDUP(R$14/$F19,0)*$E$6)+ (ROUNDUP(R$14/$F19,0)*$D$11))*(1+$D$7))</f>
        <v>231000</v>
      </c>
      <c r="S19" s="7">
        <f>LamChanHangNgan((PhiMayCatDecalVuong(S$14,$D19,$E19)+ PhiMayInToner4M(ROUNDUP(S$14/$F19,0)*$E$6)+ (ROUNDUP(S$14/$F19,0)*$D$11))*(1+$D$7))</f>
        <v>257000</v>
      </c>
      <c r="T19" s="7">
        <f>LamChanHangNgan((PhiMayCatDecalVuong(T$14,$D19,$E19)+ PhiMayInToner4M(ROUNDUP(T$14/$F19,0)*$E$6)+ (ROUNDUP(T$14/$F19,0)*$D$11))*(1+$D$7))</f>
        <v>280000</v>
      </c>
      <c r="U19" s="7">
        <f>LamChanHangNgan((PhiMayCatDecalVuong(U$14,$D19,$E19)+ PhiMayInToner4M(ROUNDUP(U$14/$F19,0)*$E$6)+ (ROUNDUP(U$14/$F19,0)*$D$11))*(1+$D$7))</f>
        <v>303000</v>
      </c>
      <c r="V19" s="7">
        <f>LamChanHangNgan((PhiMayCatDecalVuong(V$14,$D19,$E19)+ PhiMayInToner4M(ROUNDUP(V$14/$F19,0)*$E$6)+ (ROUNDUP(V$14/$F19,0)*$D$11))*(1+$D$7))</f>
        <v>330000</v>
      </c>
      <c r="W19" s="7">
        <f>LamChanHangNgan((PhiMayCatDecalVuong(W$14,$D19,$E19)+ PhiMayInToner4M(ROUNDUP(W$14/$F19,0)*$E$6)+ (ROUNDUP(W$14/$F19,0)*$D$11))*(1+$D$7))</f>
        <v>353000</v>
      </c>
      <c r="X19" s="7">
        <f>LamChanHangNgan((PhiMayCatDecalVuong(X$14,$D19,$E19)+ PhiMayInToner4M(ROUNDUP(X$14/$F19,0)*$E$6)+ (ROUNDUP(X$14/$F19,0)*$D$11))*(1+$D$7))</f>
        <v>379000</v>
      </c>
    </row>
    <row r="20" spans="1:24" x14ac:dyDescent="0.25">
      <c r="A20" s="2" t="s">
        <v>452</v>
      </c>
      <c r="B20">
        <v>6</v>
      </c>
      <c r="C20" t="str">
        <f t="shared" si="3"/>
        <v>3 x 5.5 cm</v>
      </c>
      <c r="D20">
        <v>3</v>
      </c>
      <c r="E20">
        <v>5.5</v>
      </c>
      <c r="F20" s="44">
        <f t="shared" si="2"/>
        <v>70</v>
      </c>
      <c r="G20" s="7">
        <f>LamChanHangNgan((PhiMayCatDecalVuong(G$14,$D20,$E20)+ PhiMayInToner4M(ROUNDUP(G$14/$F20,0)*$E$6)+ (ROUNDUP(G$14/$F20,0)*$D$11))*(1+$D$7))</f>
        <v>140000</v>
      </c>
      <c r="H20" s="7">
        <f>LamChanHangNgan((PhiMayCatDecalVuong(H$14,$D20,$E20)+ PhiMayInToner4M(ROUNDUP(H$14/$F20,0)*$E$6)+ (ROUNDUP(H$14/$F20,0)*$D$11))*(1+$D$7))</f>
        <v>144000</v>
      </c>
      <c r="I20" s="7">
        <f>LamChanHangNgan((PhiMayCatDecalVuong(I$14,$D20,$E20)+ PhiMayInToner4M(ROUNDUP(I$14/$F20,0)*$E$6)+ (ROUNDUP(I$14/$F20,0)*$D$11))*(1+$D$7))</f>
        <v>151000</v>
      </c>
      <c r="J20" s="7">
        <f>LamChanHangNgan((PhiMayCatDecalVuong(J$14,$D20,$E20)+ PhiMayInToner4M(ROUNDUP(J$14/$F20,0)*$E$6)+ (ROUNDUP(J$14/$F20,0)*$D$11))*(1+$D$7))</f>
        <v>155000</v>
      </c>
      <c r="K20" s="7">
        <f>LamChanHangNgan((PhiMayCatDecalVuong(K$14,$D20,$E20)+ PhiMayInToner4M(ROUNDUP(K$14/$F20,0)*$E$6)+ (ROUNDUP(K$14/$F20,0)*$D$11))*(1+$D$7))</f>
        <v>162000</v>
      </c>
      <c r="L20" s="7">
        <f>LamChanHangNgan((PhiMayCatDecalVuong(L$14,$D20,$E20)+ PhiMayInToner4M(ROUNDUP(L$14/$F20,0)*$E$6)+ (ROUNDUP(L$14/$F20,0)*$D$11))*(1+$D$7))</f>
        <v>166000</v>
      </c>
      <c r="M20" s="7">
        <f>LamChanHangNgan((PhiMayCatDecalVuong(M$14,$D20,$E20)+ PhiMayInToner4M(ROUNDUP(M$14/$F20,0)*$E$6)+ (ROUNDUP(M$14/$F20,0)*$D$11))*(1+$D$7))</f>
        <v>170000</v>
      </c>
      <c r="N20" s="7">
        <f>LamChanHangNgan((PhiMayCatDecalVuong(N$14,$D20,$E20)+ PhiMayInToner4M(ROUNDUP(N$14/$F20,0)*$E$6)+ (ROUNDUP(N$14/$F20,0)*$D$11))*(1+$D$7))</f>
        <v>177000</v>
      </c>
      <c r="O20" s="7">
        <f>LamChanHangNgan((PhiMayCatDecalVuong(O$14,$D20,$E20)+ PhiMayInToner4M(ROUNDUP(O$14/$F20,0)*$E$6)+ (ROUNDUP(O$14/$F20,0)*$D$11))*(1+$D$7))</f>
        <v>181000</v>
      </c>
      <c r="P20" s="7">
        <f>LamChanHangNgan((PhiMayCatDecalVuong(P$14,$D20,$E20)+ PhiMayInToner4M(ROUNDUP(P$14/$F20,0)*$E$6)+ (ROUNDUP(P$14/$F20,0)*$D$11))*(1+$D$7))</f>
        <v>189000</v>
      </c>
      <c r="Q20" s="7">
        <f>LamChanHangNgan((PhiMayCatDecalVuong(Q$14,$D20,$E20)+ PhiMayInToner4M(ROUNDUP(Q$14/$F20,0)*$E$6)+ (ROUNDUP(Q$14/$F20,0)*$D$11))*(1+$D$7))</f>
        <v>215000</v>
      </c>
      <c r="R20" s="7">
        <f>LamChanHangNgan((PhiMayCatDecalVuong(R$14,$D20,$E20)+ PhiMayInToner4M(ROUNDUP(R$14/$F20,0)*$E$6)+ (ROUNDUP(R$14/$F20,0)*$D$11))*(1+$D$7))</f>
        <v>242000</v>
      </c>
      <c r="S20" s="7">
        <f>LamChanHangNgan((PhiMayCatDecalVuong(S$14,$D20,$E20)+ PhiMayInToner4M(ROUNDUP(S$14/$F20,0)*$E$6)+ (ROUNDUP(S$14/$F20,0)*$D$11))*(1+$D$7))</f>
        <v>268000</v>
      </c>
      <c r="T20" s="7">
        <f>LamChanHangNgan((PhiMayCatDecalVuong(T$14,$D20,$E20)+ PhiMayInToner4M(ROUNDUP(T$14/$F20,0)*$E$6)+ (ROUNDUP(T$14/$F20,0)*$D$11))*(1+$D$7))</f>
        <v>295000</v>
      </c>
      <c r="U20" s="7">
        <f>LamChanHangNgan((PhiMayCatDecalVuong(U$14,$D20,$E20)+ PhiMayInToner4M(ROUNDUP(U$14/$F20,0)*$E$6)+ (ROUNDUP(U$14/$F20,0)*$D$11))*(1+$D$7))</f>
        <v>322000</v>
      </c>
      <c r="V20" s="7">
        <f>LamChanHangNgan((PhiMayCatDecalVuong(V$14,$D20,$E20)+ PhiMayInToner4M(ROUNDUP(V$14/$F20,0)*$E$6)+ (ROUNDUP(V$14/$F20,0)*$D$11))*(1+$D$7))</f>
        <v>352000</v>
      </c>
      <c r="W20" s="7">
        <f>LamChanHangNgan((PhiMayCatDecalVuong(W$14,$D20,$E20)+ PhiMayInToner4M(ROUNDUP(W$14/$F20,0)*$E$6)+ (ROUNDUP(W$14/$F20,0)*$D$11))*(1+$D$7))</f>
        <v>378000</v>
      </c>
      <c r="X20" s="7">
        <f>LamChanHangNgan((PhiMayCatDecalVuong(X$14,$D20,$E20)+ PhiMayInToner4M(ROUNDUP(X$14/$F20,0)*$E$6)+ (ROUNDUP(X$14/$F20,0)*$D$11))*(1+$D$7))</f>
        <v>405000</v>
      </c>
    </row>
    <row r="21" spans="1:24" x14ac:dyDescent="0.25">
      <c r="A21" s="2" t="s">
        <v>453</v>
      </c>
      <c r="B21">
        <v>7</v>
      </c>
      <c r="C21" t="str">
        <f t="shared" si="3"/>
        <v>3 x 6 cm</v>
      </c>
      <c r="D21">
        <v>3</v>
      </c>
      <c r="E21">
        <v>6</v>
      </c>
      <c r="F21" s="44">
        <f t="shared" si="2"/>
        <v>65</v>
      </c>
      <c r="G21" s="7">
        <f>LamChanHangNgan((PhiMayCatDecalVuong(G$14,$D21,$E21)+ PhiMayInToner4M(ROUNDUP(G$14/$F21,0)*$E$6)+ (ROUNDUP(G$14/$F21,0)*$D$11))*(1+$D$7))</f>
        <v>140000</v>
      </c>
      <c r="H21" s="7">
        <f>LamChanHangNgan((PhiMayCatDecalVuong(H$14,$D21,$E21)+ PhiMayInToner4M(ROUNDUP(H$14/$F21,0)*$E$6)+ (ROUNDUP(H$14/$F21,0)*$D$11))*(1+$D$7))</f>
        <v>147000</v>
      </c>
      <c r="I21" s="7">
        <f>LamChanHangNgan((PhiMayCatDecalVuong(I$14,$D21,$E21)+ PhiMayInToner4M(ROUNDUP(I$14/$F21,0)*$E$6)+ (ROUNDUP(I$14/$F21,0)*$D$11))*(1+$D$7))</f>
        <v>151000</v>
      </c>
      <c r="J21" s="7">
        <f>LamChanHangNgan((PhiMayCatDecalVuong(J$14,$D21,$E21)+ PhiMayInToner4M(ROUNDUP(J$14/$F21,0)*$E$6)+ (ROUNDUP(J$14/$F21,0)*$D$11))*(1+$D$7))</f>
        <v>158000</v>
      </c>
      <c r="K21" s="7">
        <f>LamChanHangNgan((PhiMayCatDecalVuong(K$14,$D21,$E21)+ PhiMayInToner4M(ROUNDUP(K$14/$F21,0)*$E$6)+ (ROUNDUP(K$14/$F21,0)*$D$11))*(1+$D$7))</f>
        <v>162000</v>
      </c>
      <c r="L21" s="7">
        <f>LamChanHangNgan((PhiMayCatDecalVuong(L$14,$D21,$E21)+ PhiMayInToner4M(ROUNDUP(L$14/$F21,0)*$E$6)+ (ROUNDUP(L$14/$F21,0)*$D$11))*(1+$D$7))</f>
        <v>170000</v>
      </c>
      <c r="M21" s="7">
        <f>LamChanHangNgan((PhiMayCatDecalVuong(M$14,$D21,$E21)+ PhiMayInToner4M(ROUNDUP(M$14/$F21,0)*$E$6)+ (ROUNDUP(M$14/$F21,0)*$D$11))*(1+$D$7))</f>
        <v>174000</v>
      </c>
      <c r="N21" s="7">
        <f>LamChanHangNgan((PhiMayCatDecalVuong(N$14,$D21,$E21)+ PhiMayInToner4M(ROUNDUP(N$14/$F21,0)*$E$6)+ (ROUNDUP(N$14/$F21,0)*$D$11))*(1+$D$7))</f>
        <v>181000</v>
      </c>
      <c r="O21" s="7">
        <f>LamChanHangNgan((PhiMayCatDecalVuong(O$14,$D21,$E21)+ PhiMayInToner4M(ROUNDUP(O$14/$F21,0)*$E$6)+ (ROUNDUP(O$14/$F21,0)*$D$11))*(1+$D$7))</f>
        <v>185000</v>
      </c>
      <c r="P21" s="7">
        <f>LamChanHangNgan((PhiMayCatDecalVuong(P$14,$D21,$E21)+ PhiMayInToner4M(ROUNDUP(P$14/$F21,0)*$E$6)+ (ROUNDUP(P$14/$F21,0)*$D$11))*(1+$D$7))</f>
        <v>193000</v>
      </c>
      <c r="Q21" s="7">
        <f>LamChanHangNgan((PhiMayCatDecalVuong(Q$14,$D21,$E21)+ PhiMayInToner4M(ROUNDUP(Q$14/$F21,0)*$E$6)+ (ROUNDUP(Q$14/$F21,0)*$D$11))*(1+$D$7))</f>
        <v>223000</v>
      </c>
      <c r="R21" s="7">
        <f>LamChanHangNgan((PhiMayCatDecalVuong(R$14,$D21,$E21)+ PhiMayInToner4M(ROUNDUP(R$14/$F21,0)*$E$6)+ (ROUNDUP(R$14/$F21,0)*$D$11))*(1+$D$7))</f>
        <v>249000</v>
      </c>
      <c r="S21" s="7">
        <f>LamChanHangNgan((PhiMayCatDecalVuong(S$14,$D21,$E21)+ PhiMayInToner4M(ROUNDUP(S$14/$F21,0)*$E$6)+ (ROUNDUP(S$14/$F21,0)*$D$11))*(1+$D$7))</f>
        <v>280000</v>
      </c>
      <c r="T21" s="7">
        <f>LamChanHangNgan((PhiMayCatDecalVuong(T$14,$D21,$E21)+ PhiMayInToner4M(ROUNDUP(T$14/$F21,0)*$E$6)+ (ROUNDUP(T$14/$F21,0)*$D$11))*(1+$D$7))</f>
        <v>310000</v>
      </c>
      <c r="U21" s="7">
        <f>LamChanHangNgan((PhiMayCatDecalVuong(U$14,$D21,$E21)+ PhiMayInToner4M(ROUNDUP(U$14/$F21,0)*$E$6)+ (ROUNDUP(U$14/$F21,0)*$D$11))*(1+$D$7))</f>
        <v>336000</v>
      </c>
      <c r="V21" s="7">
        <f>LamChanHangNgan((PhiMayCatDecalVuong(V$14,$D21,$E21)+ PhiMayInToner4M(ROUNDUP(V$14/$F21,0)*$E$6)+ (ROUNDUP(V$14/$F21,0)*$D$11))*(1+$D$7))</f>
        <v>367000</v>
      </c>
      <c r="W21" s="7">
        <f>LamChanHangNgan((PhiMayCatDecalVuong(W$14,$D21,$E21)+ PhiMayInToner4M(ROUNDUP(W$14/$F21,0)*$E$6)+ (ROUNDUP(W$14/$F21,0)*$D$11))*(1+$D$7))</f>
        <v>397000</v>
      </c>
      <c r="X21" s="7">
        <f>LamChanHangNgan((PhiMayCatDecalVuong(X$14,$D21,$E21)+ PhiMayInToner4M(ROUNDUP(X$14/$F21,0)*$E$6)+ (ROUNDUP(X$14/$F21,0)*$D$11))*(1+$D$7))</f>
        <v>423000</v>
      </c>
    </row>
    <row r="22" spans="1:24" x14ac:dyDescent="0.25">
      <c r="A22" s="2" t="s">
        <v>454</v>
      </c>
      <c r="B22">
        <v>8</v>
      </c>
      <c r="C22" t="str">
        <f t="shared" si="3"/>
        <v>3 x 6.5 cm</v>
      </c>
      <c r="D22">
        <v>3</v>
      </c>
      <c r="E22">
        <v>6.5</v>
      </c>
      <c r="F22" s="44">
        <f t="shared" si="2"/>
        <v>60</v>
      </c>
      <c r="G22" s="7">
        <f>LamChanHangNgan((PhiMayCatDecalVuong(G$14,$D22,$E22)+ PhiMayInToner4M(ROUNDUP(G$14/$F22,0)*$E$6)+ (ROUNDUP(G$14/$F22,0)*$D$11))*(1+$D$7))</f>
        <v>140000</v>
      </c>
      <c r="H22" s="7">
        <f>LamChanHangNgan((PhiMayCatDecalVuong(H$14,$D22,$E22)+ PhiMayInToner4M(ROUNDUP(H$14/$F22,0)*$E$6)+ (ROUNDUP(H$14/$F22,0)*$D$11))*(1+$D$7))</f>
        <v>147000</v>
      </c>
      <c r="I22" s="7">
        <f>LamChanHangNgan((PhiMayCatDecalVuong(I$14,$D22,$E22)+ PhiMayInToner4M(ROUNDUP(I$14/$F22,0)*$E$6)+ (ROUNDUP(I$14/$F22,0)*$D$11))*(1+$D$7))</f>
        <v>151000</v>
      </c>
      <c r="J22" s="7">
        <f>LamChanHangNgan((PhiMayCatDecalVuong(J$14,$D22,$E22)+ PhiMayInToner4M(ROUNDUP(J$14/$F22,0)*$E$6)+ (ROUNDUP(J$14/$F22,0)*$D$11))*(1+$D$7))</f>
        <v>159000</v>
      </c>
      <c r="K22" s="7">
        <f>LamChanHangNgan((PhiMayCatDecalVuong(K$14,$D22,$E22)+ PhiMayInToner4M(ROUNDUP(K$14/$F22,0)*$E$6)+ (ROUNDUP(K$14/$F22,0)*$D$11))*(1+$D$7))</f>
        <v>166000</v>
      </c>
      <c r="L22" s="7">
        <f>LamChanHangNgan((PhiMayCatDecalVuong(L$14,$D22,$E22)+ PhiMayInToner4M(ROUNDUP(L$14/$F22,0)*$E$6)+ (ROUNDUP(L$14/$F22,0)*$D$11))*(1+$D$7))</f>
        <v>170000</v>
      </c>
      <c r="M22" s="7">
        <f>LamChanHangNgan((PhiMayCatDecalVuong(M$14,$D22,$E22)+ PhiMayInToner4M(ROUNDUP(M$14/$F22,0)*$E$6)+ (ROUNDUP(M$14/$F22,0)*$D$11))*(1+$D$7))</f>
        <v>177000</v>
      </c>
      <c r="N22" s="7">
        <f>LamChanHangNgan((PhiMayCatDecalVuong(N$14,$D22,$E22)+ PhiMayInToner4M(ROUNDUP(N$14/$F22,0)*$E$6)+ (ROUNDUP(N$14/$F22,0)*$D$11))*(1+$D$7))</f>
        <v>185000</v>
      </c>
      <c r="O22" s="7">
        <f>LamChanHangNgan((PhiMayCatDecalVuong(O$14,$D22,$E22)+ PhiMayInToner4M(ROUNDUP(O$14/$F22,0)*$E$6)+ (ROUNDUP(O$14/$F22,0)*$D$11))*(1+$D$7))</f>
        <v>189000</v>
      </c>
      <c r="P22" s="7">
        <f>LamChanHangNgan((PhiMayCatDecalVuong(P$14,$D22,$E22)+ PhiMayInToner4M(ROUNDUP(P$14/$F22,0)*$E$6)+ (ROUNDUP(P$14/$F22,0)*$D$11))*(1+$D$7))</f>
        <v>196000</v>
      </c>
      <c r="Q22" s="7">
        <f>LamChanHangNgan((PhiMayCatDecalVuong(Q$14,$D22,$E22)+ PhiMayInToner4M(ROUNDUP(Q$14/$F22,0)*$E$6)+ (ROUNDUP(Q$14/$F22,0)*$D$11))*(1+$D$7))</f>
        <v>227000</v>
      </c>
      <c r="R22" s="7">
        <f>LamChanHangNgan((PhiMayCatDecalVuong(R$14,$D22,$E22)+ PhiMayInToner4M(ROUNDUP(R$14/$F22,0)*$E$6)+ (ROUNDUP(R$14/$F22,0)*$D$11))*(1+$D$7))</f>
        <v>260000</v>
      </c>
      <c r="S22" s="7">
        <f>LamChanHangNgan((PhiMayCatDecalVuong(S$14,$D22,$E22)+ PhiMayInToner4M(ROUNDUP(S$14/$F22,0)*$E$6)+ (ROUNDUP(S$14/$F22,0)*$D$11))*(1+$D$7))</f>
        <v>291000</v>
      </c>
      <c r="T22" s="7">
        <f>LamChanHangNgan((PhiMayCatDecalVuong(T$14,$D22,$E22)+ PhiMayInToner4M(ROUNDUP(T$14/$F22,0)*$E$6)+ (ROUNDUP(T$14/$F22,0)*$D$11))*(1+$D$7))</f>
        <v>321000</v>
      </c>
      <c r="U22" s="7">
        <f>LamChanHangNgan((PhiMayCatDecalVuong(U$14,$D22,$E22)+ PhiMayInToner4M(ROUNDUP(U$14/$F22,0)*$E$6)+ (ROUNDUP(U$14/$F22,0)*$D$11))*(1+$D$7))</f>
        <v>355000</v>
      </c>
      <c r="V22" s="7">
        <f>LamChanHangNgan((PhiMayCatDecalVuong(V$14,$D22,$E22)+ PhiMayInToner4M(ROUNDUP(V$14/$F22,0)*$E$6)+ (ROUNDUP(V$14/$F22,0)*$D$11))*(1+$D$7))</f>
        <v>385000</v>
      </c>
      <c r="W22" s="7">
        <f>LamChanHangNgan((PhiMayCatDecalVuong(W$14,$D22,$E22)+ PhiMayInToner4M(ROUNDUP(W$14/$F22,0)*$E$6)+ (ROUNDUP(W$14/$F22,0)*$D$11))*(1+$D$7))</f>
        <v>415000</v>
      </c>
      <c r="X22" s="7">
        <f>LamChanHangNgan((PhiMayCatDecalVuong(X$14,$D22,$E22)+ PhiMayInToner4M(ROUNDUP(X$14/$F22,0)*$E$6)+ (ROUNDUP(X$14/$F22,0)*$D$11))*(1+$D$7))</f>
        <v>449000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4">
        <f t="shared" si="2"/>
        <v>52</v>
      </c>
      <c r="G23" s="7">
        <f>LamChanHangNgan((PhiMayCatDecalVuong(G$14,$D23,$E23)+ PhiMayInToner4M(ROUNDUP(G$14/$F23,0)*$E$6)+ (ROUNDUP(G$14/$F23,0)*$D$11))*(1+$D$7))</f>
        <v>140000</v>
      </c>
      <c r="H23" s="7">
        <f>LamChanHangNgan((PhiMayCatDecalVuong(H$14,$D23,$E23)+ PhiMayInToner4M(ROUNDUP(H$14/$F23,0)*$E$6)+ (ROUNDUP(H$14/$F23,0)*$D$11))*(1+$D$7))</f>
        <v>147000</v>
      </c>
      <c r="I23" s="7">
        <f>LamChanHangNgan((PhiMayCatDecalVuong(I$14,$D23,$E23)+ PhiMayInToner4M(ROUNDUP(I$14/$F23,0)*$E$6)+ (ROUNDUP(I$14/$F23,0)*$D$11))*(1+$D$7))</f>
        <v>155000</v>
      </c>
      <c r="J23" s="7">
        <f>LamChanHangNgan((PhiMayCatDecalVuong(J$14,$D23,$E23)+ PhiMayInToner4M(ROUNDUP(J$14/$F23,0)*$E$6)+ (ROUNDUP(J$14/$F23,0)*$D$11))*(1+$D$7))</f>
        <v>162000</v>
      </c>
      <c r="K23" s="7">
        <f>LamChanHangNgan((PhiMayCatDecalVuong(K$14,$D23,$E23)+ PhiMayInToner4M(ROUNDUP(K$14/$F23,0)*$E$6)+ (ROUNDUP(K$14/$F23,0)*$D$11))*(1+$D$7))</f>
        <v>170000</v>
      </c>
      <c r="L23" s="7">
        <f>LamChanHangNgan((PhiMayCatDecalVuong(L$14,$D23,$E23)+ PhiMayInToner4M(ROUNDUP(L$14/$F23,0)*$E$6)+ (ROUNDUP(L$14/$F23,0)*$D$11))*(1+$D$7))</f>
        <v>177000</v>
      </c>
      <c r="M23" s="7">
        <f>LamChanHangNgan((PhiMayCatDecalVuong(M$14,$D23,$E23)+ PhiMayInToner4M(ROUNDUP(M$14/$F23,0)*$E$6)+ (ROUNDUP(M$14/$F23,0)*$D$11))*(1+$D$7))</f>
        <v>185000</v>
      </c>
      <c r="N23" s="7">
        <f>LamChanHangNgan((PhiMayCatDecalVuong(N$14,$D23,$E23)+ PhiMayInToner4M(ROUNDUP(N$14/$F23,0)*$E$6)+ (ROUNDUP(N$14/$F23,0)*$D$11))*(1+$D$7))</f>
        <v>192000</v>
      </c>
      <c r="O23" s="7">
        <f>LamChanHangNgan((PhiMayCatDecalVuong(O$14,$D23,$E23)+ PhiMayInToner4M(ROUNDUP(O$14/$F23,0)*$E$6)+ (ROUNDUP(O$14/$F23,0)*$D$11))*(1+$D$7))</f>
        <v>200000</v>
      </c>
      <c r="P23" s="7">
        <f>LamChanHangNgan((PhiMayCatDecalVuong(P$14,$D23,$E23)+ PhiMayInToner4M(ROUNDUP(P$14/$F23,0)*$E$6)+ (ROUNDUP(P$14/$F23,0)*$D$11))*(1+$D$7))</f>
        <v>207000</v>
      </c>
      <c r="Q23" s="7">
        <f>LamChanHangNgan((PhiMayCatDecalVuong(Q$14,$D23,$E23)+ PhiMayInToner4M(ROUNDUP(Q$14/$F23,0)*$E$6)+ (ROUNDUP(Q$14/$F23,0)*$D$11))*(1+$D$7))</f>
        <v>241000</v>
      </c>
      <c r="R23" s="7">
        <f>LamChanHangNgan((PhiMayCatDecalVuong(R$14,$D23,$E23)+ PhiMayInToner4M(ROUNDUP(R$14/$F23,0)*$E$6)+ (ROUNDUP(R$14/$F23,0)*$D$11))*(1+$D$7))</f>
        <v>278000</v>
      </c>
      <c r="S23" s="7">
        <f>LamChanHangNgan((PhiMayCatDecalVuong(S$14,$D23,$E23)+ PhiMayInToner4M(ROUNDUP(S$14/$F23,0)*$E$6)+ (ROUNDUP(S$14/$F23,0)*$D$11))*(1+$D$7))</f>
        <v>316000</v>
      </c>
      <c r="T23" s="7">
        <f>LamChanHangNgan((PhiMayCatDecalVuong(T$14,$D23,$E23)+ PhiMayInToner4M(ROUNDUP(T$14/$F23,0)*$E$6)+ (ROUNDUP(T$14/$F23,0)*$D$11))*(1+$D$7))</f>
        <v>350000</v>
      </c>
      <c r="U23" s="7">
        <f>LamChanHangNgan((PhiMayCatDecalVuong(U$14,$D23,$E23)+ PhiMayInToner4M(ROUNDUP(U$14/$F23,0)*$E$6)+ (ROUNDUP(U$14/$F23,0)*$D$11))*(1+$D$7))</f>
        <v>387000</v>
      </c>
      <c r="V23" s="7">
        <f>LamChanHangNgan((PhiMayCatDecalVuong(V$14,$D23,$E23)+ PhiMayInToner4M(ROUNDUP(V$14/$F23,0)*$E$6)+ (ROUNDUP(V$14/$F23,0)*$D$11))*(1+$D$7))</f>
        <v>421000</v>
      </c>
      <c r="W23" s="7">
        <f>LamChanHangNgan((PhiMayCatDecalVuong(W$14,$D23,$E23)+ PhiMayInToner4M(ROUNDUP(W$14/$F23,0)*$E$6)+ (ROUNDUP(W$14/$F23,0)*$D$11))*(1+$D$7))</f>
        <v>458000</v>
      </c>
      <c r="X23" s="7">
        <f>LamChanHangNgan((PhiMayCatDecalVuong(X$14,$D23,$E23)+ PhiMayInToner4M(ROUNDUP(X$14/$F23,0)*$E$6)+ (ROUNDUP(X$14/$F23,0)*$D$11))*(1+$D$7))</f>
        <v>496000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4">
        <f t="shared" si="2"/>
        <v>99</v>
      </c>
      <c r="G24" s="7">
        <f>LamChanHangNgan((PhiMayCatDecalVuong(G$14,$D24,$E24)+ PhiMayInToner4M(ROUNDUP(G$14/$F24,0)*$E$6)+ (ROUNDUP(G$14/$F24,0)*$D$11))*(1+$D$7))</f>
        <v>140000</v>
      </c>
      <c r="H24" s="7">
        <f>LamChanHangNgan((PhiMayCatDecalVuong(H$14,$D24,$E24)+ PhiMayInToner4M(ROUNDUP(H$14/$F24,0)*$E$6)+ (ROUNDUP(H$14/$F24,0)*$D$11))*(1+$D$7))</f>
        <v>143000</v>
      </c>
      <c r="I24" s="7">
        <f>LamChanHangNgan((PhiMayCatDecalVuong(I$14,$D24,$E24)+ PhiMayInToner4M(ROUNDUP(I$14/$F24,0)*$E$6)+ (ROUNDUP(I$14/$F24,0)*$D$11))*(1+$D$7))</f>
        <v>147000</v>
      </c>
      <c r="J24" s="7">
        <f>LamChanHangNgan((PhiMayCatDecalVuong(J$14,$D24,$E24)+ PhiMayInToner4M(ROUNDUP(J$14/$F24,0)*$E$6)+ (ROUNDUP(J$14/$F24,0)*$D$11))*(1+$D$7))</f>
        <v>151000</v>
      </c>
      <c r="K24" s="7">
        <f>LamChanHangNgan((PhiMayCatDecalVuong(K$14,$D24,$E24)+ PhiMayInToner4M(ROUNDUP(K$14/$F24,0)*$E$6)+ (ROUNDUP(K$14/$F24,0)*$D$11))*(1+$D$7))</f>
        <v>155000</v>
      </c>
      <c r="L24" s="7">
        <f>LamChanHangNgan((PhiMayCatDecalVuong(L$14,$D24,$E24)+ PhiMayInToner4M(ROUNDUP(L$14/$F24,0)*$E$6)+ (ROUNDUP(L$14/$F24,0)*$D$11))*(1+$D$7))</f>
        <v>159000</v>
      </c>
      <c r="M24" s="7">
        <f>LamChanHangNgan((PhiMayCatDecalVuong(M$14,$D24,$E24)+ PhiMayInToner4M(ROUNDUP(M$14/$F24,0)*$E$6)+ (ROUNDUP(M$14/$F24,0)*$D$11))*(1+$D$7))</f>
        <v>163000</v>
      </c>
      <c r="N24" s="7">
        <f>LamChanHangNgan((PhiMayCatDecalVuong(N$14,$D24,$E24)+ PhiMayInToner4M(ROUNDUP(N$14/$F24,0)*$E$6)+ (ROUNDUP(N$14/$F24,0)*$D$11))*(1+$D$7))</f>
        <v>166000</v>
      </c>
      <c r="O24" s="7">
        <f>LamChanHangNgan((PhiMayCatDecalVuong(O$14,$D24,$E24)+ PhiMayInToner4M(ROUNDUP(O$14/$F24,0)*$E$6)+ (ROUNDUP(O$14/$F24,0)*$D$11))*(1+$D$7))</f>
        <v>170000</v>
      </c>
      <c r="P24" s="7">
        <f>LamChanHangNgan((PhiMayCatDecalVuong(P$14,$D24,$E24)+ PhiMayInToner4M(ROUNDUP(P$14/$F24,0)*$E$6)+ (ROUNDUP(P$14/$F24,0)*$D$11))*(1+$D$7))</f>
        <v>174000</v>
      </c>
      <c r="Q24" s="7">
        <f>LamChanHangNgan((PhiMayCatDecalVuong(Q$14,$D24,$E24)+ PhiMayInToner4M(ROUNDUP(Q$14/$F24,0)*$E$6)+ (ROUNDUP(Q$14/$F24,0)*$D$11))*(1+$D$7))</f>
        <v>193000</v>
      </c>
      <c r="R24" s="7">
        <f>LamChanHangNgan((PhiMayCatDecalVuong(R$14,$D24,$E24)+ PhiMayInToner4M(ROUNDUP(R$14/$F24,0)*$E$6)+ (ROUNDUP(R$14/$F24,0)*$D$11))*(1+$D$7))</f>
        <v>212000</v>
      </c>
      <c r="S24" s="7">
        <f>LamChanHangNgan((PhiMayCatDecalVuong(S$14,$D24,$E24)+ PhiMayInToner4M(ROUNDUP(S$14/$F24,0)*$E$6)+ (ROUNDUP(S$14/$F24,0)*$D$11))*(1+$D$7))</f>
        <v>232000</v>
      </c>
      <c r="T24" s="7">
        <f>LamChanHangNgan((PhiMayCatDecalVuong(T$14,$D24,$E24)+ PhiMayInToner4M(ROUNDUP(T$14/$F24,0)*$E$6)+ (ROUNDUP(T$14/$F24,0)*$D$11))*(1+$D$7))</f>
        <v>251000</v>
      </c>
      <c r="U24" s="7">
        <f>LamChanHangNgan((PhiMayCatDecalVuong(U$14,$D24,$E24)+ PhiMayInToner4M(ROUNDUP(U$14/$F24,0)*$E$6)+ (ROUNDUP(U$14/$F24,0)*$D$11))*(1+$D$7))</f>
        <v>270000</v>
      </c>
      <c r="V24" s="7">
        <f>LamChanHangNgan((PhiMayCatDecalVuong(V$14,$D24,$E24)+ PhiMayInToner4M(ROUNDUP(V$14/$F24,0)*$E$6)+ (ROUNDUP(V$14/$F24,0)*$D$11))*(1+$D$7))</f>
        <v>289000</v>
      </c>
      <c r="W24" s="7">
        <f>LamChanHangNgan((PhiMayCatDecalVuong(W$14,$D24,$E24)+ PhiMayInToner4M(ROUNDUP(W$14/$F24,0)*$E$6)+ (ROUNDUP(W$14/$F24,0)*$D$11))*(1+$D$7))</f>
        <v>308000</v>
      </c>
      <c r="X24" s="7">
        <f>LamChanHangNgan((PhiMayCatDecalVuong(X$14,$D24,$E24)+ PhiMayInToner4M(ROUNDUP(X$14/$F24,0)*$E$6)+ (ROUNDUP(X$14/$F24,0)*$D$11))*(1+$D$7))</f>
        <v>328000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4">
        <f t="shared" si="2"/>
        <v>72</v>
      </c>
      <c r="G25" s="7">
        <f>LamChanHangNgan((PhiMayCatDecalVuong(G$14,$D25,$E25)+ PhiMayInToner4M(ROUNDUP(G$14/$F25,0)*$E$6)+ (ROUNDUP(G$14/$F25,0)*$D$11))*(1+$D$7))</f>
        <v>140000</v>
      </c>
      <c r="H25" s="7">
        <f>LamChanHangNgan((PhiMayCatDecalVuong(H$14,$D25,$E25)+ PhiMayInToner4M(ROUNDUP(H$14/$F25,0)*$E$6)+ (ROUNDUP(H$14/$F25,0)*$D$11))*(1+$D$7))</f>
        <v>143000</v>
      </c>
      <c r="I25" s="7">
        <f>LamChanHangNgan((PhiMayCatDecalVuong(I$14,$D25,$E25)+ PhiMayInToner4M(ROUNDUP(I$14/$F25,0)*$E$6)+ (ROUNDUP(I$14/$F25,0)*$D$11))*(1+$D$7))</f>
        <v>151000</v>
      </c>
      <c r="J25" s="7">
        <f>LamChanHangNgan((PhiMayCatDecalVuong(J$14,$D25,$E25)+ PhiMayInToner4M(ROUNDUP(J$14/$F25,0)*$E$6)+ (ROUNDUP(J$14/$F25,0)*$D$11))*(1+$D$7))</f>
        <v>155000</v>
      </c>
      <c r="K25" s="7">
        <f>LamChanHangNgan((PhiMayCatDecalVuong(K$14,$D25,$E25)+ PhiMayInToner4M(ROUNDUP(K$14/$F25,0)*$E$6)+ (ROUNDUP(K$14/$F25,0)*$D$11))*(1+$D$7))</f>
        <v>159000</v>
      </c>
      <c r="L25" s="7">
        <f>LamChanHangNgan((PhiMayCatDecalVuong(L$14,$D25,$E25)+ PhiMayInToner4M(ROUNDUP(L$14/$F25,0)*$E$6)+ (ROUNDUP(L$14/$F25,0)*$D$11))*(1+$D$7))</f>
        <v>166000</v>
      </c>
      <c r="M25" s="7">
        <f>LamChanHangNgan((PhiMayCatDecalVuong(M$14,$D25,$E25)+ PhiMayInToner4M(ROUNDUP(M$14/$F25,0)*$E$6)+ (ROUNDUP(M$14/$F25,0)*$D$11))*(1+$D$7))</f>
        <v>170000</v>
      </c>
      <c r="N25" s="7">
        <f>LamChanHangNgan((PhiMayCatDecalVuong(N$14,$D25,$E25)+ PhiMayInToner4M(ROUNDUP(N$14/$F25,0)*$E$6)+ (ROUNDUP(N$14/$F25,0)*$D$11))*(1+$D$7))</f>
        <v>177000</v>
      </c>
      <c r="O25" s="7">
        <f>LamChanHangNgan((PhiMayCatDecalVuong(O$14,$D25,$E25)+ PhiMayInToner4M(ROUNDUP(O$14/$F25,0)*$E$6)+ (ROUNDUP(O$14/$F25,0)*$D$11))*(1+$D$7))</f>
        <v>181000</v>
      </c>
      <c r="P25" s="7">
        <f>LamChanHangNgan((PhiMayCatDecalVuong(P$14,$D25,$E25)+ PhiMayInToner4M(ROUNDUP(P$14/$F25,0)*$E$6)+ (ROUNDUP(P$14/$F25,0)*$D$11))*(1+$D$7))</f>
        <v>185000</v>
      </c>
      <c r="Q25" s="7">
        <f>LamChanHangNgan((PhiMayCatDecalVuong(Q$14,$D25,$E25)+ PhiMayInToner4M(ROUNDUP(Q$14/$F25,0)*$E$6)+ (ROUNDUP(Q$14/$F25,0)*$D$11))*(1+$D$7))</f>
        <v>211000</v>
      </c>
      <c r="R25" s="7">
        <f>LamChanHangNgan((PhiMayCatDecalVuong(R$14,$D25,$E25)+ PhiMayInToner4M(ROUNDUP(R$14/$F25,0)*$E$6)+ (ROUNDUP(R$14/$F25,0)*$D$11))*(1+$D$7))</f>
        <v>238000</v>
      </c>
      <c r="S25" s="7">
        <f>LamChanHangNgan((PhiMayCatDecalVuong(S$14,$D25,$E25)+ PhiMayInToner4M(ROUNDUP(S$14/$F25,0)*$E$6)+ (ROUNDUP(S$14/$F25,0)*$D$11))*(1+$D$7))</f>
        <v>264000</v>
      </c>
      <c r="T25" s="7">
        <f>LamChanHangNgan((PhiMayCatDecalVuong(T$14,$D25,$E25)+ PhiMayInToner4M(ROUNDUP(T$14/$F25,0)*$E$6)+ (ROUNDUP(T$14/$F25,0)*$D$11))*(1+$D$7))</f>
        <v>291000</v>
      </c>
      <c r="U25" s="7">
        <f>LamChanHangNgan((PhiMayCatDecalVuong(U$14,$D25,$E25)+ PhiMayInToner4M(ROUNDUP(U$14/$F25,0)*$E$6)+ (ROUNDUP(U$14/$F25,0)*$D$11))*(1+$D$7))</f>
        <v>317000</v>
      </c>
      <c r="V25" s="7">
        <f>LamChanHangNgan((PhiMayCatDecalVuong(V$14,$D25,$E25)+ PhiMayInToner4M(ROUNDUP(V$14/$F25,0)*$E$6)+ (ROUNDUP(V$14/$F25,0)*$D$11))*(1+$D$7))</f>
        <v>344000</v>
      </c>
      <c r="W25" s="7">
        <f>LamChanHangNgan((PhiMayCatDecalVuong(W$14,$D25,$E25)+ PhiMayInToner4M(ROUNDUP(W$14/$F25,0)*$E$6)+ (ROUNDUP(W$14/$F25,0)*$D$11))*(1+$D$7))</f>
        <v>370000</v>
      </c>
      <c r="X25" s="7">
        <f>LamChanHangNgan((PhiMayCatDecalVuong(X$14,$D25,$E25)+ PhiMayInToner4M(ROUNDUP(X$14/$F25,0)*$E$6)+ (ROUNDUP(X$14/$F25,0)*$D$11))*(1+$D$7))</f>
        <v>396000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4">
        <f t="shared" si="2"/>
        <v>64</v>
      </c>
      <c r="G26" s="7">
        <f>LamChanHangNgan((PhiMayCatDecalVuong(G$14,$D26,$E26)+ PhiMayInToner4M(ROUNDUP(G$14/$F26,0)*$E$6)+ (ROUNDUP(G$14/$F26,0)*$D$11))*(1+$D$7))</f>
        <v>140000</v>
      </c>
      <c r="H26" s="7">
        <f>LamChanHangNgan((PhiMayCatDecalVuong(H$14,$D26,$E26)+ PhiMayInToner4M(ROUNDUP(H$14/$F26,0)*$E$6)+ (ROUNDUP(H$14/$F26,0)*$D$11))*(1+$D$7))</f>
        <v>147000</v>
      </c>
      <c r="I26" s="7">
        <f>LamChanHangNgan((PhiMayCatDecalVuong(I$14,$D26,$E26)+ PhiMayInToner4M(ROUNDUP(I$14/$F26,0)*$E$6)+ (ROUNDUP(I$14/$F26,0)*$D$11))*(1+$D$7))</f>
        <v>151000</v>
      </c>
      <c r="J26" s="7">
        <f>LamChanHangNgan((PhiMayCatDecalVuong(J$14,$D26,$E26)+ PhiMayInToner4M(ROUNDUP(J$14/$F26,0)*$E$6)+ (ROUNDUP(J$14/$F26,0)*$D$11))*(1+$D$7))</f>
        <v>158000</v>
      </c>
      <c r="K26" s="7">
        <f>LamChanHangNgan((PhiMayCatDecalVuong(K$14,$D26,$E26)+ PhiMayInToner4M(ROUNDUP(K$14/$F26,0)*$E$6)+ (ROUNDUP(K$14/$F26,0)*$D$11))*(1+$D$7))</f>
        <v>162000</v>
      </c>
      <c r="L26" s="7">
        <f>LamChanHangNgan((PhiMayCatDecalVuong(L$14,$D26,$E26)+ PhiMayInToner4M(ROUNDUP(L$14/$F26,0)*$E$6)+ (ROUNDUP(L$14/$F26,0)*$D$11))*(1+$D$7))</f>
        <v>170000</v>
      </c>
      <c r="M26" s="7">
        <f>LamChanHangNgan((PhiMayCatDecalVuong(M$14,$D26,$E26)+ PhiMayInToner4M(ROUNDUP(M$14/$F26,0)*$E$6)+ (ROUNDUP(M$14/$F26,0)*$D$11))*(1+$D$7))</f>
        <v>174000</v>
      </c>
      <c r="N26" s="7">
        <f>LamChanHangNgan((PhiMayCatDecalVuong(N$14,$D26,$E26)+ PhiMayInToner4M(ROUNDUP(N$14/$F26,0)*$E$6)+ (ROUNDUP(N$14/$F26,0)*$D$11))*(1+$D$7))</f>
        <v>181000</v>
      </c>
      <c r="O26" s="7">
        <f>LamChanHangNgan((PhiMayCatDecalVuong(O$14,$D26,$E26)+ PhiMayInToner4M(ROUNDUP(O$14/$F26,0)*$E$6)+ (ROUNDUP(O$14/$F26,0)*$D$11))*(1+$D$7))</f>
        <v>188000</v>
      </c>
      <c r="P26" s="7">
        <f>LamChanHangNgan((PhiMayCatDecalVuong(P$14,$D26,$E26)+ PhiMayInToner4M(ROUNDUP(P$14/$F26,0)*$E$6)+ (ROUNDUP(P$14/$F26,0)*$D$11))*(1+$D$7))</f>
        <v>192000</v>
      </c>
      <c r="Q26" s="7">
        <f>LamChanHangNgan((PhiMayCatDecalVuong(Q$14,$D26,$E26)+ PhiMayInToner4M(ROUNDUP(Q$14/$F26,0)*$E$6)+ (ROUNDUP(Q$14/$F26,0)*$D$11))*(1+$D$7))</f>
        <v>222000</v>
      </c>
      <c r="R26" s="7">
        <f>LamChanHangNgan((PhiMayCatDecalVuong(R$14,$D26,$E26)+ PhiMayInToner4M(ROUNDUP(R$14/$F26,0)*$E$6)+ (ROUNDUP(R$14/$F26,0)*$D$11))*(1+$D$7))</f>
        <v>252000</v>
      </c>
      <c r="S26" s="7">
        <f>LamChanHangNgan((PhiMayCatDecalVuong(S$14,$D26,$E26)+ PhiMayInToner4M(ROUNDUP(S$14/$F26,0)*$E$6)+ (ROUNDUP(S$14/$F26,0)*$D$11))*(1+$D$7))</f>
        <v>282000</v>
      </c>
      <c r="T26" s="7">
        <f>LamChanHangNgan((PhiMayCatDecalVuong(T$14,$D26,$E26)+ PhiMayInToner4M(ROUNDUP(T$14/$F26,0)*$E$6)+ (ROUNDUP(T$14/$F26,0)*$D$11))*(1+$D$7))</f>
        <v>309000</v>
      </c>
      <c r="U26" s="7">
        <f>LamChanHangNgan((PhiMayCatDecalVuong(U$14,$D26,$E26)+ PhiMayInToner4M(ROUNDUP(U$14/$F26,0)*$E$6)+ (ROUNDUP(U$14/$F26,0)*$D$11))*(1+$D$7))</f>
        <v>339000</v>
      </c>
      <c r="V26" s="7">
        <f>LamChanHangNgan((PhiMayCatDecalVuong(V$14,$D26,$E26)+ PhiMayInToner4M(ROUNDUP(V$14/$F26,0)*$E$6)+ (ROUNDUP(V$14/$F26,0)*$D$11))*(1+$D$7))</f>
        <v>369000</v>
      </c>
      <c r="W26" s="7">
        <f>LamChanHangNgan((PhiMayCatDecalVuong(W$14,$D26,$E26)+ PhiMayInToner4M(ROUNDUP(W$14/$F26,0)*$E$6)+ (ROUNDUP(W$14/$F26,0)*$D$11))*(1+$D$7))</f>
        <v>399000</v>
      </c>
      <c r="X26" s="7">
        <f>LamChanHangNgan((PhiMayCatDecalVuong(X$14,$D26,$E26)+ PhiMayInToner4M(ROUNDUP(X$14/$F26,0)*$E$6)+ (ROUNDUP(X$14/$F26,0)*$D$11))*(1+$D$7))</f>
        <v>429000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4">
        <f t="shared" si="2"/>
        <v>56</v>
      </c>
      <c r="G27" s="7">
        <f>LamChanHangNgan((PhiMayCatDecalVuong(G$14,$D27,$E27)+ PhiMayInToner4M(ROUNDUP(G$14/$F27,0)*$E$6)+ (ROUNDUP(G$14/$F27,0)*$D$11))*(1+$D$7))</f>
        <v>140000</v>
      </c>
      <c r="H27" s="7">
        <f>LamChanHangNgan((PhiMayCatDecalVuong(H$14,$D27,$E27)+ PhiMayInToner4M(ROUNDUP(H$14/$F27,0)*$E$6)+ (ROUNDUP(H$14/$F27,0)*$D$11))*(1+$D$7))</f>
        <v>147000</v>
      </c>
      <c r="I27" s="7">
        <f>LamChanHangNgan((PhiMayCatDecalVuong(I$14,$D27,$E27)+ PhiMayInToner4M(ROUNDUP(I$14/$F27,0)*$E$6)+ (ROUNDUP(I$14/$F27,0)*$D$11))*(1+$D$7))</f>
        <v>155000</v>
      </c>
      <c r="J27" s="7">
        <f>LamChanHangNgan((PhiMayCatDecalVuong(J$14,$D27,$E27)+ PhiMayInToner4M(ROUNDUP(J$14/$F27,0)*$E$6)+ (ROUNDUP(J$14/$F27,0)*$D$11))*(1+$D$7))</f>
        <v>162000</v>
      </c>
      <c r="K27" s="7">
        <f>LamChanHangNgan((PhiMayCatDecalVuong(K$14,$D27,$E27)+ PhiMayInToner4M(ROUNDUP(K$14/$F27,0)*$E$6)+ (ROUNDUP(K$14/$F27,0)*$D$11))*(1+$D$7))</f>
        <v>166000</v>
      </c>
      <c r="L27" s="7">
        <f>LamChanHangNgan((PhiMayCatDecalVuong(L$14,$D27,$E27)+ PhiMayInToner4M(ROUNDUP(L$14/$F27,0)*$E$6)+ (ROUNDUP(L$14/$F27,0)*$D$11))*(1+$D$7))</f>
        <v>173000</v>
      </c>
      <c r="M27" s="7">
        <f>LamChanHangNgan((PhiMayCatDecalVuong(M$14,$D27,$E27)+ PhiMayInToner4M(ROUNDUP(M$14/$F27,0)*$E$6)+ (ROUNDUP(M$14/$F27,0)*$D$11))*(1+$D$7))</f>
        <v>181000</v>
      </c>
      <c r="N27" s="7">
        <f>LamChanHangNgan((PhiMayCatDecalVuong(N$14,$D27,$E27)+ PhiMayInToner4M(ROUNDUP(N$14/$F27,0)*$E$6)+ (ROUNDUP(N$14/$F27,0)*$D$11))*(1+$D$7))</f>
        <v>188000</v>
      </c>
      <c r="O27" s="7">
        <f>LamChanHangNgan((PhiMayCatDecalVuong(O$14,$D27,$E27)+ PhiMayInToner4M(ROUNDUP(O$14/$F27,0)*$E$6)+ (ROUNDUP(O$14/$F27,0)*$D$11))*(1+$D$7))</f>
        <v>196000</v>
      </c>
      <c r="P27" s="7">
        <f>LamChanHangNgan((PhiMayCatDecalVuong(P$14,$D27,$E27)+ PhiMayInToner4M(ROUNDUP(P$14/$F27,0)*$E$6)+ (ROUNDUP(P$14/$F27,0)*$D$11))*(1+$D$7))</f>
        <v>200000</v>
      </c>
      <c r="Q27" s="7">
        <f>LamChanHangNgan((PhiMayCatDecalVuong(Q$14,$D27,$E27)+ PhiMayInToner4M(ROUNDUP(Q$14/$F27,0)*$E$6)+ (ROUNDUP(Q$14/$F27,0)*$D$11))*(1+$D$7))</f>
        <v>233000</v>
      </c>
      <c r="R27" s="7">
        <f>LamChanHangNgan((PhiMayCatDecalVuong(R$14,$D27,$E27)+ PhiMayInToner4M(ROUNDUP(R$14/$F27,0)*$E$6)+ (ROUNDUP(R$14/$F27,0)*$D$11))*(1+$D$7))</f>
        <v>267000</v>
      </c>
      <c r="S27" s="7">
        <f>LamChanHangNgan((PhiMayCatDecalVuong(S$14,$D27,$E27)+ PhiMayInToner4M(ROUNDUP(S$14/$F27,0)*$E$6)+ (ROUNDUP(S$14/$F27,0)*$D$11))*(1+$D$7))</f>
        <v>301000</v>
      </c>
      <c r="T27" s="7">
        <f>LamChanHangNgan((PhiMayCatDecalVuong(T$14,$D27,$E27)+ PhiMayInToner4M(ROUNDUP(T$14/$F27,0)*$E$6)+ (ROUNDUP(T$14/$F27,0)*$D$11))*(1+$D$7))</f>
        <v>334000</v>
      </c>
      <c r="U27" s="7">
        <f>LamChanHangNgan((PhiMayCatDecalVuong(U$14,$D27,$E27)+ PhiMayInToner4M(ROUNDUP(U$14/$F27,0)*$E$6)+ (ROUNDUP(U$14/$F27,0)*$D$11))*(1+$D$7))</f>
        <v>368000</v>
      </c>
      <c r="V27" s="7">
        <f>LamChanHangNgan((PhiMayCatDecalVuong(V$14,$D27,$E27)+ PhiMayInToner4M(ROUNDUP(V$14/$F27,0)*$E$6)+ (ROUNDUP(V$14/$F27,0)*$D$11))*(1+$D$7))</f>
        <v>402000</v>
      </c>
      <c r="W27" s="7">
        <f>LamChanHangNgan((PhiMayCatDecalVuong(W$14,$D27,$E27)+ PhiMayInToner4M(ROUNDUP(W$14/$F27,0)*$E$6)+ (ROUNDUP(W$14/$F27,0)*$D$11))*(1+$D$7))</f>
        <v>435000</v>
      </c>
      <c r="X27" s="7">
        <f>LamChanHangNgan((PhiMayCatDecalVuong(X$14,$D27,$E27)+ PhiMayInToner4M(ROUNDUP(X$14/$F27,0)*$E$6)+ (ROUNDUP(X$14/$F27,0)*$D$11))*(1+$D$7))</f>
        <v>469000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4">
        <f t="shared" si="2"/>
        <v>56</v>
      </c>
      <c r="G28" s="7">
        <f>LamChanHangNgan((PhiMayCatDecalVuong(G$14,$D28,$E28)+ PhiMayInToner4M(ROUNDUP(G$14/$F28,0)*$E$6)+ (ROUNDUP(G$14/$F28,0)*$D$11))*(1+$D$7))</f>
        <v>140000</v>
      </c>
      <c r="H28" s="7">
        <f>LamChanHangNgan((PhiMayCatDecalVuong(H$14,$D28,$E28)+ PhiMayInToner4M(ROUNDUP(H$14/$F28,0)*$E$6)+ (ROUNDUP(H$14/$F28,0)*$D$11))*(1+$D$7))</f>
        <v>147000</v>
      </c>
      <c r="I28" s="7">
        <f>LamChanHangNgan((PhiMayCatDecalVuong(I$14,$D28,$E28)+ PhiMayInToner4M(ROUNDUP(I$14/$F28,0)*$E$6)+ (ROUNDUP(I$14/$F28,0)*$D$11))*(1+$D$7))</f>
        <v>155000</v>
      </c>
      <c r="J28" s="7">
        <f>LamChanHangNgan((PhiMayCatDecalVuong(J$14,$D28,$E28)+ PhiMayInToner4M(ROUNDUP(J$14/$F28,0)*$E$6)+ (ROUNDUP(J$14/$F28,0)*$D$11))*(1+$D$7))</f>
        <v>162000</v>
      </c>
      <c r="K28" s="7">
        <f>LamChanHangNgan((PhiMayCatDecalVuong(K$14,$D28,$E28)+ PhiMayInToner4M(ROUNDUP(K$14/$F28,0)*$E$6)+ (ROUNDUP(K$14/$F28,0)*$D$11))*(1+$D$7))</f>
        <v>166000</v>
      </c>
      <c r="L28" s="7">
        <f>LamChanHangNgan((PhiMayCatDecalVuong(L$14,$D28,$E28)+ PhiMayInToner4M(ROUNDUP(L$14/$F28,0)*$E$6)+ (ROUNDUP(L$14/$F28,0)*$D$11))*(1+$D$7))</f>
        <v>173000</v>
      </c>
      <c r="M28" s="7">
        <f>LamChanHangNgan((PhiMayCatDecalVuong(M$14,$D28,$E28)+ PhiMayInToner4M(ROUNDUP(M$14/$F28,0)*$E$6)+ (ROUNDUP(M$14/$F28,0)*$D$11))*(1+$D$7))</f>
        <v>181000</v>
      </c>
      <c r="N28" s="7">
        <f>LamChanHangNgan((PhiMayCatDecalVuong(N$14,$D28,$E28)+ PhiMayInToner4M(ROUNDUP(N$14/$F28,0)*$E$6)+ (ROUNDUP(N$14/$F28,0)*$D$11))*(1+$D$7))</f>
        <v>188000</v>
      </c>
      <c r="O28" s="7">
        <f>LamChanHangNgan((PhiMayCatDecalVuong(O$14,$D28,$E28)+ PhiMayInToner4M(ROUNDUP(O$14/$F28,0)*$E$6)+ (ROUNDUP(O$14/$F28,0)*$D$11))*(1+$D$7))</f>
        <v>196000</v>
      </c>
      <c r="P28" s="7">
        <f>LamChanHangNgan((PhiMayCatDecalVuong(P$14,$D28,$E28)+ PhiMayInToner4M(ROUNDUP(P$14/$F28,0)*$E$6)+ (ROUNDUP(P$14/$F28,0)*$D$11))*(1+$D$7))</f>
        <v>200000</v>
      </c>
      <c r="Q28" s="7">
        <f>LamChanHangNgan((PhiMayCatDecalVuong(Q$14,$D28,$E28)+ PhiMayInToner4M(ROUNDUP(Q$14/$F28,0)*$E$6)+ (ROUNDUP(Q$14/$F28,0)*$D$11))*(1+$D$7))</f>
        <v>234000</v>
      </c>
      <c r="R28" s="7">
        <f>LamChanHangNgan((PhiMayCatDecalVuong(R$14,$D28,$E28)+ PhiMayInToner4M(ROUNDUP(R$14/$F28,0)*$E$6)+ (ROUNDUP(R$14/$F28,0)*$D$11))*(1+$D$7))</f>
        <v>267000</v>
      </c>
      <c r="S28" s="7">
        <f>LamChanHangNgan((PhiMayCatDecalVuong(S$14,$D28,$E28)+ PhiMayInToner4M(ROUNDUP(S$14/$F28,0)*$E$6)+ (ROUNDUP(S$14/$F28,0)*$D$11))*(1+$D$7))</f>
        <v>301000</v>
      </c>
      <c r="T28" s="7">
        <f>LamChanHangNgan((PhiMayCatDecalVuong(T$14,$D28,$E28)+ PhiMayInToner4M(ROUNDUP(T$14/$F28,0)*$E$6)+ (ROUNDUP(T$14/$F28,0)*$D$11))*(1+$D$7))</f>
        <v>335000</v>
      </c>
      <c r="U28" s="7">
        <f>LamChanHangNgan((PhiMayCatDecalVuong(U$14,$D28,$E28)+ PhiMayInToner4M(ROUNDUP(U$14/$F28,0)*$E$6)+ (ROUNDUP(U$14/$F28,0)*$D$11))*(1+$D$7))</f>
        <v>369000</v>
      </c>
      <c r="V28" s="7">
        <f>LamChanHangNgan((PhiMayCatDecalVuong(V$14,$D28,$E28)+ PhiMayInToner4M(ROUNDUP(V$14/$F28,0)*$E$6)+ (ROUNDUP(V$14/$F28,0)*$D$11))*(1+$D$7))</f>
        <v>403000</v>
      </c>
      <c r="W28" s="7">
        <f>LamChanHangNgan((PhiMayCatDecalVuong(W$14,$D28,$E28)+ PhiMayInToner4M(ROUNDUP(W$14/$F28,0)*$E$6)+ (ROUNDUP(W$14/$F28,0)*$D$11))*(1+$D$7))</f>
        <v>436000</v>
      </c>
      <c r="X28" s="7">
        <f>LamChanHangNgan((PhiMayCatDecalVuong(X$14,$D28,$E28)+ PhiMayInToner4M(ROUNDUP(X$14/$F28,0)*$E$6)+ (ROUNDUP(X$14/$F28,0)*$D$11))*(1+$D$7))</f>
        <v>470000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4">
        <f t="shared" si="2"/>
        <v>48</v>
      </c>
      <c r="G29" s="7">
        <f>LamChanHangNgan((PhiMayCatDecalVuong(G$14,$D29,$E29)+ PhiMayInToner4M(ROUNDUP(G$14/$F29,0)*$E$6)+ (ROUNDUP(G$14/$F29,0)*$D$11))*(1+$D$7))</f>
        <v>143000</v>
      </c>
      <c r="H29" s="7">
        <f>LamChanHangNgan((PhiMayCatDecalVuong(H$14,$D29,$E29)+ PhiMayInToner4M(ROUNDUP(H$14/$F29,0)*$E$6)+ (ROUNDUP(H$14/$F29,0)*$D$11))*(1+$D$7))</f>
        <v>151000</v>
      </c>
      <c r="I29" s="7">
        <f>LamChanHangNgan((PhiMayCatDecalVuong(I$14,$D29,$E29)+ PhiMayInToner4M(ROUNDUP(I$14/$F29,0)*$E$6)+ (ROUNDUP(I$14/$F29,0)*$D$11))*(1+$D$7))</f>
        <v>158000</v>
      </c>
      <c r="J29" s="7">
        <f>LamChanHangNgan((PhiMayCatDecalVuong(J$14,$D29,$E29)+ PhiMayInToner4M(ROUNDUP(J$14/$F29,0)*$E$6)+ (ROUNDUP(J$14/$F29,0)*$D$11))*(1+$D$7))</f>
        <v>166000</v>
      </c>
      <c r="K29" s="7">
        <f>LamChanHangNgan((PhiMayCatDecalVuong(K$14,$D29,$E29)+ PhiMayInToner4M(ROUNDUP(K$14/$F29,0)*$E$6)+ (ROUNDUP(K$14/$F29,0)*$D$11))*(1+$D$7))</f>
        <v>173000</v>
      </c>
      <c r="L29" s="7">
        <f>LamChanHangNgan((PhiMayCatDecalVuong(L$14,$D29,$E29)+ PhiMayInToner4M(ROUNDUP(L$14/$F29,0)*$E$6)+ (ROUNDUP(L$14/$F29,0)*$D$11))*(1+$D$7))</f>
        <v>181000</v>
      </c>
      <c r="M29" s="7">
        <f>LamChanHangNgan((PhiMayCatDecalVuong(M$14,$D29,$E29)+ PhiMayInToner4M(ROUNDUP(M$14/$F29,0)*$E$6)+ (ROUNDUP(M$14/$F29,0)*$D$11))*(1+$D$7))</f>
        <v>188000</v>
      </c>
      <c r="N29" s="7">
        <f>LamChanHangNgan((PhiMayCatDecalVuong(N$14,$D29,$E29)+ PhiMayInToner4M(ROUNDUP(N$14/$F29,0)*$E$6)+ (ROUNDUP(N$14/$F29,0)*$D$11))*(1+$D$7))</f>
        <v>196000</v>
      </c>
      <c r="O29" s="7">
        <f>LamChanHangNgan((PhiMayCatDecalVuong(O$14,$D29,$E29)+ PhiMayInToner4M(ROUNDUP(O$14/$F29,0)*$E$6)+ (ROUNDUP(O$14/$F29,0)*$D$11))*(1+$D$7))</f>
        <v>203000</v>
      </c>
      <c r="P29" s="7">
        <f>LamChanHangNgan((PhiMayCatDecalVuong(P$14,$D29,$E29)+ PhiMayInToner4M(ROUNDUP(P$14/$F29,0)*$E$6)+ (ROUNDUP(P$14/$F29,0)*$D$11))*(1+$D$7))</f>
        <v>211000</v>
      </c>
      <c r="Q29" s="7">
        <f>LamChanHangNgan((PhiMayCatDecalVuong(Q$14,$D29,$E29)+ PhiMayInToner4M(ROUNDUP(Q$14/$F29,0)*$E$6)+ (ROUNDUP(Q$14/$F29,0)*$D$11))*(1+$D$7))</f>
        <v>251000</v>
      </c>
      <c r="R29" s="7">
        <f>LamChanHangNgan((PhiMayCatDecalVuong(R$14,$D29,$E29)+ PhiMayInToner4M(ROUNDUP(R$14/$F29,0)*$E$6)+ (ROUNDUP(R$14/$F29,0)*$D$11))*(1+$D$7))</f>
        <v>289000</v>
      </c>
      <c r="S29" s="7">
        <f>LamChanHangNgan((PhiMayCatDecalVuong(S$14,$D29,$E29)+ PhiMayInToner4M(ROUNDUP(S$14/$F29,0)*$E$6)+ (ROUNDUP(S$14/$F29,0)*$D$11))*(1+$D$7))</f>
        <v>330000</v>
      </c>
      <c r="T29" s="7">
        <f>LamChanHangNgan((PhiMayCatDecalVuong(T$14,$D29,$E29)+ PhiMayInToner4M(ROUNDUP(T$14/$F29,0)*$E$6)+ (ROUNDUP(T$14/$F29,0)*$D$11))*(1+$D$7))</f>
        <v>367000</v>
      </c>
      <c r="U29" s="7">
        <f>LamChanHangNgan((PhiMayCatDecalVuong(U$14,$D29,$E29)+ PhiMayInToner4M(ROUNDUP(U$14/$F29,0)*$E$6)+ (ROUNDUP(U$14/$F29,0)*$D$11))*(1+$D$7))</f>
        <v>405000</v>
      </c>
      <c r="V29" s="7">
        <f>LamChanHangNgan((PhiMayCatDecalVuong(V$14,$D29,$E29)+ PhiMayInToner4M(ROUNDUP(V$14/$F29,0)*$E$6)+ (ROUNDUP(V$14/$F29,0)*$D$11))*(1+$D$7))</f>
        <v>446000</v>
      </c>
      <c r="W29" s="7">
        <f>LamChanHangNgan((PhiMayCatDecalVuong(W$14,$D29,$E29)+ PhiMayInToner4M(ROUNDUP(W$14/$F29,0)*$E$6)+ (ROUNDUP(W$14/$F29,0)*$D$11))*(1+$D$7))</f>
        <v>483000</v>
      </c>
      <c r="X29" s="7">
        <f>LamChanHangNgan((PhiMayCatDecalVuong(X$14,$D29,$E29)+ PhiMayInToner4M(ROUNDUP(X$14/$F29,0)*$E$6)+ (ROUNDUP(X$14/$F29,0)*$D$11))*(1+$D$7))</f>
        <v>524000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4">
        <f t="shared" si="2"/>
        <v>48</v>
      </c>
      <c r="G30" s="7">
        <f>LamChanHangNgan((PhiMayCatDecalVuong(G$14,$D30,$E30)+ PhiMayInToner4M(ROUNDUP(G$14/$F30,0)*$E$6)+ (ROUNDUP(G$14/$F30,0)*$D$11))*(1+$D$7))</f>
        <v>143000</v>
      </c>
      <c r="H30" s="7">
        <f>LamChanHangNgan((PhiMayCatDecalVuong(H$14,$D30,$E30)+ PhiMayInToner4M(ROUNDUP(H$14/$F30,0)*$E$6)+ (ROUNDUP(H$14/$F30,0)*$D$11))*(1+$D$7))</f>
        <v>151000</v>
      </c>
      <c r="I30" s="7">
        <f>LamChanHangNgan((PhiMayCatDecalVuong(I$14,$D30,$E30)+ PhiMayInToner4M(ROUNDUP(I$14/$F30,0)*$E$6)+ (ROUNDUP(I$14/$F30,0)*$D$11))*(1+$D$7))</f>
        <v>158000</v>
      </c>
      <c r="J30" s="7">
        <f>LamChanHangNgan((PhiMayCatDecalVuong(J$14,$D30,$E30)+ PhiMayInToner4M(ROUNDUP(J$14/$F30,0)*$E$6)+ (ROUNDUP(J$14/$F30,0)*$D$11))*(1+$D$7))</f>
        <v>166000</v>
      </c>
      <c r="K30" s="7">
        <f>LamChanHangNgan((PhiMayCatDecalVuong(K$14,$D30,$E30)+ PhiMayInToner4M(ROUNDUP(K$14/$F30,0)*$E$6)+ (ROUNDUP(K$14/$F30,0)*$D$11))*(1+$D$7))</f>
        <v>173000</v>
      </c>
      <c r="L30" s="7">
        <f>LamChanHangNgan((PhiMayCatDecalVuong(L$14,$D30,$E30)+ PhiMayInToner4M(ROUNDUP(L$14/$F30,0)*$E$6)+ (ROUNDUP(L$14/$F30,0)*$D$11))*(1+$D$7))</f>
        <v>181000</v>
      </c>
      <c r="M30" s="7">
        <f>LamChanHangNgan((PhiMayCatDecalVuong(M$14,$D30,$E30)+ PhiMayInToner4M(ROUNDUP(M$14/$F30,0)*$E$6)+ (ROUNDUP(M$14/$F30,0)*$D$11))*(1+$D$7))</f>
        <v>188000</v>
      </c>
      <c r="N30" s="7">
        <f>LamChanHangNgan((PhiMayCatDecalVuong(N$14,$D30,$E30)+ PhiMayInToner4M(ROUNDUP(N$14/$F30,0)*$E$6)+ (ROUNDUP(N$14/$F30,0)*$D$11))*(1+$D$7))</f>
        <v>196000</v>
      </c>
      <c r="O30" s="7">
        <f>LamChanHangNgan((PhiMayCatDecalVuong(O$14,$D30,$E30)+ PhiMayInToner4M(ROUNDUP(O$14/$F30,0)*$E$6)+ (ROUNDUP(O$14/$F30,0)*$D$11))*(1+$D$7))</f>
        <v>203000</v>
      </c>
      <c r="P30" s="7">
        <f>LamChanHangNgan((PhiMayCatDecalVuong(P$14,$D30,$E30)+ PhiMayInToner4M(ROUNDUP(P$14/$F30,0)*$E$6)+ (ROUNDUP(P$14/$F30,0)*$D$11))*(1+$D$7))</f>
        <v>211000</v>
      </c>
      <c r="Q30" s="7">
        <f>LamChanHangNgan((PhiMayCatDecalVuong(Q$14,$D30,$E30)+ PhiMayInToner4M(ROUNDUP(Q$14/$F30,0)*$E$6)+ (ROUNDUP(Q$14/$F30,0)*$D$11))*(1+$D$7))</f>
        <v>252000</v>
      </c>
      <c r="R30" s="7">
        <f>LamChanHangNgan((PhiMayCatDecalVuong(R$14,$D30,$E30)+ PhiMayInToner4M(ROUNDUP(R$14/$F30,0)*$E$6)+ (ROUNDUP(R$14/$F30,0)*$D$11))*(1+$D$7))</f>
        <v>289000</v>
      </c>
      <c r="S30" s="7">
        <f>LamChanHangNgan((PhiMayCatDecalVuong(S$14,$D30,$E30)+ PhiMayInToner4M(ROUNDUP(S$14/$F30,0)*$E$6)+ (ROUNDUP(S$14/$F30,0)*$D$11))*(1+$D$7))</f>
        <v>330000</v>
      </c>
      <c r="T30" s="7">
        <f>LamChanHangNgan((PhiMayCatDecalVuong(T$14,$D30,$E30)+ PhiMayInToner4M(ROUNDUP(T$14/$F30,0)*$E$6)+ (ROUNDUP(T$14/$F30,0)*$D$11))*(1+$D$7))</f>
        <v>368000</v>
      </c>
      <c r="U30" s="7">
        <f>LamChanHangNgan((PhiMayCatDecalVuong(U$14,$D30,$E30)+ PhiMayInToner4M(ROUNDUP(U$14/$F30,0)*$E$6)+ (ROUNDUP(U$14/$F30,0)*$D$11))*(1+$D$7))</f>
        <v>405000</v>
      </c>
      <c r="V30" s="7">
        <f>LamChanHangNgan((PhiMayCatDecalVuong(V$14,$D30,$E30)+ PhiMayInToner4M(ROUNDUP(V$14/$F30,0)*$E$6)+ (ROUNDUP(V$14/$F30,0)*$D$11))*(1+$D$7))</f>
        <v>447000</v>
      </c>
      <c r="W30" s="7">
        <f>LamChanHangNgan((PhiMayCatDecalVuong(W$14,$D30,$E30)+ PhiMayInToner4M(ROUNDUP(W$14/$F30,0)*$E$6)+ (ROUNDUP(W$14/$F30,0)*$D$11))*(1+$D$7))</f>
        <v>484000</v>
      </c>
      <c r="X30" s="7">
        <f>LamChanHangNgan((PhiMayCatDecalVuong(X$14,$D30,$E30)+ PhiMayInToner4M(ROUNDUP(X$14/$F30,0)*$E$6)+ (ROUNDUP(X$14/$F30,0)*$D$11))*(1+$D$7))</f>
        <v>525000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4">
        <f t="shared" si="2"/>
        <v>40</v>
      </c>
      <c r="G31" s="7">
        <f>LamChanHangNgan((PhiMayCatDecalVuong(G$14,$D31,$E31)+ PhiMayInToner4M(ROUNDUP(G$14/$F31,0)*$E$6)+ (ROUNDUP(G$14/$F31,0)*$D$11))*(1+$D$7))</f>
        <v>143000</v>
      </c>
      <c r="H31" s="7">
        <f>LamChanHangNgan((PhiMayCatDecalVuong(H$14,$D31,$E31)+ PhiMayInToner4M(ROUNDUP(H$14/$F31,0)*$E$6)+ (ROUNDUP(H$14/$F31,0)*$D$11))*(1+$D$7))</f>
        <v>151000</v>
      </c>
      <c r="I31" s="7">
        <f>LamChanHangNgan((PhiMayCatDecalVuong(I$14,$D31,$E31)+ PhiMayInToner4M(ROUNDUP(I$14/$F31,0)*$E$6)+ (ROUNDUP(I$14/$F31,0)*$D$11))*(1+$D$7))</f>
        <v>162000</v>
      </c>
      <c r="J31" s="7">
        <f>LamChanHangNgan((PhiMayCatDecalVuong(J$14,$D31,$E31)+ PhiMayInToner4M(ROUNDUP(J$14/$F31,0)*$E$6)+ (ROUNDUP(J$14/$F31,0)*$D$11))*(1+$D$7))</f>
        <v>169000</v>
      </c>
      <c r="K31" s="7">
        <f>LamChanHangNgan((PhiMayCatDecalVuong(K$14,$D31,$E31)+ PhiMayInToner4M(ROUNDUP(K$14/$F31,0)*$E$6)+ (ROUNDUP(K$14/$F31,0)*$D$11))*(1+$D$7))</f>
        <v>180000</v>
      </c>
      <c r="L31" s="7">
        <f>LamChanHangNgan((PhiMayCatDecalVuong(L$14,$D31,$E31)+ PhiMayInToner4M(ROUNDUP(L$14/$F31,0)*$E$6)+ (ROUNDUP(L$14/$F31,0)*$D$11))*(1+$D$7))</f>
        <v>188000</v>
      </c>
      <c r="M31" s="7">
        <f>LamChanHangNgan((PhiMayCatDecalVuong(M$14,$D31,$E31)+ PhiMayInToner4M(ROUNDUP(M$14/$F31,0)*$E$6)+ (ROUNDUP(M$14/$F31,0)*$D$11))*(1+$D$7))</f>
        <v>199000</v>
      </c>
      <c r="N31" s="7">
        <f>LamChanHangNgan((PhiMayCatDecalVuong(N$14,$D31,$E31)+ PhiMayInToner4M(ROUNDUP(N$14/$F31,0)*$E$6)+ (ROUNDUP(N$14/$F31,0)*$D$11))*(1+$D$7))</f>
        <v>206000</v>
      </c>
      <c r="O31" s="7">
        <f>LamChanHangNgan((PhiMayCatDecalVuong(O$14,$D31,$E31)+ PhiMayInToner4M(ROUNDUP(O$14/$F31,0)*$E$6)+ (ROUNDUP(O$14/$F31,0)*$D$11))*(1+$D$7))</f>
        <v>218000</v>
      </c>
      <c r="P31" s="7">
        <f>LamChanHangNgan((PhiMayCatDecalVuong(P$14,$D31,$E31)+ PhiMayInToner4M(ROUNDUP(P$14/$F31,0)*$E$6)+ (ROUNDUP(P$14/$F31,0)*$D$11))*(1+$D$7))</f>
        <v>225000</v>
      </c>
      <c r="Q31" s="7">
        <f>LamChanHangNgan((PhiMayCatDecalVuong(Q$14,$D31,$E31)+ PhiMayInToner4M(ROUNDUP(Q$14/$F31,0)*$E$6)+ (ROUNDUP(Q$14/$F31,0)*$D$11))*(1+$D$7))</f>
        <v>273000</v>
      </c>
      <c r="R31" s="7">
        <f>LamChanHangNgan((PhiMayCatDecalVuong(R$14,$D31,$E31)+ PhiMayInToner4M(ROUNDUP(R$14/$F31,0)*$E$6)+ (ROUNDUP(R$14/$F31,0)*$D$11))*(1+$D$7))</f>
        <v>318000</v>
      </c>
      <c r="S31" s="7">
        <f>LamChanHangNgan((PhiMayCatDecalVuong(S$14,$D31,$E31)+ PhiMayInToner4M(ROUNDUP(S$14/$F31,0)*$E$6)+ (ROUNDUP(S$14/$F31,0)*$D$11))*(1+$D$7))</f>
        <v>366000</v>
      </c>
      <c r="T31" s="7">
        <f>LamChanHangNgan((PhiMayCatDecalVuong(T$14,$D31,$E31)+ PhiMayInToner4M(ROUNDUP(T$14/$F31,0)*$E$6)+ (ROUNDUP(T$14/$F31,0)*$D$11))*(1+$D$7))</f>
        <v>411000</v>
      </c>
      <c r="U31" s="7">
        <f>LamChanHangNgan((PhiMayCatDecalVuong(U$14,$D31,$E31)+ PhiMayInToner4M(ROUNDUP(U$14/$F31,0)*$E$6)+ (ROUNDUP(U$14/$F31,0)*$D$11))*(1+$D$7))</f>
        <v>459000</v>
      </c>
      <c r="V31" s="7">
        <f>LamChanHangNgan((PhiMayCatDecalVuong(V$14,$D31,$E31)+ PhiMayInToner4M(ROUNDUP(V$14/$F31,0)*$E$6)+ (ROUNDUP(V$14/$F31,0)*$D$11))*(1+$D$7))</f>
        <v>504000</v>
      </c>
      <c r="W31" s="7">
        <f>LamChanHangNgan((PhiMayCatDecalVuong(W$14,$D31,$E31)+ PhiMayInToner4M(ROUNDUP(W$14/$F31,0)*$E$6)+ (ROUNDUP(W$14/$F31,0)*$D$11))*(1+$D$7))</f>
        <v>552000</v>
      </c>
      <c r="X31" s="7">
        <f>LamChanHangNgan((PhiMayCatDecalVuong(X$14,$D31,$E31)+ PhiMayInToner4M(ROUNDUP(X$14/$F31,0)*$E$6)+ (ROUNDUP(X$14/$F31,0)*$D$11))*(1+$D$7))</f>
        <v>596000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4">
        <f t="shared" si="2"/>
        <v>56</v>
      </c>
      <c r="G32" s="7">
        <f>LamChanHangNgan((PhiMayCatDecalVuong(G$14,$D32,$E32)+ PhiMayInToner4M(ROUNDUP(G$14/$F32,0)*$E$6)+ (ROUNDUP(G$14/$F32,0)*$D$11))*(1+$D$7))</f>
        <v>140000</v>
      </c>
      <c r="H32" s="7">
        <f>LamChanHangNgan((PhiMayCatDecalVuong(H$14,$D32,$E32)+ PhiMayInToner4M(ROUNDUP(H$14/$F32,0)*$E$6)+ (ROUNDUP(H$14/$F32,0)*$D$11))*(1+$D$7))</f>
        <v>147000</v>
      </c>
      <c r="I32" s="7">
        <f>LamChanHangNgan((PhiMayCatDecalVuong(I$14,$D32,$E32)+ PhiMayInToner4M(ROUNDUP(I$14/$F32,0)*$E$6)+ (ROUNDUP(I$14/$F32,0)*$D$11))*(1+$D$7))</f>
        <v>155000</v>
      </c>
      <c r="J32" s="7">
        <f>LamChanHangNgan((PhiMayCatDecalVuong(J$14,$D32,$E32)+ PhiMayInToner4M(ROUNDUP(J$14/$F32,0)*$E$6)+ (ROUNDUP(J$14/$F32,0)*$D$11))*(1+$D$7))</f>
        <v>162000</v>
      </c>
      <c r="K32" s="7">
        <f>LamChanHangNgan((PhiMayCatDecalVuong(K$14,$D32,$E32)+ PhiMayInToner4M(ROUNDUP(K$14/$F32,0)*$E$6)+ (ROUNDUP(K$14/$F32,0)*$D$11))*(1+$D$7))</f>
        <v>166000</v>
      </c>
      <c r="L32" s="7">
        <f>LamChanHangNgan((PhiMayCatDecalVuong(L$14,$D32,$E32)+ PhiMayInToner4M(ROUNDUP(L$14/$F32,0)*$E$6)+ (ROUNDUP(L$14/$F32,0)*$D$11))*(1+$D$7))</f>
        <v>173000</v>
      </c>
      <c r="M32" s="7">
        <f>LamChanHangNgan((PhiMayCatDecalVuong(M$14,$D32,$E32)+ PhiMayInToner4M(ROUNDUP(M$14/$F32,0)*$E$6)+ (ROUNDUP(M$14/$F32,0)*$D$11))*(1+$D$7))</f>
        <v>181000</v>
      </c>
      <c r="N32" s="7">
        <f>LamChanHangNgan((PhiMayCatDecalVuong(N$14,$D32,$E32)+ PhiMayInToner4M(ROUNDUP(N$14/$F32,0)*$E$6)+ (ROUNDUP(N$14/$F32,0)*$D$11))*(1+$D$7))</f>
        <v>188000</v>
      </c>
      <c r="O32" s="7">
        <f>LamChanHangNgan((PhiMayCatDecalVuong(O$14,$D32,$E32)+ PhiMayInToner4M(ROUNDUP(O$14/$F32,0)*$E$6)+ (ROUNDUP(O$14/$F32,0)*$D$11))*(1+$D$7))</f>
        <v>196000</v>
      </c>
      <c r="P32" s="7">
        <f>LamChanHangNgan((PhiMayCatDecalVuong(P$14,$D32,$E32)+ PhiMayInToner4M(ROUNDUP(P$14/$F32,0)*$E$6)+ (ROUNDUP(P$14/$F32,0)*$D$11))*(1+$D$7))</f>
        <v>200000</v>
      </c>
      <c r="Q32" s="7">
        <f>LamChanHangNgan((PhiMayCatDecalVuong(Q$14,$D32,$E32)+ PhiMayInToner4M(ROUNDUP(Q$14/$F32,0)*$E$6)+ (ROUNDUP(Q$14/$F32,0)*$D$11))*(1+$D$7))</f>
        <v>233000</v>
      </c>
      <c r="R32" s="7">
        <f>LamChanHangNgan((PhiMayCatDecalVuong(R$14,$D32,$E32)+ PhiMayInToner4M(ROUNDUP(R$14/$F32,0)*$E$6)+ (ROUNDUP(R$14/$F32,0)*$D$11))*(1+$D$7))</f>
        <v>267000</v>
      </c>
      <c r="S32" s="7">
        <f>LamChanHangNgan((PhiMayCatDecalVuong(S$14,$D32,$E32)+ PhiMayInToner4M(ROUNDUP(S$14/$F32,0)*$E$6)+ (ROUNDUP(S$14/$F32,0)*$D$11))*(1+$D$7))</f>
        <v>301000</v>
      </c>
      <c r="T32" s="7">
        <f>LamChanHangNgan((PhiMayCatDecalVuong(T$14,$D32,$E32)+ PhiMayInToner4M(ROUNDUP(T$14/$F32,0)*$E$6)+ (ROUNDUP(T$14/$F32,0)*$D$11))*(1+$D$7))</f>
        <v>334000</v>
      </c>
      <c r="U32" s="7">
        <f>LamChanHangNgan((PhiMayCatDecalVuong(U$14,$D32,$E32)+ PhiMayInToner4M(ROUNDUP(U$14/$F32,0)*$E$6)+ (ROUNDUP(U$14/$F32,0)*$D$11))*(1+$D$7))</f>
        <v>368000</v>
      </c>
      <c r="V32" s="7">
        <f>LamChanHangNgan((PhiMayCatDecalVuong(V$14,$D32,$E32)+ PhiMayInToner4M(ROUNDUP(V$14/$F32,0)*$E$6)+ (ROUNDUP(V$14/$F32,0)*$D$11))*(1+$D$7))</f>
        <v>402000</v>
      </c>
      <c r="W32" s="7">
        <f>LamChanHangNgan((PhiMayCatDecalVuong(W$14,$D32,$E32)+ PhiMayInToner4M(ROUNDUP(W$14/$F32,0)*$E$6)+ (ROUNDUP(W$14/$F32,0)*$D$11))*(1+$D$7))</f>
        <v>435000</v>
      </c>
      <c r="X32" s="7">
        <f>LamChanHangNgan((PhiMayCatDecalVuong(X$14,$D32,$E32)+ PhiMayInToner4M(ROUNDUP(X$14/$F32,0)*$E$6)+ (ROUNDUP(X$14/$F32,0)*$D$11))*(1+$D$7))</f>
        <v>469000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4">
        <f t="shared" si="2"/>
        <v>42</v>
      </c>
      <c r="G33" s="7">
        <f>LamChanHangNgan((PhiMayCatDecalVuong(G$14,$D33,$E33)+ PhiMayInToner4M(ROUNDUP(G$14/$F33,0)*$E$6)+ (ROUNDUP(G$14/$F33,0)*$D$11))*(1+$D$7))</f>
        <v>143000</v>
      </c>
      <c r="H33" s="7">
        <f>LamChanHangNgan((PhiMayCatDecalVuong(H$14,$D33,$E33)+ PhiMayInToner4M(ROUNDUP(H$14/$F33,0)*$E$6)+ (ROUNDUP(H$14/$F33,0)*$D$11))*(1+$D$7))</f>
        <v>151000</v>
      </c>
      <c r="I33" s="7">
        <f>LamChanHangNgan((PhiMayCatDecalVuong(I$14,$D33,$E33)+ PhiMayInToner4M(ROUNDUP(I$14/$F33,0)*$E$6)+ (ROUNDUP(I$14/$F33,0)*$D$11))*(1+$D$7))</f>
        <v>162000</v>
      </c>
      <c r="J33" s="7">
        <f>LamChanHangNgan((PhiMayCatDecalVuong(J$14,$D33,$E33)+ PhiMayInToner4M(ROUNDUP(J$14/$F33,0)*$E$6)+ (ROUNDUP(J$14/$F33,0)*$D$11))*(1+$D$7))</f>
        <v>169000</v>
      </c>
      <c r="K33" s="7">
        <f>LamChanHangNgan((PhiMayCatDecalVuong(K$14,$D33,$E33)+ PhiMayInToner4M(ROUNDUP(K$14/$F33,0)*$E$6)+ (ROUNDUP(K$14/$F33,0)*$D$11))*(1+$D$7))</f>
        <v>177000</v>
      </c>
      <c r="L33" s="7">
        <f>LamChanHangNgan((PhiMayCatDecalVuong(L$14,$D33,$E33)+ PhiMayInToner4M(ROUNDUP(L$14/$F33,0)*$E$6)+ (ROUNDUP(L$14/$F33,0)*$D$11))*(1+$D$7))</f>
        <v>188000</v>
      </c>
      <c r="M33" s="7">
        <f>LamChanHangNgan((PhiMayCatDecalVuong(M$14,$D33,$E33)+ PhiMayInToner4M(ROUNDUP(M$14/$F33,0)*$E$6)+ (ROUNDUP(M$14/$F33,0)*$D$11))*(1+$D$7))</f>
        <v>195000</v>
      </c>
      <c r="N33" s="7">
        <f>LamChanHangNgan((PhiMayCatDecalVuong(N$14,$D33,$E33)+ PhiMayInToner4M(ROUNDUP(N$14/$F33,0)*$E$6)+ (ROUNDUP(N$14/$F33,0)*$D$11))*(1+$D$7))</f>
        <v>206000</v>
      </c>
      <c r="O33" s="7">
        <f>LamChanHangNgan((PhiMayCatDecalVuong(O$14,$D33,$E33)+ PhiMayInToner4M(ROUNDUP(O$14/$F33,0)*$E$6)+ (ROUNDUP(O$14/$F33,0)*$D$11))*(1+$D$7))</f>
        <v>214000</v>
      </c>
      <c r="P33" s="7">
        <f>LamChanHangNgan((PhiMayCatDecalVuong(P$14,$D33,$E33)+ PhiMayInToner4M(ROUNDUP(P$14/$F33,0)*$E$6)+ (ROUNDUP(P$14/$F33,0)*$D$11))*(1+$D$7))</f>
        <v>221000</v>
      </c>
      <c r="Q33" s="7">
        <f>LamChanHangNgan((PhiMayCatDecalVuong(Q$14,$D33,$E33)+ PhiMayInToner4M(ROUNDUP(Q$14/$F33,0)*$E$6)+ (ROUNDUP(Q$14/$F33,0)*$D$11))*(1+$D$7))</f>
        <v>266000</v>
      </c>
      <c r="R33" s="7">
        <f>LamChanHangNgan((PhiMayCatDecalVuong(R$14,$D33,$E33)+ PhiMayInToner4M(ROUNDUP(R$14/$F33,0)*$E$6)+ (ROUNDUP(R$14/$F33,0)*$D$11))*(1+$D$7))</f>
        <v>310000</v>
      </c>
      <c r="S33" s="7">
        <f>LamChanHangNgan((PhiMayCatDecalVuong(S$14,$D33,$E33)+ PhiMayInToner4M(ROUNDUP(S$14/$F33,0)*$E$6)+ (ROUNDUP(S$14/$F33,0)*$D$11))*(1+$D$7))</f>
        <v>354000</v>
      </c>
      <c r="T33" s="7">
        <f>LamChanHangNgan((PhiMayCatDecalVuong(T$14,$D33,$E33)+ PhiMayInToner4M(ROUNDUP(T$14/$F33,0)*$E$6)+ (ROUNDUP(T$14/$F33,0)*$D$11))*(1+$D$7))</f>
        <v>399000</v>
      </c>
      <c r="U33" s="7">
        <f>LamChanHangNgan((PhiMayCatDecalVuong(U$14,$D33,$E33)+ PhiMayInToner4M(ROUNDUP(U$14/$F33,0)*$E$6)+ (ROUNDUP(U$14/$F33,0)*$D$11))*(1+$D$7))</f>
        <v>443000</v>
      </c>
      <c r="V33" s="7">
        <f>LamChanHangNgan((PhiMayCatDecalVuong(V$14,$D33,$E33)+ PhiMayInToner4M(ROUNDUP(V$14/$F33,0)*$E$6)+ (ROUNDUP(V$14/$F33,0)*$D$11))*(1+$D$7))</f>
        <v>488000</v>
      </c>
      <c r="W33" s="7">
        <f>LamChanHangNgan((PhiMayCatDecalVuong(W$14,$D33,$E33)+ PhiMayInToner4M(ROUNDUP(W$14/$F33,0)*$E$6)+ (ROUNDUP(W$14/$F33,0)*$D$11))*(1+$D$7))</f>
        <v>532000</v>
      </c>
      <c r="X33" s="7">
        <f>LamChanHangNgan((PhiMayCatDecalVuong(X$14,$D33,$E33)+ PhiMayInToner4M(ROUNDUP(X$14/$F33,0)*$E$6)+ (ROUNDUP(X$14/$F33,0)*$D$11))*(1+$D$7))</f>
        <v>577000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4">
        <f t="shared" si="2"/>
        <v>42</v>
      </c>
      <c r="G34" s="7">
        <f>LamChanHangNgan((PhiMayCatDecalVuong(G$14,$D34,$E34)+ PhiMayInToner4M(ROUNDUP(G$14/$F34,0)*$E$6)+ (ROUNDUP(G$14/$F34,0)*$D$11))*(1+$D$7))</f>
        <v>143000</v>
      </c>
      <c r="H34" s="7">
        <f>LamChanHangNgan((PhiMayCatDecalVuong(H$14,$D34,$E34)+ PhiMayInToner4M(ROUNDUP(H$14/$F34,0)*$E$6)+ (ROUNDUP(H$14/$F34,0)*$D$11))*(1+$D$7))</f>
        <v>151000</v>
      </c>
      <c r="I34" s="7">
        <f>LamChanHangNgan((PhiMayCatDecalVuong(I$14,$D34,$E34)+ PhiMayInToner4M(ROUNDUP(I$14/$F34,0)*$E$6)+ (ROUNDUP(I$14/$F34,0)*$D$11))*(1+$D$7))</f>
        <v>162000</v>
      </c>
      <c r="J34" s="7">
        <f>LamChanHangNgan((PhiMayCatDecalVuong(J$14,$D34,$E34)+ PhiMayInToner4M(ROUNDUP(J$14/$F34,0)*$E$6)+ (ROUNDUP(J$14/$F34,0)*$D$11))*(1+$D$7))</f>
        <v>169000</v>
      </c>
      <c r="K34" s="7">
        <f>LamChanHangNgan((PhiMayCatDecalVuong(K$14,$D34,$E34)+ PhiMayInToner4M(ROUNDUP(K$14/$F34,0)*$E$6)+ (ROUNDUP(K$14/$F34,0)*$D$11))*(1+$D$7))</f>
        <v>177000</v>
      </c>
      <c r="L34" s="7">
        <f>LamChanHangNgan((PhiMayCatDecalVuong(L$14,$D34,$E34)+ PhiMayInToner4M(ROUNDUP(L$14/$F34,0)*$E$6)+ (ROUNDUP(L$14/$F34,0)*$D$11))*(1+$D$7))</f>
        <v>188000</v>
      </c>
      <c r="M34" s="7">
        <f>LamChanHangNgan((PhiMayCatDecalVuong(M$14,$D34,$E34)+ PhiMayInToner4M(ROUNDUP(M$14/$F34,0)*$E$6)+ (ROUNDUP(M$14/$F34,0)*$D$11))*(1+$D$7))</f>
        <v>195000</v>
      </c>
      <c r="N34" s="7">
        <f>LamChanHangNgan((PhiMayCatDecalVuong(N$14,$D34,$E34)+ PhiMayInToner4M(ROUNDUP(N$14/$F34,0)*$E$6)+ (ROUNDUP(N$14/$F34,0)*$D$11))*(1+$D$7))</f>
        <v>206000</v>
      </c>
      <c r="O34" s="7">
        <f>LamChanHangNgan((PhiMayCatDecalVuong(O$14,$D34,$E34)+ PhiMayInToner4M(ROUNDUP(O$14/$F34,0)*$E$6)+ (ROUNDUP(O$14/$F34,0)*$D$11))*(1+$D$7))</f>
        <v>214000</v>
      </c>
      <c r="P34" s="7">
        <f>LamChanHangNgan((PhiMayCatDecalVuong(P$14,$D34,$E34)+ PhiMayInToner4M(ROUNDUP(P$14/$F34,0)*$E$6)+ (ROUNDUP(P$14/$F34,0)*$D$11))*(1+$D$7))</f>
        <v>221000</v>
      </c>
      <c r="Q34" s="7">
        <f>LamChanHangNgan((PhiMayCatDecalVuong(Q$14,$D34,$E34)+ PhiMayInToner4M(ROUNDUP(Q$14/$F34,0)*$E$6)+ (ROUNDUP(Q$14/$F34,0)*$D$11))*(1+$D$7))</f>
        <v>266000</v>
      </c>
      <c r="R34" s="7">
        <f>LamChanHangNgan((PhiMayCatDecalVuong(R$14,$D34,$E34)+ PhiMayInToner4M(ROUNDUP(R$14/$F34,0)*$E$6)+ (ROUNDUP(R$14/$F34,0)*$D$11))*(1+$D$7))</f>
        <v>310000</v>
      </c>
      <c r="S34" s="7">
        <f>LamChanHangNgan((PhiMayCatDecalVuong(S$14,$D34,$E34)+ PhiMayInToner4M(ROUNDUP(S$14/$F34,0)*$E$6)+ (ROUNDUP(S$14/$F34,0)*$D$11))*(1+$D$7))</f>
        <v>355000</v>
      </c>
      <c r="T34" s="7">
        <f>LamChanHangNgan((PhiMayCatDecalVuong(T$14,$D34,$E34)+ PhiMayInToner4M(ROUNDUP(T$14/$F34,0)*$E$6)+ (ROUNDUP(T$14/$F34,0)*$D$11))*(1+$D$7))</f>
        <v>400000</v>
      </c>
      <c r="U34" s="7">
        <f>LamChanHangNgan((PhiMayCatDecalVuong(U$14,$D34,$E34)+ PhiMayInToner4M(ROUNDUP(U$14/$F34,0)*$E$6)+ (ROUNDUP(U$14/$F34,0)*$D$11))*(1+$D$7))</f>
        <v>444000</v>
      </c>
      <c r="V34" s="7">
        <f>LamChanHangNgan((PhiMayCatDecalVuong(V$14,$D34,$E34)+ PhiMayInToner4M(ROUNDUP(V$14/$F34,0)*$E$6)+ (ROUNDUP(V$14/$F34,0)*$D$11))*(1+$D$7))</f>
        <v>489000</v>
      </c>
      <c r="W34" s="7">
        <f>LamChanHangNgan((PhiMayCatDecalVuong(W$14,$D34,$E34)+ PhiMayInToner4M(ROUNDUP(W$14/$F34,0)*$E$6)+ (ROUNDUP(W$14/$F34,0)*$D$11))*(1+$D$7))</f>
        <v>533000</v>
      </c>
      <c r="X34" s="7">
        <f>LamChanHangNgan((PhiMayCatDecalVuong(X$14,$D34,$E34)+ PhiMayInToner4M(ROUNDUP(X$14/$F34,0)*$E$6)+ (ROUNDUP(X$14/$F34,0)*$D$11))*(1+$D$7))</f>
        <v>578000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4">
        <f t="shared" si="2"/>
        <v>36</v>
      </c>
      <c r="G35" s="7">
        <f>LamChanHangNgan((PhiMayCatDecalVuong(G$14,$D35,$E35)+ PhiMayInToner4M(ROUNDUP(G$14/$F35,0)*$E$6)+ (ROUNDUP(G$14/$F35,0)*$D$11))*(1+$D$7))</f>
        <v>143000</v>
      </c>
      <c r="H35" s="7">
        <f>LamChanHangNgan((PhiMayCatDecalVuong(H$14,$D35,$E35)+ PhiMayInToner4M(ROUNDUP(H$14/$F35,0)*$E$6)+ (ROUNDUP(H$14/$F35,0)*$D$11))*(1+$D$7))</f>
        <v>154000</v>
      </c>
      <c r="I35" s="7">
        <f>LamChanHangNgan((PhiMayCatDecalVuong(I$14,$D35,$E35)+ PhiMayInToner4M(ROUNDUP(I$14/$F35,0)*$E$6)+ (ROUNDUP(I$14/$F35,0)*$D$11))*(1+$D$7))</f>
        <v>165000</v>
      </c>
      <c r="J35" s="7">
        <f>LamChanHangNgan((PhiMayCatDecalVuong(J$14,$D35,$E35)+ PhiMayInToner4M(ROUNDUP(J$14/$F35,0)*$E$6)+ (ROUNDUP(J$14/$F35,0)*$D$11))*(1+$D$7))</f>
        <v>176000</v>
      </c>
      <c r="K35" s="7">
        <f>LamChanHangNgan((PhiMayCatDecalVuong(K$14,$D35,$E35)+ PhiMayInToner4M(ROUNDUP(K$14/$F35,0)*$E$6)+ (ROUNDUP(K$14/$F35,0)*$D$11))*(1+$D$7))</f>
        <v>184000</v>
      </c>
      <c r="L35" s="7">
        <f>LamChanHangNgan((PhiMayCatDecalVuong(L$14,$D35,$E35)+ PhiMayInToner4M(ROUNDUP(L$14/$F35,0)*$E$6)+ (ROUNDUP(L$14/$F35,0)*$D$11))*(1+$D$7))</f>
        <v>195000</v>
      </c>
      <c r="M35" s="7">
        <f>LamChanHangNgan((PhiMayCatDecalVuong(M$14,$D35,$E35)+ PhiMayInToner4M(ROUNDUP(M$14/$F35,0)*$E$6)+ (ROUNDUP(M$14/$F35,0)*$D$11))*(1+$D$7))</f>
        <v>206000</v>
      </c>
      <c r="N35" s="7">
        <f>LamChanHangNgan((PhiMayCatDecalVuong(N$14,$D35,$E35)+ PhiMayInToner4M(ROUNDUP(N$14/$F35,0)*$E$6)+ (ROUNDUP(N$14/$F35,0)*$D$11))*(1+$D$7))</f>
        <v>217000</v>
      </c>
      <c r="O35" s="7">
        <f>LamChanHangNgan((PhiMayCatDecalVuong(O$14,$D35,$E35)+ PhiMayInToner4M(ROUNDUP(O$14/$F35,0)*$E$6)+ (ROUNDUP(O$14/$F35,0)*$D$11))*(1+$D$7))</f>
        <v>225000</v>
      </c>
      <c r="P35" s="7">
        <f>LamChanHangNgan((PhiMayCatDecalVuong(P$14,$D35,$E35)+ PhiMayInToner4M(ROUNDUP(P$14/$F35,0)*$E$6)+ (ROUNDUP(P$14/$F35,0)*$D$11))*(1+$D$7))</f>
        <v>236000</v>
      </c>
      <c r="Q35" s="7">
        <f>LamChanHangNgan((PhiMayCatDecalVuong(Q$14,$D35,$E35)+ PhiMayInToner4M(ROUNDUP(Q$14/$F35,0)*$E$6)+ (ROUNDUP(Q$14/$F35,0)*$D$11))*(1+$D$7))</f>
        <v>287000</v>
      </c>
      <c r="R35" s="7">
        <f>LamChanHangNgan((PhiMayCatDecalVuong(R$14,$D35,$E35)+ PhiMayInToner4M(ROUNDUP(R$14/$F35,0)*$E$6)+ (ROUNDUP(R$14/$F35,0)*$D$11))*(1+$D$7))</f>
        <v>339000</v>
      </c>
      <c r="S35" s="7">
        <f>LamChanHangNgan((PhiMayCatDecalVuong(S$14,$D35,$E35)+ PhiMayInToner4M(ROUNDUP(S$14/$F35,0)*$E$6)+ (ROUNDUP(S$14/$F35,0)*$D$11))*(1+$D$7))</f>
        <v>391000</v>
      </c>
      <c r="T35" s="7">
        <f>LamChanHangNgan((PhiMayCatDecalVuong(T$14,$D35,$E35)+ PhiMayInToner4M(ROUNDUP(T$14/$F35,0)*$E$6)+ (ROUNDUP(T$14/$F35,0)*$D$11))*(1+$D$7))</f>
        <v>442000</v>
      </c>
      <c r="U35" s="7">
        <f>LamChanHangNgan((PhiMayCatDecalVuong(U$14,$D35,$E35)+ PhiMayInToner4M(ROUNDUP(U$14/$F35,0)*$E$6)+ (ROUNDUP(U$14/$F35,0)*$D$11))*(1+$D$7))</f>
        <v>494000</v>
      </c>
      <c r="V35" s="7">
        <f>LamChanHangNgan((PhiMayCatDecalVuong(V$14,$D35,$E35)+ PhiMayInToner4M(ROUNDUP(V$14/$F35,0)*$E$6)+ (ROUNDUP(V$14/$F35,0)*$D$11))*(1+$D$7))</f>
        <v>546000</v>
      </c>
      <c r="W35" s="7">
        <f>LamChanHangNgan((PhiMayCatDecalVuong(W$14,$D35,$E35)+ PhiMayInToner4M(ROUNDUP(W$14/$F35,0)*$E$6)+ (ROUNDUP(W$14/$F35,0)*$D$11))*(1+$D$7))</f>
        <v>594000</v>
      </c>
      <c r="X35" s="7">
        <f>LamChanHangNgan((PhiMayCatDecalVuong(X$14,$D35,$E35)+ PhiMayInToner4M(ROUNDUP(X$14/$F35,0)*$E$6)+ (ROUNDUP(X$14/$F35,0)*$D$11))*(1+$D$7))</f>
        <v>646000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4">
        <f t="shared" si="2"/>
        <v>36</v>
      </c>
      <c r="G36" s="7">
        <f>LamChanHangNgan((PhiMayCatDecalVuong(G$14,$D36,$E36)+ PhiMayInToner4M(ROUNDUP(G$14/$F36,0)*$E$6)+ (ROUNDUP(G$14/$F36,0)*$D$11))*(1+$D$7))</f>
        <v>143000</v>
      </c>
      <c r="H36" s="7">
        <f>LamChanHangNgan((PhiMayCatDecalVuong(H$14,$D36,$E36)+ PhiMayInToner4M(ROUNDUP(H$14/$F36,0)*$E$6)+ (ROUNDUP(H$14/$F36,0)*$D$11))*(1+$D$7))</f>
        <v>154000</v>
      </c>
      <c r="I36" s="7">
        <f>LamChanHangNgan((PhiMayCatDecalVuong(I$14,$D36,$E36)+ PhiMayInToner4M(ROUNDUP(I$14/$F36,0)*$E$6)+ (ROUNDUP(I$14/$F36,0)*$D$11))*(1+$D$7))</f>
        <v>165000</v>
      </c>
      <c r="J36" s="7">
        <f>LamChanHangNgan((PhiMayCatDecalVuong(J$14,$D36,$E36)+ PhiMayInToner4M(ROUNDUP(J$14/$F36,0)*$E$6)+ (ROUNDUP(J$14/$F36,0)*$D$11))*(1+$D$7))</f>
        <v>176000</v>
      </c>
      <c r="K36" s="7">
        <f>LamChanHangNgan((PhiMayCatDecalVuong(K$14,$D36,$E36)+ PhiMayInToner4M(ROUNDUP(K$14/$F36,0)*$E$6)+ (ROUNDUP(K$14/$F36,0)*$D$11))*(1+$D$7))</f>
        <v>184000</v>
      </c>
      <c r="L36" s="7">
        <f>LamChanHangNgan((PhiMayCatDecalVuong(L$14,$D36,$E36)+ PhiMayInToner4M(ROUNDUP(L$14/$F36,0)*$E$6)+ (ROUNDUP(L$14/$F36,0)*$D$11))*(1+$D$7))</f>
        <v>195000</v>
      </c>
      <c r="M36" s="7">
        <f>LamChanHangNgan((PhiMayCatDecalVuong(M$14,$D36,$E36)+ PhiMayInToner4M(ROUNDUP(M$14/$F36,0)*$E$6)+ (ROUNDUP(M$14/$F36,0)*$D$11))*(1+$D$7))</f>
        <v>206000</v>
      </c>
      <c r="N36" s="7">
        <f>LamChanHangNgan((PhiMayCatDecalVuong(N$14,$D36,$E36)+ PhiMayInToner4M(ROUNDUP(N$14/$F36,0)*$E$6)+ (ROUNDUP(N$14/$F36,0)*$D$11))*(1+$D$7))</f>
        <v>217000</v>
      </c>
      <c r="O36" s="7">
        <f>LamChanHangNgan((PhiMayCatDecalVuong(O$14,$D36,$E36)+ PhiMayInToner4M(ROUNDUP(O$14/$F36,0)*$E$6)+ (ROUNDUP(O$14/$F36,0)*$D$11))*(1+$D$7))</f>
        <v>225000</v>
      </c>
      <c r="P36" s="7">
        <f>LamChanHangNgan((PhiMayCatDecalVuong(P$14,$D36,$E36)+ PhiMayInToner4M(ROUNDUP(P$14/$F36,0)*$E$6)+ (ROUNDUP(P$14/$F36,0)*$D$11))*(1+$D$7))</f>
        <v>236000</v>
      </c>
      <c r="Q36" s="7">
        <f>LamChanHangNgan((PhiMayCatDecalVuong(Q$14,$D36,$E36)+ PhiMayInToner4M(ROUNDUP(Q$14/$F36,0)*$E$6)+ (ROUNDUP(Q$14/$F36,0)*$D$11))*(1+$D$7))</f>
        <v>288000</v>
      </c>
      <c r="R36" s="7">
        <f>LamChanHangNgan((PhiMayCatDecalVuong(R$14,$D36,$E36)+ PhiMayInToner4M(ROUNDUP(R$14/$F36,0)*$E$6)+ (ROUNDUP(R$14/$F36,0)*$D$11))*(1+$D$7))</f>
        <v>339000</v>
      </c>
      <c r="S36" s="7">
        <f>LamChanHangNgan((PhiMayCatDecalVuong(S$14,$D36,$E36)+ PhiMayInToner4M(ROUNDUP(S$14/$F36,0)*$E$6)+ (ROUNDUP(S$14/$F36,0)*$D$11))*(1+$D$7))</f>
        <v>391000</v>
      </c>
      <c r="T36" s="7">
        <f>LamChanHangNgan((PhiMayCatDecalVuong(T$14,$D36,$E36)+ PhiMayInToner4M(ROUNDUP(T$14/$F36,0)*$E$6)+ (ROUNDUP(T$14/$F36,0)*$D$11))*(1+$D$7))</f>
        <v>443000</v>
      </c>
      <c r="U36" s="7">
        <f>LamChanHangNgan((PhiMayCatDecalVuong(U$14,$D36,$E36)+ PhiMayInToner4M(ROUNDUP(U$14/$F36,0)*$E$6)+ (ROUNDUP(U$14/$F36,0)*$D$11))*(1+$D$7))</f>
        <v>495000</v>
      </c>
      <c r="V36" s="7">
        <f>LamChanHangNgan((PhiMayCatDecalVuong(V$14,$D36,$E36)+ PhiMayInToner4M(ROUNDUP(V$14/$F36,0)*$E$6)+ (ROUNDUP(V$14/$F36,0)*$D$11))*(1+$D$7))</f>
        <v>547000</v>
      </c>
      <c r="W36" s="7">
        <f>LamChanHangNgan((PhiMayCatDecalVuong(W$14,$D36,$E36)+ PhiMayInToner4M(ROUNDUP(W$14/$F36,0)*$E$6)+ (ROUNDUP(W$14/$F36,0)*$D$11))*(1+$D$7))</f>
        <v>595000</v>
      </c>
      <c r="X36" s="7">
        <f>LamChanHangNgan((PhiMayCatDecalVuong(X$14,$D36,$E36)+ PhiMayInToner4M(ROUNDUP(X$14/$F36,0)*$E$6)+ (ROUNDUP(X$14/$F36,0)*$D$11))*(1+$D$7))</f>
        <v>647000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4">
        <f t="shared" si="2"/>
        <v>30</v>
      </c>
      <c r="G37" s="7">
        <f>LamChanHangNgan((PhiMayCatDecalVuong(G$14,$D37,$E37)+ PhiMayInToner4M(ROUNDUP(G$14/$F37,0)*$E$6)+ (ROUNDUP(G$14/$F37,0)*$D$11))*(1+$D$7))</f>
        <v>147000</v>
      </c>
      <c r="H37" s="7">
        <f>LamChanHangNgan((PhiMayCatDecalVuong(H$14,$D37,$E37)+ PhiMayInToner4M(ROUNDUP(H$14/$F37,0)*$E$6)+ (ROUNDUP(H$14/$F37,0)*$D$11))*(1+$D$7))</f>
        <v>158000</v>
      </c>
      <c r="I37" s="7">
        <f>LamChanHangNgan((PhiMayCatDecalVuong(I$14,$D37,$E37)+ PhiMayInToner4M(ROUNDUP(I$14/$F37,0)*$E$6)+ (ROUNDUP(I$14/$F37,0)*$D$11))*(1+$D$7))</f>
        <v>169000</v>
      </c>
      <c r="J37" s="7">
        <f>LamChanHangNgan((PhiMayCatDecalVuong(J$14,$D37,$E37)+ PhiMayInToner4M(ROUNDUP(J$14/$F37,0)*$E$6)+ (ROUNDUP(J$14/$F37,0)*$D$11))*(1+$D$7))</f>
        <v>184000</v>
      </c>
      <c r="K37" s="7">
        <f>LamChanHangNgan((PhiMayCatDecalVuong(K$14,$D37,$E37)+ PhiMayInToner4M(ROUNDUP(K$14/$F37,0)*$E$6)+ (ROUNDUP(K$14/$F37,0)*$D$11))*(1+$D$7))</f>
        <v>195000</v>
      </c>
      <c r="L37" s="7">
        <f>LamChanHangNgan((PhiMayCatDecalVuong(L$14,$D37,$E37)+ PhiMayInToner4M(ROUNDUP(L$14/$F37,0)*$E$6)+ (ROUNDUP(L$14/$F37,0)*$D$11))*(1+$D$7))</f>
        <v>206000</v>
      </c>
      <c r="M37" s="7">
        <f>LamChanHangNgan((PhiMayCatDecalVuong(M$14,$D37,$E37)+ PhiMayInToner4M(ROUNDUP(M$14/$F37,0)*$E$6)+ (ROUNDUP(M$14/$F37,0)*$D$11))*(1+$D$7))</f>
        <v>220000</v>
      </c>
      <c r="N37" s="7">
        <f>LamChanHangNgan((PhiMayCatDecalVuong(N$14,$D37,$E37)+ PhiMayInToner4M(ROUNDUP(N$14/$F37,0)*$E$6)+ (ROUNDUP(N$14/$F37,0)*$D$11))*(1+$D$7))</f>
        <v>231000</v>
      </c>
      <c r="O37" s="7">
        <f>LamChanHangNgan((PhiMayCatDecalVuong(O$14,$D37,$E37)+ PhiMayInToner4M(ROUNDUP(O$14/$F37,0)*$E$6)+ (ROUNDUP(O$14/$F37,0)*$D$11))*(1+$D$7))</f>
        <v>242000</v>
      </c>
      <c r="P37" s="7">
        <f>LamChanHangNgan((PhiMayCatDecalVuong(P$14,$D37,$E37)+ PhiMayInToner4M(ROUNDUP(P$14/$F37,0)*$E$6)+ (ROUNDUP(P$14/$F37,0)*$D$11))*(1+$D$7))</f>
        <v>257000</v>
      </c>
      <c r="Q37" s="7">
        <f>LamChanHangNgan((PhiMayCatDecalVuong(Q$14,$D37,$E37)+ PhiMayInToner4M(ROUNDUP(Q$14/$F37,0)*$E$6)+ (ROUNDUP(Q$14/$F37,0)*$D$11))*(1+$D$7))</f>
        <v>316000</v>
      </c>
      <c r="R37" s="7">
        <f>LamChanHangNgan((PhiMayCatDecalVuong(R$14,$D37,$E37)+ PhiMayInToner4M(ROUNDUP(R$14/$F37,0)*$E$6)+ (ROUNDUP(R$14/$F37,0)*$D$11))*(1+$D$7))</f>
        <v>378000</v>
      </c>
      <c r="S37" s="7">
        <f>LamChanHangNgan((PhiMayCatDecalVuong(S$14,$D37,$E37)+ PhiMayInToner4M(ROUNDUP(S$14/$F37,0)*$E$6)+ (ROUNDUP(S$14/$F37,0)*$D$11))*(1+$D$7))</f>
        <v>441000</v>
      </c>
      <c r="T37" s="7">
        <f>LamChanHangNgan((PhiMayCatDecalVuong(T$14,$D37,$E37)+ PhiMayInToner4M(ROUNDUP(T$14/$F37,0)*$E$6)+ (ROUNDUP(T$14/$F37,0)*$D$11))*(1+$D$7))</f>
        <v>500000</v>
      </c>
      <c r="U37" s="7">
        <f>LamChanHangNgan((PhiMayCatDecalVuong(U$14,$D37,$E37)+ PhiMayInToner4M(ROUNDUP(U$14/$F37,0)*$E$6)+ (ROUNDUP(U$14/$F37,0)*$D$11))*(1+$D$7))</f>
        <v>562000</v>
      </c>
      <c r="V37" s="7">
        <f>LamChanHangNgan((PhiMayCatDecalVuong(V$14,$D37,$E37)+ PhiMayInToner4M(ROUNDUP(V$14/$F37,0)*$E$6)+ (ROUNDUP(V$14/$F37,0)*$D$11))*(1+$D$7))</f>
        <v>625000</v>
      </c>
      <c r="W37" s="7">
        <f>LamChanHangNgan((PhiMayCatDecalVuong(W$14,$D37,$E37)+ PhiMayInToner4M(ROUNDUP(W$14/$F37,0)*$E$6)+ (ROUNDUP(W$14/$F37,0)*$D$11))*(1+$D$7))</f>
        <v>684000</v>
      </c>
      <c r="X37" s="7">
        <f>LamChanHangNgan((PhiMayCatDecalVuong(X$14,$D37,$E37)+ PhiMayInToner4M(ROUNDUP(X$14/$F37,0)*$E$6)+ (ROUNDUP(X$14/$F37,0)*$D$11))*(1+$D$7))</f>
        <v>746000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4">
        <f t="shared" si="2"/>
        <v>35</v>
      </c>
      <c r="G38" s="7">
        <f>LamChanHangNgan((PhiMayCatDecalVuong(G$14,$D38,$E38)+ PhiMayInToner4M(ROUNDUP(G$14/$F38,0)*$E$6)+ (ROUNDUP(G$14/$F38,0)*$D$11))*(1+$D$7))</f>
        <v>143000</v>
      </c>
      <c r="H38" s="7">
        <f>LamChanHangNgan((PhiMayCatDecalVuong(H$14,$D38,$E38)+ PhiMayInToner4M(ROUNDUP(H$14/$F38,0)*$E$6)+ (ROUNDUP(H$14/$F38,0)*$D$11))*(1+$D$7))</f>
        <v>154000</v>
      </c>
      <c r="I38" s="7">
        <f>LamChanHangNgan((PhiMayCatDecalVuong(I$14,$D38,$E38)+ PhiMayInToner4M(ROUNDUP(I$14/$F38,0)*$E$6)+ (ROUNDUP(I$14/$F38,0)*$D$11))*(1+$D$7))</f>
        <v>165000</v>
      </c>
      <c r="J38" s="7">
        <f>LamChanHangNgan((PhiMayCatDecalVuong(J$14,$D38,$E38)+ PhiMayInToner4M(ROUNDUP(J$14/$F38,0)*$E$6)+ (ROUNDUP(J$14/$F38,0)*$D$11))*(1+$D$7))</f>
        <v>176000</v>
      </c>
      <c r="K38" s="7">
        <f>LamChanHangNgan((PhiMayCatDecalVuong(K$14,$D38,$E38)+ PhiMayInToner4M(ROUNDUP(K$14/$F38,0)*$E$6)+ (ROUNDUP(K$14/$F38,0)*$D$11))*(1+$D$7))</f>
        <v>187000</v>
      </c>
      <c r="L38" s="7">
        <f>LamChanHangNgan((PhiMayCatDecalVuong(L$14,$D38,$E38)+ PhiMayInToner4M(ROUNDUP(L$14/$F38,0)*$E$6)+ (ROUNDUP(L$14/$F38,0)*$D$11))*(1+$D$7))</f>
        <v>198000</v>
      </c>
      <c r="M38" s="7">
        <f>LamChanHangNgan((PhiMayCatDecalVuong(M$14,$D38,$E38)+ PhiMayInToner4M(ROUNDUP(M$14/$F38,0)*$E$6)+ (ROUNDUP(M$14/$F38,0)*$D$11))*(1+$D$7))</f>
        <v>206000</v>
      </c>
      <c r="N38" s="7">
        <f>LamChanHangNgan((PhiMayCatDecalVuong(N$14,$D38,$E38)+ PhiMayInToner4M(ROUNDUP(N$14/$F38,0)*$E$6)+ (ROUNDUP(N$14/$F38,0)*$D$11))*(1+$D$7))</f>
        <v>217000</v>
      </c>
      <c r="O38" s="7">
        <f>LamChanHangNgan((PhiMayCatDecalVuong(O$14,$D38,$E38)+ PhiMayInToner4M(ROUNDUP(O$14/$F38,0)*$E$6)+ (ROUNDUP(O$14/$F38,0)*$D$11))*(1+$D$7))</f>
        <v>228000</v>
      </c>
      <c r="P38" s="7">
        <f>LamChanHangNgan((PhiMayCatDecalVuong(P$14,$D38,$E38)+ PhiMayInToner4M(ROUNDUP(P$14/$F38,0)*$E$6)+ (ROUNDUP(P$14/$F38,0)*$D$11))*(1+$D$7))</f>
        <v>239000</v>
      </c>
      <c r="Q38" s="7">
        <f>LamChanHangNgan((PhiMayCatDecalVuong(Q$14,$D38,$E38)+ PhiMayInToner4M(ROUNDUP(Q$14/$F38,0)*$E$6)+ (ROUNDUP(Q$14/$F38,0)*$D$11))*(1+$D$7))</f>
        <v>291000</v>
      </c>
      <c r="R38" s="7">
        <f>LamChanHangNgan((PhiMayCatDecalVuong(R$14,$D38,$E38)+ PhiMayInToner4M(ROUNDUP(R$14/$F38,0)*$E$6)+ (ROUNDUP(R$14/$F38,0)*$D$11))*(1+$D$7))</f>
        <v>346000</v>
      </c>
      <c r="S38" s="7">
        <f>LamChanHangNgan((PhiMayCatDecalVuong(S$14,$D38,$E38)+ PhiMayInToner4M(ROUNDUP(S$14/$F38,0)*$E$6)+ (ROUNDUP(S$14/$F38,0)*$D$11))*(1+$D$7))</f>
        <v>398000</v>
      </c>
      <c r="T38" s="7">
        <f>LamChanHangNgan((PhiMayCatDecalVuong(T$14,$D38,$E38)+ PhiMayInToner4M(ROUNDUP(T$14/$F38,0)*$E$6)+ (ROUNDUP(T$14/$F38,0)*$D$11))*(1+$D$7))</f>
        <v>449000</v>
      </c>
      <c r="U38" s="7">
        <f>LamChanHangNgan((PhiMayCatDecalVuong(U$14,$D38,$E38)+ PhiMayInToner4M(ROUNDUP(U$14/$F38,0)*$E$6)+ (ROUNDUP(U$14/$F38,0)*$D$11))*(1+$D$7))</f>
        <v>501000</v>
      </c>
      <c r="V38" s="7">
        <f>LamChanHangNgan((PhiMayCatDecalVuong(V$14,$D38,$E38)+ PhiMayInToner4M(ROUNDUP(V$14/$F38,0)*$E$6)+ (ROUNDUP(V$14/$F38,0)*$D$11))*(1+$D$7))</f>
        <v>556000</v>
      </c>
      <c r="W38" s="7">
        <f>LamChanHangNgan((PhiMayCatDecalVuong(W$14,$D38,$E38)+ PhiMayInToner4M(ROUNDUP(W$14/$F38,0)*$E$6)+ (ROUNDUP(W$14/$F38,0)*$D$11))*(1+$D$7))</f>
        <v>608000</v>
      </c>
      <c r="X38" s="7">
        <f>LamChanHangNgan((PhiMayCatDecalVuong(X$14,$D38,$E38)+ PhiMayInToner4M(ROUNDUP(X$14/$F38,0)*$E$6)+ (ROUNDUP(X$14/$F38,0)*$D$11))*(1+$D$7))</f>
        <v>660000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4">
        <f t="shared" si="2"/>
        <v>30</v>
      </c>
      <c r="G39" s="7">
        <f>LamChanHangNgan((PhiMayCatDecalVuong(G$14,$D39,$E39)+ PhiMayInToner4M(ROUNDUP(G$14/$F39,0)*$E$6)+ (ROUNDUP(G$14/$F39,0)*$D$11))*(1+$D$7))</f>
        <v>147000</v>
      </c>
      <c r="H39" s="7">
        <f>LamChanHangNgan((PhiMayCatDecalVuong(H$14,$D39,$E39)+ PhiMayInToner4M(ROUNDUP(H$14/$F39,0)*$E$6)+ (ROUNDUP(H$14/$F39,0)*$D$11))*(1+$D$7))</f>
        <v>158000</v>
      </c>
      <c r="I39" s="7">
        <f>LamChanHangNgan((PhiMayCatDecalVuong(I$14,$D39,$E39)+ PhiMayInToner4M(ROUNDUP(I$14/$F39,0)*$E$6)+ (ROUNDUP(I$14/$F39,0)*$D$11))*(1+$D$7))</f>
        <v>169000</v>
      </c>
      <c r="J39" s="7">
        <f>LamChanHangNgan((PhiMayCatDecalVuong(J$14,$D39,$E39)+ PhiMayInToner4M(ROUNDUP(J$14/$F39,0)*$E$6)+ (ROUNDUP(J$14/$F39,0)*$D$11))*(1+$D$7))</f>
        <v>184000</v>
      </c>
      <c r="K39" s="7">
        <f>LamChanHangNgan((PhiMayCatDecalVuong(K$14,$D39,$E39)+ PhiMayInToner4M(ROUNDUP(K$14/$F39,0)*$E$6)+ (ROUNDUP(K$14/$F39,0)*$D$11))*(1+$D$7))</f>
        <v>195000</v>
      </c>
      <c r="L39" s="7">
        <f>LamChanHangNgan((PhiMayCatDecalVuong(L$14,$D39,$E39)+ PhiMayInToner4M(ROUNDUP(L$14/$F39,0)*$E$6)+ (ROUNDUP(L$14/$F39,0)*$D$11))*(1+$D$7))</f>
        <v>206000</v>
      </c>
      <c r="M39" s="7">
        <f>LamChanHangNgan((PhiMayCatDecalVuong(M$14,$D39,$E39)+ PhiMayInToner4M(ROUNDUP(M$14/$F39,0)*$E$6)+ (ROUNDUP(M$14/$F39,0)*$D$11))*(1+$D$7))</f>
        <v>220000</v>
      </c>
      <c r="N39" s="7">
        <f>LamChanHangNgan((PhiMayCatDecalVuong(N$14,$D39,$E39)+ PhiMayInToner4M(ROUNDUP(N$14/$F39,0)*$E$6)+ (ROUNDUP(N$14/$F39,0)*$D$11))*(1+$D$7))</f>
        <v>231000</v>
      </c>
      <c r="O39" s="7">
        <f>LamChanHangNgan((PhiMayCatDecalVuong(O$14,$D39,$E39)+ PhiMayInToner4M(ROUNDUP(O$14/$F39,0)*$E$6)+ (ROUNDUP(O$14/$F39,0)*$D$11))*(1+$D$7))</f>
        <v>242000</v>
      </c>
      <c r="P39" s="7">
        <f>LamChanHangNgan((PhiMayCatDecalVuong(P$14,$D39,$E39)+ PhiMayInToner4M(ROUNDUP(P$14/$F39,0)*$E$6)+ (ROUNDUP(P$14/$F39,0)*$D$11))*(1+$D$7))</f>
        <v>257000</v>
      </c>
      <c r="Q39" s="7">
        <f>LamChanHangNgan((PhiMayCatDecalVuong(Q$14,$D39,$E39)+ PhiMayInToner4M(ROUNDUP(Q$14/$F39,0)*$E$6)+ (ROUNDUP(Q$14/$F39,0)*$D$11))*(1+$D$7))</f>
        <v>316000</v>
      </c>
      <c r="R39" s="7">
        <f>LamChanHangNgan((PhiMayCatDecalVuong(R$14,$D39,$E39)+ PhiMayInToner4M(ROUNDUP(R$14/$F39,0)*$E$6)+ (ROUNDUP(R$14/$F39,0)*$D$11))*(1+$D$7))</f>
        <v>378000</v>
      </c>
      <c r="S39" s="7">
        <f>LamChanHangNgan((PhiMayCatDecalVuong(S$14,$D39,$E39)+ PhiMayInToner4M(ROUNDUP(S$14/$F39,0)*$E$6)+ (ROUNDUP(S$14/$F39,0)*$D$11))*(1+$D$7))</f>
        <v>441000</v>
      </c>
      <c r="T39" s="7">
        <f>LamChanHangNgan((PhiMayCatDecalVuong(T$14,$D39,$E39)+ PhiMayInToner4M(ROUNDUP(T$14/$F39,0)*$E$6)+ (ROUNDUP(T$14/$F39,0)*$D$11))*(1+$D$7))</f>
        <v>500000</v>
      </c>
      <c r="U39" s="7">
        <f>LamChanHangNgan((PhiMayCatDecalVuong(U$14,$D39,$E39)+ PhiMayInToner4M(ROUNDUP(U$14/$F39,0)*$E$6)+ (ROUNDUP(U$14/$F39,0)*$D$11))*(1+$D$7))</f>
        <v>562000</v>
      </c>
      <c r="V39" s="7">
        <f>LamChanHangNgan((PhiMayCatDecalVuong(V$14,$D39,$E39)+ PhiMayInToner4M(ROUNDUP(V$14/$F39,0)*$E$6)+ (ROUNDUP(V$14/$F39,0)*$D$11))*(1+$D$7))</f>
        <v>625000</v>
      </c>
      <c r="W39" s="7">
        <f>LamChanHangNgan((PhiMayCatDecalVuong(W$14,$D39,$E39)+ PhiMayInToner4M(ROUNDUP(W$14/$F39,0)*$E$6)+ (ROUNDUP(W$14/$F39,0)*$D$11))*(1+$D$7))</f>
        <v>684000</v>
      </c>
      <c r="X39" s="7">
        <f>LamChanHangNgan((PhiMayCatDecalVuong(X$14,$D39,$E39)+ PhiMayInToner4M(ROUNDUP(X$14/$F39,0)*$E$6)+ (ROUNDUP(X$14/$F39,0)*$D$11))*(1+$D$7))</f>
        <v>746000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4">
        <f t="shared" si="2"/>
        <v>30</v>
      </c>
      <c r="G40" s="7">
        <f>LamChanHangNgan((PhiMayCatDecalVuong(G$14,$D40,$E40)+ PhiMayInToner4M(ROUNDUP(G$14/$F40,0)*$E$6)+ (ROUNDUP(G$14/$F40,0)*$D$11))*(1+$D$7))</f>
        <v>147000</v>
      </c>
      <c r="H40" s="7">
        <f>LamChanHangNgan((PhiMayCatDecalVuong(H$14,$D40,$E40)+ PhiMayInToner4M(ROUNDUP(H$14/$F40,0)*$E$6)+ (ROUNDUP(H$14/$F40,0)*$D$11))*(1+$D$7))</f>
        <v>158000</v>
      </c>
      <c r="I40" s="7">
        <f>LamChanHangNgan((PhiMayCatDecalVuong(I$14,$D40,$E40)+ PhiMayInToner4M(ROUNDUP(I$14/$F40,0)*$E$6)+ (ROUNDUP(I$14/$F40,0)*$D$11))*(1+$D$7))</f>
        <v>169000</v>
      </c>
      <c r="J40" s="7">
        <f>LamChanHangNgan((PhiMayCatDecalVuong(J$14,$D40,$E40)+ PhiMayInToner4M(ROUNDUP(J$14/$F40,0)*$E$6)+ (ROUNDUP(J$14/$F40,0)*$D$11))*(1+$D$7))</f>
        <v>184000</v>
      </c>
      <c r="K40" s="7">
        <f>LamChanHangNgan((PhiMayCatDecalVuong(K$14,$D40,$E40)+ PhiMayInToner4M(ROUNDUP(K$14/$F40,0)*$E$6)+ (ROUNDUP(K$14/$F40,0)*$D$11))*(1+$D$7))</f>
        <v>195000</v>
      </c>
      <c r="L40" s="7">
        <f>LamChanHangNgan((PhiMayCatDecalVuong(L$14,$D40,$E40)+ PhiMayInToner4M(ROUNDUP(L$14/$F40,0)*$E$6)+ (ROUNDUP(L$14/$F40,0)*$D$11))*(1+$D$7))</f>
        <v>206000</v>
      </c>
      <c r="M40" s="7">
        <f>LamChanHangNgan((PhiMayCatDecalVuong(M$14,$D40,$E40)+ PhiMayInToner4M(ROUNDUP(M$14/$F40,0)*$E$6)+ (ROUNDUP(M$14/$F40,0)*$D$11))*(1+$D$7))</f>
        <v>220000</v>
      </c>
      <c r="N40" s="7">
        <f>LamChanHangNgan((PhiMayCatDecalVuong(N$14,$D40,$E40)+ PhiMayInToner4M(ROUNDUP(N$14/$F40,0)*$E$6)+ (ROUNDUP(N$14/$F40,0)*$D$11))*(1+$D$7))</f>
        <v>232000</v>
      </c>
      <c r="O40" s="7">
        <f>LamChanHangNgan((PhiMayCatDecalVuong(O$14,$D40,$E40)+ PhiMayInToner4M(ROUNDUP(O$14/$F40,0)*$E$6)+ (ROUNDUP(O$14/$F40,0)*$D$11))*(1+$D$7))</f>
        <v>243000</v>
      </c>
      <c r="P40" s="7">
        <f>LamChanHangNgan((PhiMayCatDecalVuong(P$14,$D40,$E40)+ PhiMayInToner4M(ROUNDUP(P$14/$F40,0)*$E$6)+ (ROUNDUP(P$14/$F40,0)*$D$11))*(1+$D$7))</f>
        <v>257000</v>
      </c>
      <c r="Q40" s="7">
        <f>LamChanHangNgan((PhiMayCatDecalVuong(Q$14,$D40,$E40)+ PhiMayInToner4M(ROUNDUP(Q$14/$F40,0)*$E$6)+ (ROUNDUP(Q$14/$F40,0)*$D$11))*(1+$D$7))</f>
        <v>316000</v>
      </c>
      <c r="R40" s="7">
        <f>LamChanHangNgan((PhiMayCatDecalVuong(R$14,$D40,$E40)+ PhiMayInToner4M(ROUNDUP(R$14/$F40,0)*$E$6)+ (ROUNDUP(R$14/$F40,0)*$D$11))*(1+$D$7))</f>
        <v>379000</v>
      </c>
      <c r="S40" s="7">
        <f>LamChanHangNgan((PhiMayCatDecalVuong(S$14,$D40,$E40)+ PhiMayInToner4M(ROUNDUP(S$14/$F40,0)*$E$6)+ (ROUNDUP(S$14/$F40,0)*$D$11))*(1+$D$7))</f>
        <v>441000</v>
      </c>
      <c r="T40" s="7">
        <f>LamChanHangNgan((PhiMayCatDecalVuong(T$14,$D40,$E40)+ PhiMayInToner4M(ROUNDUP(T$14/$F40,0)*$E$6)+ (ROUNDUP(T$14/$F40,0)*$D$11))*(1+$D$7))</f>
        <v>501000</v>
      </c>
      <c r="U40" s="7">
        <f>LamChanHangNgan((PhiMayCatDecalVuong(U$14,$D40,$E40)+ PhiMayInToner4M(ROUNDUP(U$14/$F40,0)*$E$6)+ (ROUNDUP(U$14/$F40,0)*$D$11))*(1+$D$7))</f>
        <v>563000</v>
      </c>
      <c r="V40" s="7">
        <f>LamChanHangNgan((PhiMayCatDecalVuong(V$14,$D40,$E40)+ PhiMayInToner4M(ROUNDUP(V$14/$F40,0)*$E$6)+ (ROUNDUP(V$14/$F40,0)*$D$11))*(1+$D$7))</f>
        <v>626000</v>
      </c>
      <c r="W40" s="7">
        <f>LamChanHangNgan((PhiMayCatDecalVuong(W$14,$D40,$E40)+ PhiMayInToner4M(ROUNDUP(W$14/$F40,0)*$E$6)+ (ROUNDUP(W$14/$F40,0)*$D$11))*(1+$D$7))</f>
        <v>685000</v>
      </c>
      <c r="X40" s="7">
        <f>LamChanHangNgan((PhiMayCatDecalVuong(X$14,$D40,$E40)+ PhiMayInToner4M(ROUNDUP(X$14/$F40,0)*$E$6)+ (ROUNDUP(X$14/$F40,0)*$D$11))*(1+$D$7))</f>
        <v>747000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4">
        <f t="shared" si="2"/>
        <v>25</v>
      </c>
      <c r="G41" s="7">
        <f>LamChanHangNgan((PhiMayCatDecalVuong(G$14,$D41,$E41)+ PhiMayInToner4M(ROUNDUP(G$14/$F41,0)*$E$6)+ (ROUNDUP(G$14/$F41,0)*$D$11))*(1+$D$7))</f>
        <v>147000</v>
      </c>
      <c r="H41" s="7">
        <f>LamChanHangNgan((PhiMayCatDecalVuong(H$14,$D41,$E41)+ PhiMayInToner4M(ROUNDUP(H$14/$F41,0)*$E$6)+ (ROUNDUP(H$14/$F41,0)*$D$11))*(1+$D$7))</f>
        <v>161000</v>
      </c>
      <c r="I41" s="7">
        <f>LamChanHangNgan((PhiMayCatDecalVuong(I$14,$D41,$E41)+ PhiMayInToner4M(ROUNDUP(I$14/$F41,0)*$E$6)+ (ROUNDUP(I$14/$F41,0)*$D$11))*(1+$D$7))</f>
        <v>176000</v>
      </c>
      <c r="J41" s="7">
        <f>LamChanHangNgan((PhiMayCatDecalVuong(J$14,$D41,$E41)+ PhiMayInToner4M(ROUNDUP(J$14/$F41,0)*$E$6)+ (ROUNDUP(J$14/$F41,0)*$D$11))*(1+$D$7))</f>
        <v>191000</v>
      </c>
      <c r="K41" s="7">
        <f>LamChanHangNgan((PhiMayCatDecalVuong(K$14,$D41,$E41)+ PhiMayInToner4M(ROUNDUP(K$14/$F41,0)*$E$6)+ (ROUNDUP(K$14/$F41,0)*$D$11))*(1+$D$7))</f>
        <v>205000</v>
      </c>
      <c r="L41" s="7">
        <f>LamChanHangNgan((PhiMayCatDecalVuong(L$14,$D41,$E41)+ PhiMayInToner4M(ROUNDUP(L$14/$F41,0)*$E$6)+ (ROUNDUP(L$14/$F41,0)*$D$11))*(1+$D$7))</f>
        <v>220000</v>
      </c>
      <c r="M41" s="7">
        <f>LamChanHangNgan((PhiMayCatDecalVuong(M$14,$D41,$E41)+ PhiMayInToner4M(ROUNDUP(M$14/$F41,0)*$E$6)+ (ROUNDUP(M$14/$F41,0)*$D$11))*(1+$D$7))</f>
        <v>235000</v>
      </c>
      <c r="N41" s="7">
        <f>LamChanHangNgan((PhiMayCatDecalVuong(N$14,$D41,$E41)+ PhiMayInToner4M(ROUNDUP(N$14/$F41,0)*$E$6)+ (ROUNDUP(N$14/$F41,0)*$D$11))*(1+$D$7))</f>
        <v>249000</v>
      </c>
      <c r="O41" s="7">
        <f>LamChanHangNgan((PhiMayCatDecalVuong(O$14,$D41,$E41)+ PhiMayInToner4M(ROUNDUP(O$14/$F41,0)*$E$6)+ (ROUNDUP(O$14/$F41,0)*$D$11))*(1+$D$7))</f>
        <v>264000</v>
      </c>
      <c r="P41" s="7">
        <f>LamChanHangNgan((PhiMayCatDecalVuong(P$14,$D41,$E41)+ PhiMayInToner4M(ROUNDUP(P$14/$F41,0)*$E$6)+ (ROUNDUP(P$14/$F41,0)*$D$11))*(1+$D$7))</f>
        <v>279000</v>
      </c>
      <c r="Q41" s="7">
        <f>LamChanHangNgan((PhiMayCatDecalVuong(Q$14,$D41,$E41)+ PhiMayInToner4M(ROUNDUP(Q$14/$F41,0)*$E$6)+ (ROUNDUP(Q$14/$F41,0)*$D$11))*(1+$D$7))</f>
        <v>352000</v>
      </c>
      <c r="R41" s="7">
        <f>LamChanHangNgan((PhiMayCatDecalVuong(R$14,$D41,$E41)+ PhiMayInToner4M(ROUNDUP(R$14/$F41,0)*$E$6)+ (ROUNDUP(R$14/$F41,0)*$D$11))*(1+$D$7))</f>
        <v>425000</v>
      </c>
      <c r="S41" s="7">
        <f>LamChanHangNgan((PhiMayCatDecalVuong(S$14,$D41,$E41)+ PhiMayInToner4M(ROUNDUP(S$14/$F41,0)*$E$6)+ (ROUNDUP(S$14/$F41,0)*$D$11))*(1+$D$7))</f>
        <v>498000</v>
      </c>
      <c r="T41" s="7">
        <f>LamChanHangNgan((PhiMayCatDecalVuong(T$14,$D41,$E41)+ PhiMayInToner4M(ROUNDUP(T$14/$F41,0)*$E$6)+ (ROUNDUP(T$14/$F41,0)*$D$11))*(1+$D$7))</f>
        <v>571000</v>
      </c>
      <c r="U41" s="7">
        <f>LamChanHangNgan((PhiMayCatDecalVuong(U$14,$D41,$E41)+ PhiMayInToner4M(ROUNDUP(U$14/$F41,0)*$E$6)+ (ROUNDUP(U$14/$F41,0)*$D$11))*(1+$D$7))</f>
        <v>645000</v>
      </c>
      <c r="V41" s="7">
        <f>LamChanHangNgan((PhiMayCatDecalVuong(V$14,$D41,$E41)+ PhiMayInToner4M(ROUNDUP(V$14/$F41,0)*$E$6)+ (ROUNDUP(V$14/$F41,0)*$D$11))*(1+$D$7))</f>
        <v>718000</v>
      </c>
      <c r="W41" s="7">
        <f>LamChanHangNgan((PhiMayCatDecalVuong(W$14,$D41,$E41)+ PhiMayInToner4M(ROUNDUP(W$14/$F41,0)*$E$6)+ (ROUNDUP(W$14/$F41,0)*$D$11))*(1+$D$7))</f>
        <v>791000</v>
      </c>
      <c r="X41" s="7">
        <f>LamChanHangNgan((PhiMayCatDecalVuong(X$14,$D41,$E41)+ PhiMayInToner4M(ROUNDUP(X$14/$F41,0)*$E$6)+ (ROUNDUP(X$14/$F41,0)*$D$11))*(1+$D$7))</f>
        <v>864000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4">
        <f t="shared" si="2"/>
        <v>24</v>
      </c>
      <c r="G42" s="7">
        <f>LamChanHangNgan((PhiMayCatDecalVuong(G$14,$D42,$E42)+ PhiMayInToner4M(ROUNDUP(G$14/$F42,0)*$E$6)+ (ROUNDUP(G$14/$F42,0)*$D$11))*(1+$D$7))</f>
        <v>150000</v>
      </c>
      <c r="H42" s="7">
        <f>LamChanHangNgan((PhiMayCatDecalVuong(H$14,$D42,$E42)+ PhiMayInToner4M(ROUNDUP(H$14/$F42,0)*$E$6)+ (ROUNDUP(H$14/$F42,0)*$D$11))*(1+$D$7))</f>
        <v>165000</v>
      </c>
      <c r="I42" s="7">
        <f>LamChanHangNgan((PhiMayCatDecalVuong(I$14,$D42,$E42)+ PhiMayInToner4M(ROUNDUP(I$14/$F42,0)*$E$6)+ (ROUNDUP(I$14/$F42,0)*$D$11))*(1+$D$7))</f>
        <v>180000</v>
      </c>
      <c r="J42" s="7">
        <f>LamChanHangNgan((PhiMayCatDecalVuong(J$14,$D42,$E42)+ PhiMayInToner4M(ROUNDUP(J$14/$F42,0)*$E$6)+ (ROUNDUP(J$14/$F42,0)*$D$11))*(1+$D$7))</f>
        <v>194000</v>
      </c>
      <c r="K42" s="7">
        <f>LamChanHangNgan((PhiMayCatDecalVuong(K$14,$D42,$E42)+ PhiMayInToner4M(ROUNDUP(K$14/$F42,0)*$E$6)+ (ROUNDUP(K$14/$F42,0)*$D$11))*(1+$D$7))</f>
        <v>209000</v>
      </c>
      <c r="L42" s="7">
        <f>LamChanHangNgan((PhiMayCatDecalVuong(L$14,$D42,$E42)+ PhiMayInToner4M(ROUNDUP(L$14/$F42,0)*$E$6)+ (ROUNDUP(L$14/$F42,0)*$D$11))*(1+$D$7))</f>
        <v>224000</v>
      </c>
      <c r="M42" s="7">
        <f>LamChanHangNgan((PhiMayCatDecalVuong(M$14,$D42,$E42)+ PhiMayInToner4M(ROUNDUP(M$14/$F42,0)*$E$6)+ (ROUNDUP(M$14/$F42,0)*$D$11))*(1+$D$7))</f>
        <v>242000</v>
      </c>
      <c r="N42" s="7">
        <f>LamChanHangNgan((PhiMayCatDecalVuong(N$14,$D42,$E42)+ PhiMayInToner4M(ROUNDUP(N$14/$F42,0)*$E$6)+ (ROUNDUP(N$14/$F42,0)*$D$11))*(1+$D$7))</f>
        <v>256000</v>
      </c>
      <c r="O42" s="7">
        <f>LamChanHangNgan((PhiMayCatDecalVuong(O$14,$D42,$E42)+ PhiMayInToner4M(ROUNDUP(O$14/$F42,0)*$E$6)+ (ROUNDUP(O$14/$F42,0)*$D$11))*(1+$D$7))</f>
        <v>271000</v>
      </c>
      <c r="P42" s="7">
        <f>LamChanHangNgan((PhiMayCatDecalVuong(P$14,$D42,$E42)+ PhiMayInToner4M(ROUNDUP(P$14/$F42,0)*$E$6)+ (ROUNDUP(P$14/$F42,0)*$D$11))*(1+$D$7))</f>
        <v>286000</v>
      </c>
      <c r="Q42" s="7">
        <f>LamChanHangNgan((PhiMayCatDecalVuong(Q$14,$D42,$E42)+ PhiMayInToner4M(ROUNDUP(Q$14/$F42,0)*$E$6)+ (ROUNDUP(Q$14/$F42,0)*$D$11))*(1+$D$7))</f>
        <v>362000</v>
      </c>
      <c r="R42" s="7">
        <f>LamChanHangNgan((PhiMayCatDecalVuong(R$14,$D42,$E42)+ PhiMayInToner4M(ROUNDUP(R$14/$F42,0)*$E$6)+ (ROUNDUP(R$14/$F42,0)*$D$11))*(1+$D$7))</f>
        <v>439000</v>
      </c>
      <c r="S42" s="7">
        <f>LamChanHangNgan((PhiMayCatDecalVuong(S$14,$D42,$E42)+ PhiMayInToner4M(ROUNDUP(S$14/$F42,0)*$E$6)+ (ROUNDUP(S$14/$F42,0)*$D$11))*(1+$D$7))</f>
        <v>516000</v>
      </c>
      <c r="T42" s="7">
        <f>LamChanHangNgan((PhiMayCatDecalVuong(T$14,$D42,$E42)+ PhiMayInToner4M(ROUNDUP(T$14/$F42,0)*$E$6)+ (ROUNDUP(T$14/$F42,0)*$D$11))*(1+$D$7))</f>
        <v>589000</v>
      </c>
      <c r="U42" s="7">
        <f>LamChanHangNgan((PhiMayCatDecalVuong(U$14,$D42,$E42)+ PhiMayInToner4M(ROUNDUP(U$14/$F42,0)*$E$6)+ (ROUNDUP(U$14/$F42,0)*$D$11))*(1+$D$7))</f>
        <v>666000</v>
      </c>
      <c r="V42" s="7">
        <f>LamChanHangNgan((PhiMayCatDecalVuong(V$14,$D42,$E42)+ PhiMayInToner4M(ROUNDUP(V$14/$F42,0)*$E$6)+ (ROUNDUP(V$14/$F42,0)*$D$11))*(1+$D$7))</f>
        <v>742000</v>
      </c>
      <c r="W42" s="7">
        <f>LamChanHangNgan((PhiMayCatDecalVuong(W$14,$D42,$E42)+ PhiMayInToner4M(ROUNDUP(W$14/$F42,0)*$E$6)+ (ROUNDUP(W$14/$F42,0)*$D$11))*(1+$D$7))</f>
        <v>819000</v>
      </c>
      <c r="X42" s="7">
        <f>LamChanHangNgan((PhiMayCatDecalVuong(X$14,$D42,$E42)+ PhiMayInToner4M(ROUNDUP(X$14/$F42,0)*$E$6)+ (ROUNDUP(X$14/$F42,0)*$D$11))*(1+$D$7))</f>
        <v>896000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4">
        <f t="shared" si="2"/>
        <v>20</v>
      </c>
      <c r="G43" s="7">
        <f>LamChanHangNgan((PhiMayCatDecalVuong(G$14,$D43,$E43)+ PhiMayInToner4M(ROUNDUP(G$14/$F43,0)*$E$6)+ (ROUNDUP(G$14/$F43,0)*$D$11))*(1+$D$7))</f>
        <v>150000</v>
      </c>
      <c r="H43" s="7">
        <f>LamChanHangNgan((PhiMayCatDecalVuong(H$14,$D43,$E43)+ PhiMayInToner4M(ROUNDUP(H$14/$F43,0)*$E$6)+ (ROUNDUP(H$14/$F43,0)*$D$11))*(1+$D$7))</f>
        <v>169000</v>
      </c>
      <c r="I43" s="7">
        <f>LamChanHangNgan((PhiMayCatDecalVuong(I$14,$D43,$E43)+ PhiMayInToner4M(ROUNDUP(I$14/$F43,0)*$E$6)+ (ROUNDUP(I$14/$F43,0)*$D$11))*(1+$D$7))</f>
        <v>187000</v>
      </c>
      <c r="J43" s="7">
        <f>LamChanHangNgan((PhiMayCatDecalVuong(J$14,$D43,$E43)+ PhiMayInToner4M(ROUNDUP(J$14/$F43,0)*$E$6)+ (ROUNDUP(J$14/$F43,0)*$D$11))*(1+$D$7))</f>
        <v>205000</v>
      </c>
      <c r="K43" s="7">
        <f>LamChanHangNgan((PhiMayCatDecalVuong(K$14,$D43,$E43)+ PhiMayInToner4M(ROUNDUP(K$14/$F43,0)*$E$6)+ (ROUNDUP(K$14/$F43,0)*$D$11))*(1+$D$7))</f>
        <v>223000</v>
      </c>
      <c r="L43" s="7">
        <f>LamChanHangNgan((PhiMayCatDecalVuong(L$14,$D43,$E43)+ PhiMayInToner4M(ROUNDUP(L$14/$F43,0)*$E$6)+ (ROUNDUP(L$14/$F43,0)*$D$11))*(1+$D$7))</f>
        <v>241000</v>
      </c>
      <c r="M43" s="7">
        <f>LamChanHangNgan((PhiMayCatDecalVuong(M$14,$D43,$E43)+ PhiMayInToner4M(ROUNDUP(M$14/$F43,0)*$E$6)+ (ROUNDUP(M$14/$F43,0)*$D$11))*(1+$D$7))</f>
        <v>260000</v>
      </c>
      <c r="N43" s="7">
        <f>LamChanHangNgan((PhiMayCatDecalVuong(N$14,$D43,$E43)+ PhiMayInToner4M(ROUNDUP(N$14/$F43,0)*$E$6)+ (ROUNDUP(N$14/$F43,0)*$D$11))*(1+$D$7))</f>
        <v>278000</v>
      </c>
      <c r="O43" s="7">
        <f>LamChanHangNgan((PhiMayCatDecalVuong(O$14,$D43,$E43)+ PhiMayInToner4M(ROUNDUP(O$14/$F43,0)*$E$6)+ (ROUNDUP(O$14/$F43,0)*$D$11))*(1+$D$7))</f>
        <v>296000</v>
      </c>
      <c r="P43" s="7">
        <f>LamChanHangNgan((PhiMayCatDecalVuong(P$14,$D43,$E43)+ PhiMayInToner4M(ROUNDUP(P$14/$F43,0)*$E$6)+ (ROUNDUP(P$14/$F43,0)*$D$11))*(1+$D$7))</f>
        <v>314000</v>
      </c>
      <c r="Q43" s="7">
        <f>LamChanHangNgan((PhiMayCatDecalVuong(Q$14,$D43,$E43)+ PhiMayInToner4M(ROUNDUP(Q$14/$F43,0)*$E$6)+ (ROUNDUP(Q$14/$F43,0)*$D$11))*(1+$D$7))</f>
        <v>405000</v>
      </c>
      <c r="R43" s="7">
        <f>LamChanHangNgan((PhiMayCatDecalVuong(R$14,$D43,$E43)+ PhiMayInToner4M(ROUNDUP(R$14/$F43,0)*$E$6)+ (ROUNDUP(R$14/$F43,0)*$D$11))*(1+$D$7))</f>
        <v>496000</v>
      </c>
      <c r="S43" s="7">
        <f>LamChanHangNgan((PhiMayCatDecalVuong(S$14,$D43,$E43)+ PhiMayInToner4M(ROUNDUP(S$14/$F43,0)*$E$6)+ (ROUNDUP(S$14/$F43,0)*$D$11))*(1+$D$7))</f>
        <v>587000</v>
      </c>
      <c r="T43" s="7">
        <f>LamChanHangNgan((PhiMayCatDecalVuong(T$14,$D43,$E43)+ PhiMayInToner4M(ROUNDUP(T$14/$F43,0)*$E$6)+ (ROUNDUP(T$14/$F43,0)*$D$11))*(1+$D$7))</f>
        <v>678000</v>
      </c>
      <c r="U43" s="7">
        <f>LamChanHangNgan((PhiMayCatDecalVuong(U$14,$D43,$E43)+ PhiMayInToner4M(ROUNDUP(U$14/$F43,0)*$E$6)+ (ROUNDUP(U$14/$F43,0)*$D$11))*(1+$D$7))</f>
        <v>769000</v>
      </c>
      <c r="V43" s="7">
        <f>LamChanHangNgan((PhiMayCatDecalVuong(V$14,$D43,$E43)+ PhiMayInToner4M(ROUNDUP(V$14/$F43,0)*$E$6)+ (ROUNDUP(V$14/$F43,0)*$D$11))*(1+$D$7))</f>
        <v>860000</v>
      </c>
      <c r="W43" s="7">
        <f>LamChanHangNgan((PhiMayCatDecalVuong(W$14,$D43,$E43)+ PhiMayInToner4M(ROUNDUP(W$14/$F43,0)*$E$6)+ (ROUNDUP(W$14/$F43,0)*$D$11))*(1+$D$7))</f>
        <v>951000</v>
      </c>
      <c r="X43" s="7">
        <f>LamChanHangNgan((PhiMayCatDecalVuong(X$14,$D43,$E43)+ PhiMayInToner4M(ROUNDUP(X$14/$F43,0)*$E$6)+ (ROUNDUP(X$14/$F43,0)*$D$11))*(1+$D$7))</f>
        <v>1042000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0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442</v>
      </c>
      <c r="Q41" t="s">
        <v>443</v>
      </c>
      <c r="R41">
        <v>1650</v>
      </c>
    </row>
    <row r="42" spans="16:18" x14ac:dyDescent="0.25">
      <c r="P42" t="s">
        <v>444</v>
      </c>
      <c r="Q42" t="s">
        <v>445</v>
      </c>
      <c r="R42">
        <v>810</v>
      </c>
    </row>
    <row r="43" spans="16:18" x14ac:dyDescent="0.25">
      <c r="P43" t="s">
        <v>457</v>
      </c>
      <c r="Q43" t="s">
        <v>458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8</vt:i4>
      </vt:variant>
    </vt:vector>
  </HeadingPairs>
  <TitlesOfParts>
    <vt:vector size="52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SP-ThiepDon</vt:lpstr>
      <vt:lpstr>SP-ThiepDoi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2019-06-04T23:03:33Z</dcterms:modified>
</cp:coreProperties>
</file>