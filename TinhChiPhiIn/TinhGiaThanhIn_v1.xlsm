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67F5C520-1B6A-4035-B6C6-1E414F63986D}" xr6:coauthVersionLast="43" xr6:coauthVersionMax="43" xr10:uidLastSave="{00000000-0000-0000-0000-000000000000}"/>
  <bookViews>
    <workbookView xWindow="-98" yWindow="-98" windowWidth="20715" windowHeight="13425" firstSheet="30" activeTab="33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4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TheTichDiem-9x5.5" sheetId="45" r:id="rId34"/>
    <sheet name="SP-Cata-Ruot-A4" sheetId="38" r:id="rId35"/>
    <sheet name="SP-Cata-A4-Kim" sheetId="37" r:id="rId36"/>
    <sheet name="SP-Cata-A4-Keo" sheetId="39" r:id="rId37"/>
    <sheet name="Decal-Giay-Vuong" sheetId="41" r:id="rId38"/>
    <sheet name="Decal-Giay-ChNhat" sheetId="40" r:id="rId39"/>
    <sheet name="Decal-Giay-Tron" sheetId="42" r:id="rId40"/>
    <sheet name="Decal-Giay-Oval" sheetId="43" r:id="rId41"/>
    <sheet name="Decal-Giay-Khac" sheetId="44" r:id="rId42"/>
    <sheet name="Base-MayIn" sheetId="10" r:id="rId43"/>
    <sheet name="NguyenVatLieu" sheetId="13" r:id="rId44"/>
    <sheet name="Base-Margin" sheetId="15" r:id="rId45"/>
  </sheets>
  <functionGroups builtInGroupCount="19"/>
  <definedNames>
    <definedName name="atools_list_filter_1" localSheetId="10" hidden="1">BaiCMYK!$E$8:$F$9</definedName>
    <definedName name="atools_list_filter_1" localSheetId="38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'SP-Broc-3A4'!$B$10:$D$11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6" hidden="1">'SP-Cata-A4-Keo'!$A$9:$D$10</definedName>
    <definedName name="atools_list_filter_1" localSheetId="35" hidden="1">'SP-Cata-A4-Kim'!$B$9:$D$11</definedName>
    <definedName name="atools_list_filter_1" localSheetId="34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_colinvisibles_ext" localSheetId="10" hidden="1">""</definedName>
    <definedName name="atools_list_filter_1_colinvisibles_ext" localSheetId="38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srcidxs_ext" localSheetId="10" hidden="1">"1;3"</definedName>
    <definedName name="atools_list_filter_1_colsrcidxs_ext" localSheetId="38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6" hidden="1">"1;2;3;4"</definedName>
    <definedName name="atools_list_filter_1_colsrcidxs_ext" localSheetId="35" hidden="1">"1;2;3"</definedName>
    <definedName name="atools_list_filter_1_colsrcidxs_ext" localSheetId="34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widths_ext" localSheetId="10" hidden="1">""</definedName>
    <definedName name="atools_list_filter_1_colwidths_ext" localSheetId="38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onrangeaddr" localSheetId="10" hidden="1">"$E$8:$F$9"</definedName>
    <definedName name="atools_list_filter_1_onrangeaddr" localSheetId="38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6" hidden="1">"='SP-Cata-A4-Keo'!$A$9:$D$10"</definedName>
    <definedName name="atools_list_filter_1_onrangeaddr" localSheetId="35" hidden="1">"='SP-Cata-A4-Kim'!$B$9:$D$11"</definedName>
    <definedName name="atools_list_filter_1_onrangeaddr" localSheetId="34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pos_ext" localSheetId="10" hidden="1">""</definedName>
    <definedName name="atools_list_filter_1_pos_ext" localSheetId="38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roper" localSheetId="10" hidden="1">"1|1|0|0|0|||0|0||0|,||1||1||0|18|0|2.0|1|1|1|0"</definedName>
    <definedName name="atools_list_filter_1_proper" localSheetId="38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6" hidden="1">"1|1|0|0|0|||305|309||0|,||1||0||0|18|185|2.0|1|1|1|0"</definedName>
    <definedName name="atools_list_filter_1_proper" localSheetId="35" hidden="1">"1|1|1|0|0|||305|309||0|,||1||0||0|18|185|2.0|1|1|1|0"</definedName>
    <definedName name="atools_list_filter_1_proper" localSheetId="34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source" localSheetId="10" hidden="1">GIA_KHUON_EP_KIM</definedName>
    <definedName name="atools_list_filter_1_source" localSheetId="38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addr" localSheetId="10" hidden="1">"GIA_KHUON_EP_KIM"</definedName>
    <definedName name="atools_list_filter_1_sourceaddr" localSheetId="38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45" l="1"/>
  <c r="D6" i="45"/>
  <c r="H13" i="45" l="1"/>
  <c r="H14" i="45" s="1"/>
  <c r="D13" i="45"/>
  <c r="D14" i="45" s="1"/>
  <c r="F13" i="45"/>
  <c r="E13" i="45"/>
  <c r="E17" i="45" s="1"/>
  <c r="E22" i="45" s="1"/>
  <c r="G13" i="45"/>
  <c r="G14" i="45" s="1"/>
  <c r="C13" i="45"/>
  <c r="C14" i="45" s="1"/>
  <c r="J11" i="38"/>
  <c r="G8" i="11" a="1"/>
  <c r="B2" i="11" a="1"/>
  <c r="L35" i="21"/>
  <c r="L33" i="24"/>
  <c r="H16" i="45"/>
  <c r="H15" i="45"/>
  <c r="G16" i="45"/>
  <c r="G15" i="45"/>
  <c r="D16" i="45"/>
  <c r="D15" i="45"/>
  <c r="C16" i="45"/>
  <c r="C15" i="45"/>
  <c r="H17" i="45" l="1"/>
  <c r="H22" i="45" s="1"/>
  <c r="G17" i="45"/>
  <c r="G22" i="45" s="1"/>
  <c r="D17" i="45"/>
  <c r="D22" i="45" s="1"/>
  <c r="C17" i="45"/>
  <c r="C22" i="45" s="1"/>
  <c r="C18" i="45"/>
  <c r="C20" i="45" s="1"/>
  <c r="C19" i="45"/>
  <c r="D18" i="45"/>
  <c r="D21" i="45" s="1"/>
  <c r="D19" i="45"/>
  <c r="D24" i="45" s="1"/>
  <c r="D27" i="45" s="1"/>
  <c r="G18" i="45"/>
  <c r="G21" i="45" s="1"/>
  <c r="G19" i="45"/>
  <c r="H18" i="45"/>
  <c r="H23" i="45" s="1"/>
  <c r="H26" i="45" s="1"/>
  <c r="H19" i="45"/>
  <c r="H24" i="45" s="1"/>
  <c r="H27" i="45" s="1"/>
  <c r="F17" i="45"/>
  <c r="F22" i="45" s="1"/>
  <c r="F14" i="45"/>
  <c r="E14" i="45"/>
  <c r="G23" i="45"/>
  <c r="G26" i="45" s="1"/>
  <c r="C24" i="45"/>
  <c r="C27" i="45" s="1"/>
  <c r="C23" i="45"/>
  <c r="C26" i="45" s="1"/>
  <c r="C21" i="45"/>
  <c r="H20" i="45"/>
  <c r="D20" i="45"/>
  <c r="D23" i="45"/>
  <c r="D26" i="45" s="1"/>
  <c r="G24" i="45"/>
  <c r="G27" i="45" s="1"/>
  <c r="J8" i="1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N21" i="16"/>
  <c r="M21" i="16"/>
  <c r="L21" i="16"/>
  <c r="K21" i="16"/>
  <c r="J21" i="16"/>
  <c r="I21" i="16"/>
  <c r="H21" i="16"/>
  <c r="G21" i="16"/>
  <c r="F21" i="16"/>
  <c r="E21" i="16"/>
  <c r="N28" i="16"/>
  <c r="M28" i="16"/>
  <c r="L28" i="16"/>
  <c r="K28" i="16"/>
  <c r="J28" i="16"/>
  <c r="I28" i="16"/>
  <c r="H28" i="16"/>
  <c r="G28" i="16"/>
  <c r="F28" i="16"/>
  <c r="E28" i="16"/>
  <c r="N27" i="16"/>
  <c r="M27" i="16"/>
  <c r="L27" i="16"/>
  <c r="K27" i="16"/>
  <c r="J27" i="16"/>
  <c r="I27" i="16"/>
  <c r="H27" i="16"/>
  <c r="G27" i="16"/>
  <c r="F27" i="16"/>
  <c r="E27" i="16"/>
  <c r="J15" i="17"/>
  <c r="G20" i="22"/>
  <c r="B18" i="16"/>
  <c r="H15" i="20"/>
  <c r="E20" i="23"/>
  <c r="G15" i="17"/>
  <c r="H20" i="24"/>
  <c r="E15" i="19"/>
  <c r="H15" i="28"/>
  <c r="J19" i="24"/>
  <c r="H15" i="19"/>
  <c r="I19" i="24"/>
  <c r="M19" i="16"/>
  <c r="E16" i="20"/>
  <c r="E20" i="25"/>
  <c r="H20" i="21"/>
  <c r="F20" i="25"/>
  <c r="J19" i="21"/>
  <c r="N20" i="16"/>
  <c r="I16" i="18"/>
  <c r="H19" i="22"/>
  <c r="I19" i="22"/>
  <c r="I20" i="23"/>
  <c r="H16" i="18"/>
  <c r="G15" i="28"/>
  <c r="F20" i="23"/>
  <c r="J15" i="18"/>
  <c r="J19" i="23"/>
  <c r="G19" i="24"/>
  <c r="H16" i="19"/>
  <c r="N19" i="16"/>
  <c r="I15" i="20"/>
  <c r="E15" i="17"/>
  <c r="J16" i="18"/>
  <c r="I19" i="29"/>
  <c r="J19" i="29"/>
  <c r="M20" i="16"/>
  <c r="F16" i="20"/>
  <c r="J19" i="16"/>
  <c r="G20" i="25"/>
  <c r="G19" i="21"/>
  <c r="H16" i="20"/>
  <c r="E19" i="23"/>
  <c r="I15" i="17"/>
  <c r="J15" i="28"/>
  <c r="G20" i="23"/>
  <c r="F16" i="17"/>
  <c r="J20" i="22"/>
  <c r="E20" i="24"/>
  <c r="G15" i="18"/>
  <c r="I19" i="16"/>
  <c r="E15" i="20"/>
  <c r="H20" i="16"/>
  <c r="G16" i="20"/>
  <c r="K20" i="16"/>
  <c r="F20" i="16"/>
  <c r="E20" i="21"/>
  <c r="I15" i="18"/>
  <c r="H20" i="22"/>
  <c r="J19" i="22"/>
  <c r="E16" i="28"/>
  <c r="F19" i="22"/>
  <c r="E16" i="17"/>
  <c r="I20" i="21"/>
  <c r="H19" i="23"/>
  <c r="E16" i="18"/>
  <c r="H19" i="24"/>
  <c r="I15" i="19"/>
  <c r="G16" i="28"/>
  <c r="H16" i="28"/>
  <c r="G19" i="29"/>
  <c r="F19" i="29"/>
  <c r="F20" i="24"/>
  <c r="F15" i="19"/>
  <c r="I20" i="24"/>
  <c r="G20" i="16"/>
  <c r="J15" i="20"/>
  <c r="F19" i="25"/>
  <c r="H19" i="21"/>
  <c r="J16" i="19"/>
  <c r="D32" i="25"/>
  <c r="G19" i="25"/>
  <c r="J15" i="19"/>
  <c r="G19" i="22"/>
  <c r="F15" i="17"/>
  <c r="E19" i="24"/>
  <c r="H16" i="17"/>
  <c r="G20" i="24"/>
  <c r="F16" i="18"/>
  <c r="E20" i="16"/>
  <c r="G15" i="19"/>
  <c r="K19" i="16"/>
  <c r="E19" i="21"/>
  <c r="J20" i="16"/>
  <c r="G20" i="21"/>
  <c r="G16" i="17"/>
  <c r="E20" i="22"/>
  <c r="H20" i="23"/>
  <c r="I16" i="28"/>
  <c r="E19" i="29"/>
  <c r="G16" i="18"/>
  <c r="F19" i="24"/>
  <c r="H19" i="16"/>
  <c r="F15" i="20"/>
  <c r="J16" i="28"/>
  <c r="I16" i="20"/>
  <c r="E19" i="25"/>
  <c r="F19" i="21"/>
  <c r="I20" i="22"/>
  <c r="F20" i="22"/>
  <c r="I16" i="17"/>
  <c r="G19" i="23"/>
  <c r="F15" i="18"/>
  <c r="I16" i="19"/>
  <c r="L19" i="16"/>
  <c r="F16" i="19"/>
  <c r="I20" i="16"/>
  <c r="G15" i="20"/>
  <c r="E19" i="22"/>
  <c r="J16" i="20"/>
  <c r="E15" i="28"/>
  <c r="H19" i="29"/>
  <c r="F20" i="21"/>
  <c r="J20" i="23"/>
  <c r="J16" i="17"/>
  <c r="G19" i="16"/>
  <c r="I19" i="21"/>
  <c r="E15" i="18"/>
  <c r="F15" i="28"/>
  <c r="F19" i="23"/>
  <c r="I19" i="23"/>
  <c r="E16" i="19"/>
  <c r="F19" i="16"/>
  <c r="L20" i="16"/>
  <c r="G16" i="19"/>
  <c r="F16" i="28"/>
  <c r="J20" i="21"/>
  <c r="E19" i="16"/>
  <c r="I15" i="28"/>
  <c r="J20" i="24"/>
  <c r="H15" i="17"/>
  <c r="H15" i="18"/>
  <c r="F16" i="45"/>
  <c r="F15" i="45"/>
  <c r="E15" i="45"/>
  <c r="E16" i="45"/>
  <c r="G20" i="45" l="1"/>
  <c r="E18" i="45"/>
  <c r="E23" i="45" s="1"/>
  <c r="E26" i="45" s="1"/>
  <c r="F18" i="45"/>
  <c r="F19" i="45"/>
  <c r="F24" i="45" s="1"/>
  <c r="F27" i="45" s="1"/>
  <c r="H21" i="45"/>
  <c r="E19" i="45"/>
  <c r="E24" i="45" s="1"/>
  <c r="E27" i="45" s="1"/>
  <c r="N14" i="38"/>
  <c r="C23" i="38"/>
  <c r="F21" i="38"/>
  <c r="D20" i="25"/>
  <c r="C16" i="38"/>
  <c r="H18" i="38"/>
  <c r="E15" i="38"/>
  <c r="H20" i="38"/>
  <c r="H17" i="38"/>
  <c r="E17" i="38"/>
  <c r="D20" i="38"/>
  <c r="D15" i="38"/>
  <c r="C14" i="38"/>
  <c r="C22" i="38"/>
  <c r="E23" i="38"/>
  <c r="E14" i="38"/>
  <c r="H22" i="38"/>
  <c r="E22" i="38"/>
  <c r="F14" i="38"/>
  <c r="C20" i="38"/>
  <c r="H15" i="38"/>
  <c r="G22" i="38"/>
  <c r="D18" i="38"/>
  <c r="H23" i="38"/>
  <c r="F20" i="38"/>
  <c r="F19" i="38"/>
  <c r="G13" i="38"/>
  <c r="H14" i="38"/>
  <c r="G14" i="38"/>
  <c r="F23" i="38"/>
  <c r="D16" i="38"/>
  <c r="F25" i="38"/>
  <c r="F17" i="38"/>
  <c r="D21" i="38"/>
  <c r="H19" i="38"/>
  <c r="H24" i="38"/>
  <c r="F13" i="38"/>
  <c r="H16" i="38"/>
  <c r="E21" i="38"/>
  <c r="D23" i="38"/>
  <c r="G21" i="38"/>
  <c r="C21" i="38"/>
  <c r="G19" i="38"/>
  <c r="E20" i="38"/>
  <c r="G24" i="38"/>
  <c r="C18" i="38"/>
  <c r="G15" i="38"/>
  <c r="C13" i="38"/>
  <c r="E25" i="38"/>
  <c r="C17" i="38"/>
  <c r="D25" i="38"/>
  <c r="F24" i="38"/>
  <c r="F18" i="38"/>
  <c r="E19" i="38"/>
  <c r="D19" i="38"/>
  <c r="G20" i="38"/>
  <c r="F22" i="38"/>
  <c r="D17" i="38"/>
  <c r="C15" i="38"/>
  <c r="D22" i="38"/>
  <c r="E18" i="38"/>
  <c r="E13" i="38"/>
  <c r="G18" i="38"/>
  <c r="D24" i="38"/>
  <c r="G23" i="38"/>
  <c r="D14" i="38"/>
  <c r="C19" i="38"/>
  <c r="F15" i="38"/>
  <c r="D19" i="25"/>
  <c r="H25" i="38"/>
  <c r="C24" i="38"/>
  <c r="H21" i="38"/>
  <c r="H13" i="38"/>
  <c r="E16" i="38"/>
  <c r="G25" i="38"/>
  <c r="G16" i="38"/>
  <c r="E24" i="38"/>
  <c r="F16" i="38"/>
  <c r="D13" i="38"/>
  <c r="C25" i="38"/>
  <c r="G17" i="38"/>
  <c r="N13" i="38"/>
  <c r="E20" i="45" l="1"/>
  <c r="E21" i="45"/>
  <c r="F23" i="45"/>
  <c r="F26" i="45" s="1"/>
  <c r="F21" i="45"/>
  <c r="F20" i="45"/>
  <c r="D18" i="25"/>
  <c r="D16" i="25"/>
  <c r="D17" i="25" s="1"/>
  <c r="E16" i="25"/>
  <c r="E17" i="25" s="1"/>
  <c r="F16" i="25"/>
  <c r="F17" i="25" s="1"/>
  <c r="F16" i="36"/>
  <c r="C25" i="26"/>
  <c r="G16" i="36"/>
  <c r="H16" i="34"/>
  <c r="C16" i="36"/>
  <c r="D25" i="26"/>
  <c r="D16" i="34"/>
  <c r="H16" i="36"/>
  <c r="H16" i="35"/>
  <c r="H25" i="26"/>
  <c r="F25" i="26"/>
  <c r="G16" i="35"/>
  <c r="C16" i="35"/>
  <c r="C16" i="34"/>
  <c r="D16" i="36"/>
  <c r="E16" i="34"/>
  <c r="F16" i="35"/>
  <c r="E16" i="35"/>
  <c r="G25" i="26"/>
  <c r="F16" i="34"/>
  <c r="E25" i="26"/>
  <c r="E16" i="36"/>
  <c r="D16" i="35"/>
  <c r="G16" i="34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15" i="44"/>
  <c r="F16" i="44"/>
  <c r="F38" i="44"/>
  <c r="F43" i="44"/>
  <c r="F32" i="44"/>
  <c r="F23" i="44"/>
  <c r="F17" i="44"/>
  <c r="F35" i="44"/>
  <c r="F28" i="44"/>
  <c r="F20" i="44"/>
  <c r="F22" i="44"/>
  <c r="F27" i="44"/>
  <c r="F31" i="44"/>
  <c r="F19" i="44"/>
  <c r="F33" i="44"/>
  <c r="F26" i="44"/>
  <c r="F42" i="44"/>
  <c r="F21" i="44"/>
  <c r="F18" i="44"/>
  <c r="F29" i="44"/>
  <c r="F24" i="44"/>
  <c r="F37" i="44"/>
  <c r="F36" i="44"/>
  <c r="F41" i="44"/>
  <c r="F30" i="44"/>
  <c r="F39" i="44"/>
  <c r="F25" i="44"/>
  <c r="F34" i="44"/>
  <c r="F40" i="44"/>
  <c r="D21" i="25" l="1"/>
  <c r="D22" i="25"/>
  <c r="D27" i="25" s="1"/>
  <c r="D38" i="25" s="1"/>
  <c r="E22" i="25"/>
  <c r="E27" i="25" s="1"/>
  <c r="E21" i="25"/>
  <c r="F22" i="25"/>
  <c r="F27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O40" i="44"/>
  <c r="J40" i="44"/>
  <c r="Q40" i="44"/>
  <c r="T40" i="44"/>
  <c r="P40" i="44"/>
  <c r="O34" i="44"/>
  <c r="M34" i="44"/>
  <c r="X34" i="44"/>
  <c r="V34" i="44"/>
  <c r="N25" i="44"/>
  <c r="J25" i="44"/>
  <c r="U25" i="44"/>
  <c r="L25" i="44"/>
  <c r="K25" i="44"/>
  <c r="J39" i="44"/>
  <c r="X39" i="44"/>
  <c r="T39" i="44"/>
  <c r="U39" i="44"/>
  <c r="I30" i="44"/>
  <c r="U30" i="44"/>
  <c r="P30" i="44"/>
  <c r="W30" i="44"/>
  <c r="N30" i="44"/>
  <c r="X41" i="44"/>
  <c r="T41" i="44"/>
  <c r="R41" i="44"/>
  <c r="K41" i="44"/>
  <c r="S36" i="44"/>
  <c r="N36" i="44"/>
  <c r="U36" i="44"/>
  <c r="X36" i="44"/>
  <c r="L36" i="44"/>
  <c r="L37" i="44"/>
  <c r="H37" i="44"/>
  <c r="V37" i="44"/>
  <c r="G37" i="44"/>
  <c r="O24" i="44"/>
  <c r="J24" i="44"/>
  <c r="Q24" i="44"/>
  <c r="P24" i="44"/>
  <c r="H24" i="44"/>
  <c r="T29" i="44"/>
  <c r="R29" i="44"/>
  <c r="M29" i="44"/>
  <c r="S29" i="44"/>
  <c r="U18" i="44"/>
  <c r="X18" i="44"/>
  <c r="J18" i="44"/>
  <c r="K18" i="44"/>
  <c r="W18" i="44"/>
  <c r="N21" i="44"/>
  <c r="T21" i="44"/>
  <c r="O21" i="44"/>
  <c r="L21" i="44"/>
  <c r="M42" i="44"/>
  <c r="X42" i="44"/>
  <c r="T42" i="44"/>
  <c r="K42" i="44"/>
  <c r="N42" i="44"/>
  <c r="W26" i="44"/>
  <c r="S26" i="44"/>
  <c r="Q26" i="44"/>
  <c r="G26" i="44"/>
  <c r="V33" i="44"/>
  <c r="Q33" i="44"/>
  <c r="X33" i="44"/>
  <c r="T33" i="44"/>
  <c r="W33" i="44"/>
  <c r="P19" i="44"/>
  <c r="X19" i="44"/>
  <c r="M19" i="44"/>
  <c r="J19" i="44"/>
  <c r="X31" i="44"/>
  <c r="T31" i="44"/>
  <c r="O31" i="44"/>
  <c r="V31" i="44"/>
  <c r="U31" i="44"/>
  <c r="V27" i="44"/>
  <c r="R27" i="44"/>
  <c r="P27" i="44"/>
  <c r="I27" i="44"/>
  <c r="Q22" i="44"/>
  <c r="L22" i="44"/>
  <c r="H22" i="44"/>
  <c r="O22" i="44"/>
  <c r="N22" i="44"/>
  <c r="O20" i="44"/>
  <c r="W20" i="44"/>
  <c r="T20" i="44"/>
  <c r="I20" i="44"/>
  <c r="K28" i="44"/>
  <c r="V28" i="44"/>
  <c r="M28" i="44"/>
  <c r="X28" i="44"/>
  <c r="P28" i="44"/>
  <c r="N35" i="44"/>
  <c r="L35" i="44"/>
  <c r="H35" i="44"/>
  <c r="G35" i="44"/>
  <c r="U17" i="44"/>
  <c r="T17" i="44"/>
  <c r="P17" i="44"/>
  <c r="K17" i="44"/>
  <c r="H17" i="44"/>
  <c r="J23" i="44"/>
  <c r="X23" i="44"/>
  <c r="T23" i="44"/>
  <c r="Q23" i="44"/>
  <c r="W32" i="44"/>
  <c r="R32" i="44"/>
  <c r="I32" i="44"/>
  <c r="H32" i="44"/>
  <c r="X32" i="44"/>
  <c r="V43" i="44"/>
  <c r="R43" i="44"/>
  <c r="P43" i="44"/>
  <c r="Q43" i="44"/>
  <c r="Q38" i="44"/>
  <c r="L38" i="44"/>
  <c r="H38" i="44"/>
  <c r="O38" i="44"/>
  <c r="V38" i="44"/>
  <c r="N16" i="44"/>
  <c r="Q16" i="44"/>
  <c r="T16" i="44"/>
  <c r="I16" i="44"/>
  <c r="T15" i="44"/>
  <c r="P15" i="44"/>
  <c r="G15" i="44"/>
  <c r="I15" i="44"/>
  <c r="K15" i="44"/>
  <c r="F31" i="43"/>
  <c r="F27" i="42"/>
  <c r="F15" i="41"/>
  <c r="F42" i="43"/>
  <c r="F35" i="43"/>
  <c r="F39" i="43"/>
  <c r="F23" i="43"/>
  <c r="F21" i="41"/>
  <c r="F34" i="43"/>
  <c r="F33" i="43"/>
  <c r="F31" i="42"/>
  <c r="F32" i="40"/>
  <c r="F22" i="42"/>
  <c r="F19" i="42"/>
  <c r="F37" i="40"/>
  <c r="F32" i="43"/>
  <c r="F27" i="43"/>
  <c r="F20" i="43"/>
  <c r="F30" i="40"/>
  <c r="F31" i="40"/>
  <c r="M23" i="44"/>
  <c r="P32" i="44"/>
  <c r="H43" i="44"/>
  <c r="G43" i="44"/>
  <c r="U38" i="44"/>
  <c r="U16" i="44"/>
  <c r="O16" i="44"/>
  <c r="L15" i="44"/>
  <c r="F15" i="43"/>
  <c r="F29" i="42"/>
  <c r="F33" i="40"/>
  <c r="F28" i="40"/>
  <c r="F20" i="42"/>
  <c r="F16" i="42"/>
  <c r="F24" i="40"/>
  <c r="F39" i="40"/>
  <c r="F16" i="43"/>
  <c r="M40" i="44"/>
  <c r="T34" i="44"/>
  <c r="I34" i="44"/>
  <c r="H25" i="44"/>
  <c r="W25" i="44"/>
  <c r="R39" i="44"/>
  <c r="S30" i="44"/>
  <c r="Q30" i="44"/>
  <c r="M41" i="44"/>
  <c r="S41" i="44"/>
  <c r="O36" i="44"/>
  <c r="Q37" i="44"/>
  <c r="T37" i="44"/>
  <c r="V24" i="44"/>
  <c r="G24" i="44"/>
  <c r="N29" i="44"/>
  <c r="G29" i="44"/>
  <c r="R18" i="44"/>
  <c r="I21" i="44"/>
  <c r="G21" i="44"/>
  <c r="U42" i="44"/>
  <c r="R42" i="44"/>
  <c r="V26" i="44"/>
  <c r="R33" i="44"/>
  <c r="O33" i="44"/>
  <c r="S19" i="44"/>
  <c r="U19" i="44"/>
  <c r="R31" i="44"/>
  <c r="K27" i="44"/>
  <c r="M27" i="44"/>
  <c r="M22" i="44"/>
  <c r="R22" i="44"/>
  <c r="R20" i="44"/>
  <c r="P20" i="44"/>
  <c r="I28" i="44"/>
  <c r="S35" i="44"/>
  <c r="X35" i="44"/>
  <c r="M35" i="44"/>
  <c r="L17" i="44"/>
  <c r="O23" i="44"/>
  <c r="I23" i="44"/>
  <c r="N32" i="44"/>
  <c r="T32" i="44"/>
  <c r="N43" i="44"/>
  <c r="I43" i="44"/>
  <c r="G38" i="44"/>
  <c r="P16" i="44"/>
  <c r="W16" i="44"/>
  <c r="Q15" i="44"/>
  <c r="F41" i="43"/>
  <c r="F20" i="41"/>
  <c r="F18" i="42"/>
  <c r="F21" i="40"/>
  <c r="F36" i="43"/>
  <c r="F28" i="42"/>
  <c r="F18" i="40"/>
  <c r="F17" i="40"/>
  <c r="N40" i="44"/>
  <c r="U40" i="44"/>
  <c r="S40" i="44"/>
  <c r="X40" i="44"/>
  <c r="G40" i="44"/>
  <c r="Q34" i="44"/>
  <c r="L34" i="44"/>
  <c r="H34" i="44"/>
  <c r="R34" i="44"/>
  <c r="M25" i="44"/>
  <c r="I25" i="44"/>
  <c r="P25" i="44"/>
  <c r="S25" i="44"/>
  <c r="O25" i="44"/>
  <c r="L39" i="44"/>
  <c r="H39" i="44"/>
  <c r="S39" i="44"/>
  <c r="M39" i="44"/>
  <c r="X30" i="44"/>
  <c r="T30" i="44"/>
  <c r="K30" i="44"/>
  <c r="R30" i="44"/>
  <c r="G30" i="44"/>
  <c r="H41" i="44"/>
  <c r="V41" i="44"/>
  <c r="Q41" i="44"/>
  <c r="G41" i="44"/>
  <c r="R36" i="44"/>
  <c r="I36" i="44"/>
  <c r="W36" i="44"/>
  <c r="P36" i="44"/>
  <c r="T36" i="44"/>
  <c r="N37" i="44"/>
  <c r="J37" i="44"/>
  <c r="U37" i="44"/>
  <c r="S37" i="44"/>
  <c r="N24" i="44"/>
  <c r="U24" i="44"/>
  <c r="S24" i="44"/>
  <c r="T24" i="44"/>
  <c r="L24" i="44"/>
  <c r="V29" i="44"/>
  <c r="Q29" i="44"/>
  <c r="X29" i="44"/>
  <c r="K29" i="44"/>
  <c r="T18" i="44"/>
  <c r="H18" i="44"/>
  <c r="O18" i="44"/>
  <c r="I18" i="44"/>
  <c r="M18" i="44"/>
  <c r="M21" i="44"/>
  <c r="V21" i="44"/>
  <c r="W21" i="44"/>
  <c r="K21" i="44"/>
  <c r="L42" i="44"/>
  <c r="H42" i="44"/>
  <c r="O42" i="44"/>
  <c r="V42" i="44"/>
  <c r="J42" i="44"/>
  <c r="I26" i="44"/>
  <c r="U26" i="44"/>
  <c r="P26" i="44"/>
  <c r="J26" i="44"/>
  <c r="U33" i="44"/>
  <c r="L33" i="44"/>
  <c r="H33" i="44"/>
  <c r="S33" i="44"/>
  <c r="G33" i="44"/>
  <c r="O19" i="44"/>
  <c r="H19" i="44"/>
  <c r="G19" i="44"/>
  <c r="V19" i="44"/>
  <c r="H31" i="44"/>
  <c r="S31" i="44"/>
  <c r="J31" i="44"/>
  <c r="I31" i="44"/>
  <c r="Q31" i="44"/>
  <c r="X27" i="44"/>
  <c r="T27" i="44"/>
  <c r="O27" i="44"/>
  <c r="Q27" i="44"/>
  <c r="P22" i="44"/>
  <c r="W22" i="44"/>
  <c r="S22" i="44"/>
  <c r="J22" i="44"/>
  <c r="V22" i="44"/>
  <c r="N20" i="44"/>
  <c r="V20" i="44"/>
  <c r="M20" i="44"/>
  <c r="H20" i="44"/>
  <c r="J28" i="44"/>
  <c r="Q28" i="44"/>
  <c r="O28" i="44"/>
  <c r="L28" i="44"/>
  <c r="T28" i="44"/>
  <c r="P35" i="44"/>
  <c r="K35" i="44"/>
  <c r="W35" i="44"/>
  <c r="I35" i="44"/>
  <c r="Q17" i="44"/>
  <c r="J17" i="44"/>
  <c r="W17" i="44"/>
  <c r="O17" i="44"/>
  <c r="R17" i="44"/>
  <c r="L23" i="44"/>
  <c r="H23" i="44"/>
  <c r="S23" i="44"/>
  <c r="U23" i="44"/>
  <c r="V32" i="44"/>
  <c r="M32" i="44"/>
  <c r="K32" i="44"/>
  <c r="L32" i="44"/>
  <c r="G32" i="44"/>
  <c r="X43" i="44"/>
  <c r="T43" i="44"/>
  <c r="O43" i="44"/>
  <c r="M43" i="44"/>
  <c r="P38" i="44"/>
  <c r="W38" i="44"/>
  <c r="S38" i="44"/>
  <c r="J38" i="44"/>
  <c r="N38" i="44"/>
  <c r="J16" i="44"/>
  <c r="S16" i="44"/>
  <c r="M16" i="44"/>
  <c r="X16" i="44"/>
  <c r="O15" i="44"/>
  <c r="V15" i="44"/>
  <c r="W15" i="44"/>
  <c r="X15" i="44"/>
  <c r="H15" i="44"/>
  <c r="F25" i="42"/>
  <c r="F27" i="40"/>
  <c r="F40" i="43"/>
  <c r="F30" i="42"/>
  <c r="F29" i="43"/>
  <c r="F15" i="40"/>
  <c r="F24" i="42"/>
  <c r="F25" i="40"/>
  <c r="F17" i="43"/>
  <c r="F19" i="40"/>
  <c r="F24" i="43"/>
  <c r="F23" i="42"/>
  <c r="F18" i="41"/>
  <c r="F22" i="43"/>
  <c r="F40" i="40"/>
  <c r="F18" i="43"/>
  <c r="F38" i="40"/>
  <c r="F23" i="41"/>
  <c r="F30" i="43"/>
  <c r="F38" i="43"/>
  <c r="N23" i="44"/>
  <c r="J32" i="44"/>
  <c r="S43" i="44"/>
  <c r="J43" i="44"/>
  <c r="I38" i="44"/>
  <c r="V16" i="44"/>
  <c r="K16" i="44"/>
  <c r="J15" i="44"/>
  <c r="S15" i="44"/>
  <c r="F43" i="43"/>
  <c r="F20" i="40"/>
  <c r="F22" i="40"/>
  <c r="F17" i="41"/>
  <c r="F17" i="42"/>
  <c r="F37" i="43"/>
  <c r="F21" i="43"/>
  <c r="F23" i="40"/>
  <c r="F16" i="41"/>
  <c r="K40" i="44"/>
  <c r="H40" i="44"/>
  <c r="N34" i="44"/>
  <c r="J34" i="44"/>
  <c r="Q25" i="44"/>
  <c r="V39" i="44"/>
  <c r="G39" i="44"/>
  <c r="L30" i="44"/>
  <c r="I41" i="44"/>
  <c r="W41" i="44"/>
  <c r="J36" i="44"/>
  <c r="G36" i="44"/>
  <c r="K37" i="44"/>
  <c r="K24" i="44"/>
  <c r="I29" i="44"/>
  <c r="P29" i="44"/>
  <c r="L18" i="44"/>
  <c r="N18" i="44"/>
  <c r="Q21" i="44"/>
  <c r="S21" i="44"/>
  <c r="I42" i="44"/>
  <c r="L26" i="44"/>
  <c r="O26" i="44"/>
  <c r="R26" i="44"/>
  <c r="I33" i="44"/>
  <c r="K19" i="44"/>
  <c r="Q19" i="44"/>
  <c r="P31" i="44"/>
  <c r="M31" i="44"/>
  <c r="N27" i="44"/>
  <c r="U27" i="44"/>
  <c r="T22" i="44"/>
  <c r="J20" i="44"/>
  <c r="G20" i="44"/>
  <c r="R28" i="44"/>
  <c r="G28" i="44"/>
  <c r="U35" i="44"/>
  <c r="I17" i="44"/>
  <c r="X17" i="44"/>
  <c r="V23" i="44"/>
  <c r="G23" i="44"/>
  <c r="U32" i="44"/>
  <c r="K43" i="44"/>
  <c r="U43" i="44"/>
  <c r="M38" i="44"/>
  <c r="T38" i="44"/>
  <c r="R16" i="44"/>
  <c r="G16" i="44"/>
  <c r="U15" i="44"/>
  <c r="N15" i="44"/>
  <c r="F36" i="40"/>
  <c r="F28" i="43"/>
  <c r="F35" i="40"/>
  <c r="F19" i="41"/>
  <c r="F34" i="40"/>
  <c r="F25" i="43"/>
  <c r="F19" i="43"/>
  <c r="F22" i="41"/>
  <c r="F26" i="43"/>
  <c r="I40" i="44"/>
  <c r="W40" i="44"/>
  <c r="R40" i="44"/>
  <c r="L40" i="44"/>
  <c r="U34" i="44"/>
  <c r="P34" i="44"/>
  <c r="W34" i="44"/>
  <c r="S34" i="44"/>
  <c r="G34" i="44"/>
  <c r="X25" i="44"/>
  <c r="T25" i="44"/>
  <c r="R25" i="44"/>
  <c r="G25" i="44"/>
  <c r="P39" i="44"/>
  <c r="K39" i="44"/>
  <c r="W39" i="44"/>
  <c r="N39" i="44"/>
  <c r="I39" i="44"/>
  <c r="H30" i="44"/>
  <c r="O30" i="44"/>
  <c r="M30" i="44"/>
  <c r="V30" i="44"/>
  <c r="N41" i="44"/>
  <c r="J41" i="44"/>
  <c r="U41" i="44"/>
  <c r="L41" i="44"/>
  <c r="O41" i="44"/>
  <c r="M36" i="44"/>
  <c r="K36" i="44"/>
  <c r="V36" i="44"/>
  <c r="H36" i="44"/>
  <c r="R37" i="44"/>
  <c r="M37" i="44"/>
  <c r="I37" i="44"/>
  <c r="P37" i="44"/>
  <c r="O37" i="44"/>
  <c r="I24" i="44"/>
  <c r="W24" i="44"/>
  <c r="R24" i="44"/>
  <c r="X24" i="44"/>
  <c r="J29" i="44"/>
  <c r="U29" i="44"/>
  <c r="L29" i="44"/>
  <c r="H29" i="44"/>
  <c r="W29" i="44"/>
  <c r="P18" i="44"/>
  <c r="S18" i="44"/>
  <c r="Q18" i="44"/>
  <c r="V18" i="44"/>
  <c r="R21" i="44"/>
  <c r="J21" i="44"/>
  <c r="U21" i="44"/>
  <c r="X21" i="44"/>
  <c r="H21" i="44"/>
  <c r="W42" i="44"/>
  <c r="S42" i="44"/>
  <c r="Q42" i="44"/>
  <c r="G42" i="44"/>
  <c r="M26" i="44"/>
  <c r="X26" i="44"/>
  <c r="T26" i="44"/>
  <c r="K26" i="44"/>
  <c r="N26" i="44"/>
  <c r="P33" i="44"/>
  <c r="N33" i="44"/>
  <c r="J33" i="44"/>
  <c r="K33" i="44"/>
  <c r="T19" i="44"/>
  <c r="L19" i="44"/>
  <c r="W19" i="44"/>
  <c r="N19" i="44"/>
  <c r="I19" i="44"/>
  <c r="W31" i="44"/>
  <c r="N31" i="44"/>
  <c r="L31" i="44"/>
  <c r="G31" i="44"/>
  <c r="L27" i="44"/>
  <c r="H27" i="44"/>
  <c r="S27" i="44"/>
  <c r="J27" i="44"/>
  <c r="G27" i="44"/>
  <c r="K22" i="44"/>
  <c r="I22" i="44"/>
  <c r="U22" i="44"/>
  <c r="G22" i="44"/>
  <c r="S20" i="44"/>
  <c r="K20" i="44"/>
  <c r="Q20" i="44"/>
  <c r="X20" i="44"/>
  <c r="L20" i="44"/>
  <c r="U28" i="44"/>
  <c r="S28" i="44"/>
  <c r="N28" i="44"/>
  <c r="H28" i="44"/>
  <c r="T35" i="44"/>
  <c r="O35" i="44"/>
  <c r="V35" i="44"/>
  <c r="R35" i="44"/>
  <c r="Q35" i="44"/>
  <c r="M17" i="44"/>
  <c r="V17" i="44"/>
  <c r="N17" i="44"/>
  <c r="G17" i="44"/>
  <c r="P23" i="44"/>
  <c r="K23" i="44"/>
  <c r="W23" i="44"/>
  <c r="Q32" i="44"/>
  <c r="O32" i="44"/>
  <c r="L43" i="44"/>
  <c r="K38" i="44"/>
  <c r="R38" i="44"/>
  <c r="H16" i="44"/>
  <c r="R15" i="44"/>
  <c r="F41" i="40"/>
  <c r="F26" i="42"/>
  <c r="F21" i="42"/>
  <c r="V40" i="44"/>
  <c r="K34" i="44"/>
  <c r="V25" i="44"/>
  <c r="O39" i="44"/>
  <c r="Q39" i="44"/>
  <c r="J30" i="44"/>
  <c r="P41" i="44"/>
  <c r="Q36" i="44"/>
  <c r="X37" i="44"/>
  <c r="W37" i="44"/>
  <c r="M24" i="44"/>
  <c r="O29" i="44"/>
  <c r="G18" i="44"/>
  <c r="P21" i="44"/>
  <c r="P42" i="44"/>
  <c r="H26" i="44"/>
  <c r="M33" i="44"/>
  <c r="R19" i="44"/>
  <c r="K31" i="44"/>
  <c r="W27" i="44"/>
  <c r="X22" i="44"/>
  <c r="U20" i="44"/>
  <c r="W28" i="44"/>
  <c r="J35" i="44"/>
  <c r="S17" i="44"/>
  <c r="R23" i="44"/>
  <c r="S32" i="44"/>
  <c r="W43" i="44"/>
  <c r="X38" i="44"/>
  <c r="L16" i="44"/>
  <c r="M15" i="44"/>
  <c r="F26" i="40"/>
  <c r="F29" i="40"/>
  <c r="F15" i="42"/>
  <c r="F16" i="40"/>
  <c r="E30" i="25" l="1"/>
  <c r="E38" i="25"/>
  <c r="F30" i="25"/>
  <c r="F38" i="25"/>
  <c r="D30" i="25"/>
  <c r="D26" i="25"/>
  <c r="D37" i="25" s="1"/>
  <c r="D24" i="25"/>
  <c r="D23" i="25"/>
  <c r="F24" i="25"/>
  <c r="F23" i="25"/>
  <c r="F26" i="25"/>
  <c r="E24" i="25"/>
  <c r="E26" i="25"/>
  <c r="E23" i="25"/>
  <c r="L14" i="44"/>
  <c r="J14" i="43"/>
  <c r="K14" i="42"/>
  <c r="J14" i="40"/>
  <c r="W16" i="40"/>
  <c r="S16" i="40"/>
  <c r="Y16" i="40"/>
  <c r="V16" i="40"/>
  <c r="I16" i="40"/>
  <c r="Y15" i="42"/>
  <c r="Q15" i="42"/>
  <c r="K15" i="42"/>
  <c r="S15" i="42"/>
  <c r="O15" i="42"/>
  <c r="T29" i="40"/>
  <c r="I29" i="40"/>
  <c r="X29" i="40"/>
  <c r="V29" i="40"/>
  <c r="J29" i="40"/>
  <c r="H26" i="40"/>
  <c r="V26" i="40"/>
  <c r="L26" i="40"/>
  <c r="X26" i="40"/>
  <c r="Q21" i="42"/>
  <c r="Y21" i="42"/>
  <c r="X21" i="42"/>
  <c r="T21" i="42"/>
  <c r="L21" i="42"/>
  <c r="S26" i="42"/>
  <c r="H26" i="42"/>
  <c r="U26" i="42"/>
  <c r="V26" i="42"/>
  <c r="Y26" i="42"/>
  <c r="S41" i="40"/>
  <c r="X41" i="40"/>
  <c r="I41" i="40"/>
  <c r="N41" i="40"/>
  <c r="M41" i="40"/>
  <c r="X26" i="43"/>
  <c r="O26" i="43"/>
  <c r="Q26" i="43"/>
  <c r="Q22" i="41"/>
  <c r="W22" i="41"/>
  <c r="Y19" i="43"/>
  <c r="R19" i="43"/>
  <c r="T19" i="43"/>
  <c r="T25" i="43"/>
  <c r="Q25" i="43"/>
  <c r="R25" i="43"/>
  <c r="S34" i="40"/>
  <c r="V34" i="40"/>
  <c r="R34" i="40"/>
  <c r="N34" i="40"/>
  <c r="K34" i="40"/>
  <c r="R19" i="41"/>
  <c r="P19" i="41"/>
  <c r="Q35" i="40"/>
  <c r="M35" i="40"/>
  <c r="U35" i="40"/>
  <c r="R35" i="40"/>
  <c r="Y35" i="40"/>
  <c r="S28" i="43"/>
  <c r="W28" i="43"/>
  <c r="Q28" i="43"/>
  <c r="V36" i="40"/>
  <c r="R36" i="40"/>
  <c r="G36" i="40"/>
  <c r="L36" i="40"/>
  <c r="H36" i="40"/>
  <c r="R16" i="41"/>
  <c r="T16" i="41"/>
  <c r="Y23" i="40"/>
  <c r="J23" i="40"/>
  <c r="S23" i="40"/>
  <c r="O23" i="40"/>
  <c r="Q23" i="40"/>
  <c r="W21" i="43"/>
  <c r="V21" i="43"/>
  <c r="P21" i="43"/>
  <c r="W37" i="43"/>
  <c r="O37" i="43"/>
  <c r="U37" i="43"/>
  <c r="I17" i="42"/>
  <c r="G17" i="42"/>
  <c r="W17" i="42"/>
  <c r="X17" i="42"/>
  <c r="T17" i="42"/>
  <c r="R17" i="41"/>
  <c r="U17" i="41"/>
  <c r="K22" i="40"/>
  <c r="P22" i="40"/>
  <c r="L22" i="40"/>
  <c r="T22" i="40"/>
  <c r="O22" i="40"/>
  <c r="V20" i="40"/>
  <c r="R20" i="40"/>
  <c r="G20" i="40"/>
  <c r="S20" i="40"/>
  <c r="U20" i="40"/>
  <c r="T43" i="43"/>
  <c r="X43" i="43"/>
  <c r="S43" i="43"/>
  <c r="W38" i="43"/>
  <c r="O38" i="43"/>
  <c r="Y38" i="43"/>
  <c r="T30" i="43"/>
  <c r="S30" i="43"/>
  <c r="R30" i="43"/>
  <c r="X23" i="41"/>
  <c r="Y23" i="41"/>
  <c r="K38" i="40"/>
  <c r="I38" i="40"/>
  <c r="H38" i="40"/>
  <c r="S38" i="40"/>
  <c r="X38" i="40"/>
  <c r="T18" i="43"/>
  <c r="W18" i="43"/>
  <c r="O18" i="43"/>
  <c r="N40" i="40"/>
  <c r="S40" i="40"/>
  <c r="R40" i="40"/>
  <c r="K40" i="40"/>
  <c r="V40" i="40"/>
  <c r="T22" i="43"/>
  <c r="Q22" i="43"/>
  <c r="S22" i="43"/>
  <c r="W18" i="41"/>
  <c r="R18" i="41"/>
  <c r="M23" i="42"/>
  <c r="R23" i="42"/>
  <c r="T23" i="42"/>
  <c r="W23" i="42"/>
  <c r="X23" i="42"/>
  <c r="R24" i="43"/>
  <c r="X24" i="43"/>
  <c r="P24" i="43"/>
  <c r="X19" i="40"/>
  <c r="M19" i="40"/>
  <c r="L19" i="40"/>
  <c r="I19" i="40"/>
  <c r="Y19" i="40"/>
  <c r="S17" i="43"/>
  <c r="R17" i="43"/>
  <c r="Q17" i="43"/>
  <c r="S25" i="40"/>
  <c r="X25" i="40"/>
  <c r="V25" i="40"/>
  <c r="K25" i="40"/>
  <c r="M25" i="40"/>
  <c r="W24" i="42"/>
  <c r="R24" i="42"/>
  <c r="N24" i="42"/>
  <c r="Q24" i="42"/>
  <c r="Y15" i="40"/>
  <c r="N15" i="40"/>
  <c r="J15" i="40"/>
  <c r="Q15" i="40"/>
  <c r="V15" i="40"/>
  <c r="O29" i="43"/>
  <c r="X29" i="43"/>
  <c r="N29" i="43"/>
  <c r="L30" i="42"/>
  <c r="W30" i="42"/>
  <c r="N30" i="42"/>
  <c r="J30" i="42"/>
  <c r="Q30" i="42"/>
  <c r="Q40" i="43"/>
  <c r="O40" i="43"/>
  <c r="T40" i="43"/>
  <c r="X27" i="40"/>
  <c r="T27" i="40"/>
  <c r="P27" i="40"/>
  <c r="L27" i="40"/>
  <c r="J27" i="40"/>
  <c r="U25" i="42"/>
  <c r="P25" i="42"/>
  <c r="S25" i="42"/>
  <c r="V25" i="42"/>
  <c r="U17" i="40"/>
  <c r="Q17" i="40"/>
  <c r="Y17" i="40"/>
  <c r="W17" i="40"/>
  <c r="K17" i="40"/>
  <c r="S18" i="40"/>
  <c r="O18" i="40"/>
  <c r="P18" i="40"/>
  <c r="I18" i="40"/>
  <c r="K18" i="40"/>
  <c r="O28" i="42"/>
  <c r="W28" i="42"/>
  <c r="P28" i="42"/>
  <c r="Y28" i="42"/>
  <c r="U28" i="42"/>
  <c r="Y36" i="43"/>
  <c r="W36" i="43"/>
  <c r="N16" i="40"/>
  <c r="J16" i="40"/>
  <c r="L16" i="40"/>
  <c r="M16" i="40"/>
  <c r="O16" i="40"/>
  <c r="I15" i="42"/>
  <c r="J15" i="42"/>
  <c r="P15" i="42"/>
  <c r="G15" i="42"/>
  <c r="R15" i="42"/>
  <c r="K29" i="40"/>
  <c r="P29" i="40"/>
  <c r="O29" i="40"/>
  <c r="Q29" i="40"/>
  <c r="S26" i="40"/>
  <c r="P26" i="40"/>
  <c r="M26" i="40"/>
  <c r="K26" i="40"/>
  <c r="G26" i="40"/>
  <c r="M21" i="42"/>
  <c r="I21" i="42"/>
  <c r="H21" i="42"/>
  <c r="K21" i="42"/>
  <c r="N21" i="42"/>
  <c r="T26" i="42"/>
  <c r="K26" i="42"/>
  <c r="J26" i="42"/>
  <c r="M26" i="42"/>
  <c r="I26" i="42"/>
  <c r="V41" i="40"/>
  <c r="H41" i="40"/>
  <c r="W41" i="40"/>
  <c r="Y41" i="40"/>
  <c r="T26" i="43"/>
  <c r="S26" i="43"/>
  <c r="R26" i="43"/>
  <c r="U22" i="41"/>
  <c r="R22" i="41"/>
  <c r="Y22" i="41"/>
  <c r="U19" i="43"/>
  <c r="O19" i="43"/>
  <c r="W19" i="43"/>
  <c r="W25" i="43"/>
  <c r="X25" i="43"/>
  <c r="U25" i="43"/>
  <c r="J34" i="40"/>
  <c r="M34" i="40"/>
  <c r="I34" i="40"/>
  <c r="H34" i="40"/>
  <c r="Y34" i="40"/>
  <c r="W19" i="41"/>
  <c r="Y19" i="41"/>
  <c r="X35" i="40"/>
  <c r="T35" i="40"/>
  <c r="L35" i="40"/>
  <c r="S35" i="40"/>
  <c r="P35" i="40"/>
  <c r="R28" i="43"/>
  <c r="N28" i="43"/>
  <c r="T28" i="43"/>
  <c r="M36" i="40"/>
  <c r="Y36" i="40"/>
  <c r="Q36" i="40"/>
  <c r="X36" i="40"/>
  <c r="U36" i="40"/>
  <c r="X16" i="41"/>
  <c r="U16" i="41"/>
  <c r="I23" i="40"/>
  <c r="G23" i="40"/>
  <c r="M23" i="40"/>
  <c r="T23" i="40"/>
  <c r="H23" i="40"/>
  <c r="S21" i="43"/>
  <c r="Y21" i="43"/>
  <c r="T21" i="43"/>
  <c r="R37" i="43"/>
  <c r="X37" i="43"/>
  <c r="Q37" i="43"/>
  <c r="J17" i="42"/>
  <c r="M17" i="42"/>
  <c r="L17" i="42"/>
  <c r="H17" i="42"/>
  <c r="K17" i="42"/>
  <c r="S17" i="41"/>
  <c r="V17" i="41"/>
  <c r="R22" i="40"/>
  <c r="W22" i="40"/>
  <c r="G22" i="40"/>
  <c r="S22" i="40"/>
  <c r="Q22" i="40"/>
  <c r="M20" i="40"/>
  <c r="Y20" i="40"/>
  <c r="W20" i="40"/>
  <c r="J20" i="40"/>
  <c r="H20" i="40"/>
  <c r="U43" i="43"/>
  <c r="N43" i="43"/>
  <c r="O43" i="43"/>
  <c r="X38" i="43"/>
  <c r="R38" i="43"/>
  <c r="V38" i="43"/>
  <c r="P30" i="43"/>
  <c r="V30" i="43"/>
  <c r="Y30" i="43"/>
  <c r="R23" i="41"/>
  <c r="T23" i="41"/>
  <c r="T38" i="40"/>
  <c r="W38" i="40"/>
  <c r="V38" i="40"/>
  <c r="J38" i="40"/>
  <c r="Q38" i="40"/>
  <c r="P18" i="43"/>
  <c r="S18" i="43"/>
  <c r="R18" i="43"/>
  <c r="L40" i="40"/>
  <c r="X40" i="40"/>
  <c r="I40" i="40"/>
  <c r="Y40" i="40"/>
  <c r="M40" i="40"/>
  <c r="O22" i="43"/>
  <c r="W22" i="43"/>
  <c r="V22" i="43"/>
  <c r="P18" i="41"/>
  <c r="X18" i="41"/>
  <c r="Y23" i="42"/>
  <c r="G23" i="42"/>
  <c r="N23" i="42"/>
  <c r="V23" i="42"/>
  <c r="H23" i="42"/>
  <c r="S24" i="43"/>
  <c r="Q24" i="43"/>
  <c r="O24" i="43"/>
  <c r="H19" i="40"/>
  <c r="T19" i="40"/>
  <c r="N19" i="40"/>
  <c r="W19" i="40"/>
  <c r="P19" i="40"/>
  <c r="O17" i="43"/>
  <c r="U17" i="43"/>
  <c r="P17" i="43"/>
  <c r="R25" i="40"/>
  <c r="H25" i="40"/>
  <c r="I25" i="40"/>
  <c r="N25" i="40"/>
  <c r="K24" i="42"/>
  <c r="L24" i="42"/>
  <c r="Y24" i="42"/>
  <c r="U24" i="42"/>
  <c r="V24" i="42"/>
  <c r="I15" i="40"/>
  <c r="U15" i="40"/>
  <c r="T15" i="40"/>
  <c r="H15" i="40"/>
  <c r="X15" i="40"/>
  <c r="T29" i="43"/>
  <c r="U29" i="43"/>
  <c r="V29" i="43"/>
  <c r="G30" i="42"/>
  <c r="R30" i="42"/>
  <c r="M30" i="42"/>
  <c r="P30" i="42"/>
  <c r="H30" i="42"/>
  <c r="R40" i="43"/>
  <c r="N40" i="43"/>
  <c r="P40" i="43"/>
  <c r="H27" i="40"/>
  <c r="K27" i="40"/>
  <c r="V27" i="40"/>
  <c r="R27" i="40"/>
  <c r="Y25" i="42"/>
  <c r="Q25" i="42"/>
  <c r="W25" i="42"/>
  <c r="X25" i="42"/>
  <c r="T25" i="42"/>
  <c r="L17" i="40"/>
  <c r="X17" i="40"/>
  <c r="P17" i="40"/>
  <c r="N17" i="40"/>
  <c r="J17" i="40"/>
  <c r="J18" i="40"/>
  <c r="V18" i="40"/>
  <c r="T18" i="40"/>
  <c r="L18" i="40"/>
  <c r="Y18" i="40"/>
  <c r="K28" i="42"/>
  <c r="L28" i="42"/>
  <c r="M28" i="42"/>
  <c r="I28" i="42"/>
  <c r="V36" i="43"/>
  <c r="U36" i="43"/>
  <c r="T36" i="43"/>
  <c r="M21" i="40"/>
  <c r="Y21" i="40"/>
  <c r="R21" i="40"/>
  <c r="N21" i="40"/>
  <c r="J21" i="40"/>
  <c r="W18" i="42"/>
  <c r="L18" i="42"/>
  <c r="U18" i="42"/>
  <c r="M18" i="42"/>
  <c r="I18" i="42"/>
  <c r="Q20" i="41"/>
  <c r="T20" i="41"/>
  <c r="O41" i="43"/>
  <c r="R41" i="43"/>
  <c r="Y41" i="43"/>
  <c r="R16" i="43"/>
  <c r="O16" i="43"/>
  <c r="S16" i="43"/>
  <c r="Y39" i="40"/>
  <c r="G39" i="40"/>
  <c r="S39" i="40"/>
  <c r="X39" i="40"/>
  <c r="Q39" i="40"/>
  <c r="W24" i="40"/>
  <c r="J24" i="40"/>
  <c r="I24" i="40"/>
  <c r="Y24" i="40"/>
  <c r="L24" i="40"/>
  <c r="P16" i="42"/>
  <c r="R16" i="42"/>
  <c r="U16" i="42"/>
  <c r="V16" i="42"/>
  <c r="L16" i="42"/>
  <c r="K20" i="42"/>
  <c r="T20" i="42"/>
  <c r="M20" i="42"/>
  <c r="I20" i="42"/>
  <c r="O28" i="40"/>
  <c r="K28" i="40"/>
  <c r="T28" i="40"/>
  <c r="U28" i="40"/>
  <c r="W28" i="40"/>
  <c r="L33" i="40"/>
  <c r="R33" i="40"/>
  <c r="O33" i="40"/>
  <c r="N33" i="40"/>
  <c r="T33" i="40"/>
  <c r="M29" i="42"/>
  <c r="T29" i="42"/>
  <c r="J29" i="42"/>
  <c r="K29" i="42"/>
  <c r="S29" i="42"/>
  <c r="Q15" i="43"/>
  <c r="T15" i="43"/>
  <c r="V15" i="43"/>
  <c r="W31" i="40"/>
  <c r="G31" i="40"/>
  <c r="Q31" i="40"/>
  <c r="O31" i="40"/>
  <c r="K30" i="40"/>
  <c r="L30" i="40"/>
  <c r="U30" i="40"/>
  <c r="H30" i="40"/>
  <c r="M30" i="40"/>
  <c r="U16" i="40"/>
  <c r="Q16" i="40"/>
  <c r="X16" i="40"/>
  <c r="T16" i="40"/>
  <c r="P16" i="40"/>
  <c r="U15" i="42"/>
  <c r="T15" i="42"/>
  <c r="W15" i="42"/>
  <c r="X15" i="42"/>
  <c r="G29" i="40"/>
  <c r="R29" i="40"/>
  <c r="W29" i="40"/>
  <c r="U29" i="40"/>
  <c r="H29" i="40"/>
  <c r="J26" i="40"/>
  <c r="T26" i="40"/>
  <c r="W26" i="40"/>
  <c r="Y26" i="40"/>
  <c r="R26" i="40"/>
  <c r="V21" i="42"/>
  <c r="J21" i="42"/>
  <c r="O21" i="42"/>
  <c r="P21" i="42"/>
  <c r="S21" i="42"/>
  <c r="G26" i="42"/>
  <c r="N26" i="42"/>
  <c r="Q26" i="42"/>
  <c r="R26" i="42"/>
  <c r="U41" i="40"/>
  <c r="G41" i="40"/>
  <c r="O41" i="40"/>
  <c r="T41" i="40"/>
  <c r="P41" i="40"/>
  <c r="U26" i="43"/>
  <c r="V26" i="43"/>
  <c r="N26" i="43"/>
  <c r="P22" i="41"/>
  <c r="S22" i="41"/>
  <c r="T22" i="41"/>
  <c r="P19" i="43"/>
  <c r="X19" i="43"/>
  <c r="V19" i="43"/>
  <c r="S25" i="43"/>
  <c r="V25" i="43"/>
  <c r="N25" i="43"/>
  <c r="Q34" i="40"/>
  <c r="U34" i="40"/>
  <c r="X34" i="40"/>
  <c r="P34" i="40"/>
  <c r="U19" i="41"/>
  <c r="X19" i="41"/>
  <c r="T19" i="41"/>
  <c r="H35" i="40"/>
  <c r="K35" i="40"/>
  <c r="I35" i="40"/>
  <c r="N35" i="40"/>
  <c r="J35" i="40"/>
  <c r="P28" i="43"/>
  <c r="U28" i="43"/>
  <c r="O28" i="43"/>
  <c r="T36" i="40"/>
  <c r="I36" i="40"/>
  <c r="W36" i="40"/>
  <c r="S36" i="40"/>
  <c r="P16" i="41"/>
  <c r="S16" i="41"/>
  <c r="Q16" i="41"/>
  <c r="P23" i="40"/>
  <c r="U23" i="40"/>
  <c r="N23" i="40"/>
  <c r="K23" i="40"/>
  <c r="R23" i="40"/>
  <c r="O21" i="43"/>
  <c r="R21" i="43"/>
  <c r="Q21" i="43"/>
  <c r="S37" i="43"/>
  <c r="N37" i="43"/>
  <c r="T37" i="43"/>
  <c r="U17" i="42"/>
  <c r="V17" i="42"/>
  <c r="N17" i="42"/>
  <c r="O17" i="42"/>
  <c r="P17" i="41"/>
  <c r="Y17" i="41"/>
  <c r="Q17" i="41"/>
  <c r="Y22" i="40"/>
  <c r="N22" i="40"/>
  <c r="V22" i="40"/>
  <c r="J22" i="40"/>
  <c r="H22" i="40"/>
  <c r="L20" i="40"/>
  <c r="I20" i="40"/>
  <c r="N20" i="40"/>
  <c r="P20" i="40"/>
  <c r="Y43" i="43"/>
  <c r="P43" i="43"/>
  <c r="W43" i="43"/>
  <c r="P38" i="43"/>
  <c r="S38" i="43"/>
  <c r="U38" i="43"/>
  <c r="X30" i="43"/>
  <c r="W30" i="43"/>
  <c r="Q30" i="43"/>
  <c r="Q23" i="41"/>
  <c r="S23" i="41"/>
  <c r="U23" i="41"/>
  <c r="R38" i="40"/>
  <c r="N38" i="40"/>
  <c r="M38" i="40"/>
  <c r="G38" i="40"/>
  <c r="P38" i="40"/>
  <c r="Y18" i="43"/>
  <c r="Q18" i="43"/>
  <c r="N18" i="43"/>
  <c r="U40" i="40"/>
  <c r="J40" i="40"/>
  <c r="O40" i="40"/>
  <c r="T40" i="40"/>
  <c r="P22" i="43"/>
  <c r="R22" i="43"/>
  <c r="U22" i="43"/>
  <c r="Y18" i="41"/>
  <c r="V18" i="41"/>
  <c r="S18" i="41"/>
  <c r="I23" i="42"/>
  <c r="Q23" i="42"/>
  <c r="K23" i="42"/>
  <c r="L23" i="42"/>
  <c r="O23" i="42"/>
  <c r="Y24" i="43"/>
  <c r="T24" i="43"/>
  <c r="N24" i="43"/>
  <c r="O19" i="40"/>
  <c r="K19" i="40"/>
  <c r="J19" i="40"/>
  <c r="S19" i="40"/>
  <c r="W17" i="43"/>
  <c r="V17" i="43"/>
  <c r="T17" i="43"/>
  <c r="U25" i="40"/>
  <c r="G25" i="40"/>
  <c r="O25" i="40"/>
  <c r="W25" i="40"/>
  <c r="Y25" i="40"/>
  <c r="X24" i="42"/>
  <c r="S24" i="42"/>
  <c r="I24" i="42"/>
  <c r="J24" i="42"/>
  <c r="H24" i="42"/>
  <c r="P15" i="40"/>
  <c r="L15" i="40"/>
  <c r="K15" i="40"/>
  <c r="G15" i="40"/>
  <c r="O15" i="40"/>
  <c r="W29" i="43"/>
  <c r="Q29" i="43"/>
  <c r="Y29" i="43"/>
  <c r="K30" i="42"/>
  <c r="S30" i="42"/>
  <c r="Y30" i="42"/>
  <c r="U30" i="42"/>
  <c r="U40" i="43"/>
  <c r="W40" i="43"/>
  <c r="X40" i="43"/>
  <c r="G27" i="40"/>
  <c r="O27" i="40"/>
  <c r="S27" i="40"/>
  <c r="N27" i="40"/>
  <c r="I27" i="40"/>
  <c r="I25" i="42"/>
  <c r="M25" i="42"/>
  <c r="L25" i="42"/>
  <c r="H25" i="42"/>
  <c r="K25" i="42"/>
  <c r="S17" i="40"/>
  <c r="H17" i="40"/>
  <c r="M17" i="40"/>
  <c r="H16" i="40"/>
  <c r="M15" i="42"/>
  <c r="H15" i="42"/>
  <c r="L29" i="40"/>
  <c r="N26" i="40"/>
  <c r="U21" i="42"/>
  <c r="O26" i="42"/>
  <c r="L41" i="40"/>
  <c r="J41" i="40"/>
  <c r="V22" i="41"/>
  <c r="N19" i="43"/>
  <c r="G34" i="40"/>
  <c r="T34" i="40"/>
  <c r="O35" i="40"/>
  <c r="V28" i="43"/>
  <c r="K36" i="40"/>
  <c r="W16" i="41"/>
  <c r="L23" i="40"/>
  <c r="N21" i="43"/>
  <c r="Y37" i="43"/>
  <c r="S17" i="42"/>
  <c r="T17" i="41"/>
  <c r="X22" i="40"/>
  <c r="T20" i="40"/>
  <c r="V43" i="43"/>
  <c r="U30" i="43"/>
  <c r="P23" i="41"/>
  <c r="L38" i="40"/>
  <c r="V18" i="43"/>
  <c r="G40" i="40"/>
  <c r="N22" i="43"/>
  <c r="U23" i="42"/>
  <c r="V24" i="43"/>
  <c r="R19" i="40"/>
  <c r="X17" i="43"/>
  <c r="Q25" i="40"/>
  <c r="G24" i="42"/>
  <c r="M24" i="42"/>
  <c r="M15" i="40"/>
  <c r="O30" i="42"/>
  <c r="T30" i="42"/>
  <c r="Q27" i="40"/>
  <c r="W27" i="40"/>
  <c r="O25" i="42"/>
  <c r="I17" i="40"/>
  <c r="G18" i="40"/>
  <c r="H18" i="40"/>
  <c r="N18" i="40"/>
  <c r="V28" i="42"/>
  <c r="R28" i="42"/>
  <c r="R36" i="43"/>
  <c r="P36" i="43"/>
  <c r="G21" i="40"/>
  <c r="Q21" i="40"/>
  <c r="X21" i="40"/>
  <c r="G18" i="42"/>
  <c r="K18" i="42"/>
  <c r="Q18" i="42"/>
  <c r="Y18" i="42"/>
  <c r="P20" i="41"/>
  <c r="R20" i="41"/>
  <c r="X41" i="43"/>
  <c r="U41" i="43"/>
  <c r="V16" i="43"/>
  <c r="Y16" i="43"/>
  <c r="I39" i="40"/>
  <c r="L39" i="40"/>
  <c r="N39" i="40"/>
  <c r="H39" i="40"/>
  <c r="U24" i="40"/>
  <c r="R24" i="40"/>
  <c r="P24" i="40"/>
  <c r="K16" i="42"/>
  <c r="O16" i="42"/>
  <c r="J16" i="42"/>
  <c r="M16" i="42"/>
  <c r="G20" i="42"/>
  <c r="Q20" i="42"/>
  <c r="R20" i="42"/>
  <c r="U20" i="42"/>
  <c r="R28" i="40"/>
  <c r="J28" i="40"/>
  <c r="X28" i="40"/>
  <c r="S33" i="40"/>
  <c r="X33" i="40"/>
  <c r="M33" i="40"/>
  <c r="K33" i="40"/>
  <c r="Y29" i="42"/>
  <c r="L29" i="42"/>
  <c r="W29" i="42"/>
  <c r="U15" i="43"/>
  <c r="X15" i="43"/>
  <c r="Y31" i="40"/>
  <c r="L31" i="40"/>
  <c r="J31" i="40"/>
  <c r="N31" i="40"/>
  <c r="Y30" i="40"/>
  <c r="N30" i="40"/>
  <c r="T30" i="40"/>
  <c r="J30" i="40"/>
  <c r="O20" i="43"/>
  <c r="N20" i="43"/>
  <c r="Y20" i="43"/>
  <c r="R27" i="43"/>
  <c r="W27" i="43"/>
  <c r="O27" i="43"/>
  <c r="V32" i="43"/>
  <c r="O32" i="43"/>
  <c r="N32" i="43"/>
  <c r="N37" i="40"/>
  <c r="W37" i="40"/>
  <c r="V37" i="40"/>
  <c r="X37" i="40"/>
  <c r="G19" i="42"/>
  <c r="M19" i="42"/>
  <c r="S19" i="42"/>
  <c r="T19" i="42"/>
  <c r="W19" i="42"/>
  <c r="P22" i="42"/>
  <c r="S22" i="42"/>
  <c r="T22" i="42"/>
  <c r="H22" i="42"/>
  <c r="Q22" i="42"/>
  <c r="N32" i="40"/>
  <c r="J32" i="40"/>
  <c r="K32" i="40"/>
  <c r="R32" i="40"/>
  <c r="H32" i="40"/>
  <c r="Y31" i="42"/>
  <c r="N31" i="42"/>
  <c r="R31" i="42"/>
  <c r="W31" i="42"/>
  <c r="W33" i="43"/>
  <c r="O33" i="43"/>
  <c r="P33" i="43"/>
  <c r="U34" i="43"/>
  <c r="O34" i="43"/>
  <c r="Q34" i="43"/>
  <c r="S21" i="41"/>
  <c r="Q21" i="41"/>
  <c r="T21" i="41"/>
  <c r="Y23" i="43"/>
  <c r="P23" i="43"/>
  <c r="O23" i="43"/>
  <c r="P39" i="43"/>
  <c r="T39" i="43"/>
  <c r="N39" i="43"/>
  <c r="T35" i="43"/>
  <c r="S35" i="43"/>
  <c r="N35" i="43"/>
  <c r="P42" i="43"/>
  <c r="S42" i="43"/>
  <c r="N42" i="43"/>
  <c r="T15" i="41"/>
  <c r="X15" i="41"/>
  <c r="U27" i="42"/>
  <c r="M27" i="42"/>
  <c r="S27" i="42"/>
  <c r="O27" i="42"/>
  <c r="P27" i="42"/>
  <c r="U31" i="43"/>
  <c r="R31" i="43"/>
  <c r="P31" i="43"/>
  <c r="R31" i="40"/>
  <c r="G30" i="40"/>
  <c r="O30" i="40"/>
  <c r="V30" i="40"/>
  <c r="R20" i="43"/>
  <c r="T20" i="43"/>
  <c r="U27" i="43"/>
  <c r="V27" i="43"/>
  <c r="T32" i="43"/>
  <c r="T37" i="40"/>
  <c r="H37" i="40"/>
  <c r="U37" i="40"/>
  <c r="I19" i="42"/>
  <c r="K19" i="42"/>
  <c r="W22" i="42"/>
  <c r="I22" i="42"/>
  <c r="G32" i="40"/>
  <c r="L32" i="40"/>
  <c r="P32" i="40"/>
  <c r="T31" i="42"/>
  <c r="H31" i="42"/>
  <c r="S33" i="43"/>
  <c r="N33" i="43"/>
  <c r="S34" i="43"/>
  <c r="W21" i="41"/>
  <c r="T23" i="43"/>
  <c r="U39" i="43"/>
  <c r="S39" i="43"/>
  <c r="V35" i="43"/>
  <c r="O35" i="43"/>
  <c r="W42" i="43"/>
  <c r="Y15" i="41"/>
  <c r="V15" i="41"/>
  <c r="I27" i="42"/>
  <c r="V27" i="42"/>
  <c r="V31" i="43"/>
  <c r="N31" i="43"/>
  <c r="R15" i="40"/>
  <c r="S40" i="43"/>
  <c r="O17" i="40"/>
  <c r="W18" i="40"/>
  <c r="T28" i="42"/>
  <c r="K21" i="40"/>
  <c r="V21" i="40"/>
  <c r="J18" i="42"/>
  <c r="W20" i="41"/>
  <c r="T41" i="43"/>
  <c r="X16" i="43"/>
  <c r="M39" i="40"/>
  <c r="T24" i="40"/>
  <c r="G16" i="42"/>
  <c r="H16" i="42"/>
  <c r="X20" i="42"/>
  <c r="G28" i="40"/>
  <c r="Q28" i="40"/>
  <c r="Q33" i="40"/>
  <c r="W33" i="40"/>
  <c r="H29" i="42"/>
  <c r="N15" i="43"/>
  <c r="X31" i="40"/>
  <c r="R30" i="40"/>
  <c r="S30" i="40"/>
  <c r="P20" i="43"/>
  <c r="S27" i="43"/>
  <c r="P32" i="43"/>
  <c r="K37" i="40"/>
  <c r="J37" i="40"/>
  <c r="L19" i="42"/>
  <c r="P19" i="42"/>
  <c r="N22" i="42"/>
  <c r="W32" i="40"/>
  <c r="M32" i="40"/>
  <c r="G31" i="42"/>
  <c r="O31" i="42"/>
  <c r="Y33" i="43"/>
  <c r="V34" i="43"/>
  <c r="V21" i="41"/>
  <c r="Q23" i="43"/>
  <c r="V39" i="43"/>
  <c r="P35" i="43"/>
  <c r="R35" i="43"/>
  <c r="R42" i="43"/>
  <c r="W15" i="41"/>
  <c r="L27" i="42"/>
  <c r="K27" i="42"/>
  <c r="W31" i="43"/>
  <c r="K16" i="40"/>
  <c r="V15" i="42"/>
  <c r="M29" i="40"/>
  <c r="S29" i="40"/>
  <c r="U26" i="40"/>
  <c r="R21" i="42"/>
  <c r="L26" i="42"/>
  <c r="Q41" i="40"/>
  <c r="P26" i="43"/>
  <c r="X22" i="41"/>
  <c r="O25" i="43"/>
  <c r="O34" i="40"/>
  <c r="Q19" i="41"/>
  <c r="V35" i="40"/>
  <c r="Y28" i="43"/>
  <c r="P36" i="40"/>
  <c r="Y16" i="41"/>
  <c r="X23" i="40"/>
  <c r="U21" i="43"/>
  <c r="Y17" i="42"/>
  <c r="R17" i="42"/>
  <c r="I22" i="40"/>
  <c r="O20" i="40"/>
  <c r="X20" i="40"/>
  <c r="Q38" i="43"/>
  <c r="N30" i="43"/>
  <c r="V23" i="41"/>
  <c r="O38" i="40"/>
  <c r="W40" i="40"/>
  <c r="H40" i="40"/>
  <c r="U18" i="41"/>
  <c r="J23" i="42"/>
  <c r="U24" i="43"/>
  <c r="U19" i="40"/>
  <c r="Y17" i="43"/>
  <c r="J25" i="40"/>
  <c r="O24" i="42"/>
  <c r="W15" i="40"/>
  <c r="S29" i="43"/>
  <c r="V30" i="42"/>
  <c r="V40" i="43"/>
  <c r="M27" i="40"/>
  <c r="G25" i="42"/>
  <c r="J25" i="42"/>
  <c r="G17" i="40"/>
  <c r="Q18" i="40"/>
  <c r="U18" i="40"/>
  <c r="G28" i="42"/>
  <c r="J28" i="42"/>
  <c r="H28" i="42"/>
  <c r="X36" i="43"/>
  <c r="N36" i="43"/>
  <c r="I21" i="40"/>
  <c r="H21" i="40"/>
  <c r="O21" i="40"/>
  <c r="S18" i="42"/>
  <c r="N18" i="42"/>
  <c r="V18" i="42"/>
  <c r="P18" i="42"/>
  <c r="X20" i="41"/>
  <c r="Y20" i="41"/>
  <c r="S41" i="43"/>
  <c r="P41" i="43"/>
  <c r="Q16" i="43"/>
  <c r="N16" i="43"/>
  <c r="P39" i="40"/>
  <c r="R39" i="40"/>
  <c r="O39" i="40"/>
  <c r="J39" i="40"/>
  <c r="S24" i="40"/>
  <c r="H24" i="40"/>
  <c r="V24" i="40"/>
  <c r="W16" i="42"/>
  <c r="Y16" i="42"/>
  <c r="T16" i="42"/>
  <c r="X16" i="42"/>
  <c r="W20" i="42"/>
  <c r="V20" i="42"/>
  <c r="Y20" i="42"/>
  <c r="V28" i="40"/>
  <c r="Y28" i="40"/>
  <c r="L28" i="40"/>
  <c r="N28" i="40"/>
  <c r="J33" i="40"/>
  <c r="H33" i="40"/>
  <c r="G33" i="40"/>
  <c r="G29" i="42"/>
  <c r="I29" i="42"/>
  <c r="O29" i="42"/>
  <c r="X29" i="42"/>
  <c r="R15" i="43"/>
  <c r="W15" i="43"/>
  <c r="I31" i="40"/>
  <c r="S31" i="40"/>
  <c r="H31" i="40"/>
  <c r="V31" i="40"/>
  <c r="I30" i="40"/>
  <c r="X30" i="40"/>
  <c r="Q30" i="40"/>
  <c r="V20" i="43"/>
  <c r="U20" i="43"/>
  <c r="Q20" i="43"/>
  <c r="Y27" i="43"/>
  <c r="X27" i="43"/>
  <c r="P27" i="43"/>
  <c r="R32" i="43"/>
  <c r="Q32" i="43"/>
  <c r="Y32" i="43"/>
  <c r="M37" i="40"/>
  <c r="Y37" i="40"/>
  <c r="Q37" i="40"/>
  <c r="G37" i="40"/>
  <c r="O37" i="40"/>
  <c r="U19" i="42"/>
  <c r="Y19" i="42"/>
  <c r="X19" i="42"/>
  <c r="N19" i="42"/>
  <c r="V19" i="42"/>
  <c r="K22" i="42"/>
  <c r="V22" i="42"/>
  <c r="Y22" i="42"/>
  <c r="U22" i="42"/>
  <c r="L22" i="42"/>
  <c r="U32" i="40"/>
  <c r="Q32" i="40"/>
  <c r="Y32" i="40"/>
  <c r="I32" i="40"/>
  <c r="M31" i="42"/>
  <c r="I31" i="42"/>
  <c r="P31" i="42"/>
  <c r="K31" i="42"/>
  <c r="V31" i="42"/>
  <c r="R33" i="43"/>
  <c r="V33" i="43"/>
  <c r="U33" i="43"/>
  <c r="W34" i="43"/>
  <c r="P34" i="43"/>
  <c r="Y34" i="43"/>
  <c r="U21" i="41"/>
  <c r="P21" i="41"/>
  <c r="Y21" i="41"/>
  <c r="R23" i="43"/>
  <c r="V23" i="43"/>
  <c r="X23" i="43"/>
  <c r="Q39" i="43"/>
  <c r="W39" i="43"/>
  <c r="O39" i="43"/>
  <c r="U35" i="43"/>
  <c r="X35" i="43"/>
  <c r="W35" i="43"/>
  <c r="U42" i="43"/>
  <c r="Y42" i="43"/>
  <c r="Q42" i="43"/>
  <c r="U15" i="41"/>
  <c r="P15" i="41"/>
  <c r="N27" i="42"/>
  <c r="Y27" i="42"/>
  <c r="J27" i="42"/>
  <c r="T27" i="42"/>
  <c r="W27" i="42"/>
  <c r="Q31" i="43"/>
  <c r="X31" i="43"/>
  <c r="S31" i="43"/>
  <c r="S20" i="43"/>
  <c r="N27" i="43"/>
  <c r="S32" i="43"/>
  <c r="X32" i="43"/>
  <c r="I37" i="40"/>
  <c r="S37" i="40"/>
  <c r="R19" i="42"/>
  <c r="H19" i="42"/>
  <c r="J19" i="42"/>
  <c r="M22" i="42"/>
  <c r="X22" i="42"/>
  <c r="T32" i="40"/>
  <c r="V32" i="40"/>
  <c r="X31" i="42"/>
  <c r="Q31" i="42"/>
  <c r="S31" i="42"/>
  <c r="T33" i="43"/>
  <c r="X34" i="43"/>
  <c r="R34" i="43"/>
  <c r="X21" i="41"/>
  <c r="U23" i="43"/>
  <c r="S23" i="43"/>
  <c r="X39" i="43"/>
  <c r="Q35" i="43"/>
  <c r="T42" i="43"/>
  <c r="V42" i="43"/>
  <c r="Q15" i="41"/>
  <c r="Q27" i="42"/>
  <c r="X27" i="42"/>
  <c r="R27" i="42"/>
  <c r="T31" i="43"/>
  <c r="T24" i="42"/>
  <c r="U27" i="40"/>
  <c r="V17" i="40"/>
  <c r="X28" i="42"/>
  <c r="Q36" i="43"/>
  <c r="W21" i="40"/>
  <c r="L21" i="40"/>
  <c r="T18" i="42"/>
  <c r="V20" i="41"/>
  <c r="W16" i="43"/>
  <c r="U39" i="40"/>
  <c r="K39" i="40"/>
  <c r="K24" i="40"/>
  <c r="N16" i="42"/>
  <c r="O20" i="42"/>
  <c r="N20" i="42"/>
  <c r="S28" i="40"/>
  <c r="U33" i="40"/>
  <c r="P33" i="40"/>
  <c r="R29" i="42"/>
  <c r="Y15" i="43"/>
  <c r="S15" i="43"/>
  <c r="K31" i="40"/>
  <c r="W30" i="40"/>
  <c r="W20" i="43"/>
  <c r="Q27" i="43"/>
  <c r="T27" i="43"/>
  <c r="W32" i="43"/>
  <c r="P37" i="40"/>
  <c r="L37" i="40"/>
  <c r="Q19" i="42"/>
  <c r="O22" i="42"/>
  <c r="R22" i="42"/>
  <c r="J22" i="42"/>
  <c r="X32" i="40"/>
  <c r="U31" i="42"/>
  <c r="J31" i="42"/>
  <c r="X33" i="43"/>
  <c r="T34" i="43"/>
  <c r="R21" i="41"/>
  <c r="W23" i="43"/>
  <c r="Y39" i="43"/>
  <c r="Y35" i="43"/>
  <c r="O42" i="43"/>
  <c r="R15" i="41"/>
  <c r="S15" i="41"/>
  <c r="H27" i="42"/>
  <c r="Y31" i="43"/>
  <c r="G16" i="40"/>
  <c r="N15" i="42"/>
  <c r="Y29" i="40"/>
  <c r="Q26" i="40"/>
  <c r="I26" i="40"/>
  <c r="W21" i="42"/>
  <c r="P26" i="42"/>
  <c r="R41" i="40"/>
  <c r="Y26" i="43"/>
  <c r="Q19" i="43"/>
  <c r="P25" i="43"/>
  <c r="L34" i="40"/>
  <c r="S19" i="41"/>
  <c r="W35" i="40"/>
  <c r="X28" i="43"/>
  <c r="N36" i="40"/>
  <c r="V16" i="41"/>
  <c r="V23" i="40"/>
  <c r="V37" i="43"/>
  <c r="Q17" i="42"/>
  <c r="W17" i="41"/>
  <c r="U22" i="40"/>
  <c r="K20" i="40"/>
  <c r="R43" i="43"/>
  <c r="T38" i="43"/>
  <c r="O30" i="43"/>
  <c r="Y38" i="40"/>
  <c r="X18" i="43"/>
  <c r="P40" i="40"/>
  <c r="X22" i="43"/>
  <c r="Q18" i="41"/>
  <c r="P23" i="42"/>
  <c r="W24" i="43"/>
  <c r="G19" i="40"/>
  <c r="N17" i="43"/>
  <c r="T25" i="40"/>
  <c r="P24" i="42"/>
  <c r="S15" i="40"/>
  <c r="R29" i="43"/>
  <c r="X30" i="42"/>
  <c r="Y40" i="43"/>
  <c r="Y27" i="40"/>
  <c r="R25" i="42"/>
  <c r="R17" i="40"/>
  <c r="T17" i="40"/>
  <c r="X18" i="40"/>
  <c r="R18" i="40"/>
  <c r="S28" i="42"/>
  <c r="Q28" i="42"/>
  <c r="N28" i="42"/>
  <c r="S36" i="43"/>
  <c r="T21" i="40"/>
  <c r="P21" i="40"/>
  <c r="S21" i="40"/>
  <c r="U21" i="40"/>
  <c r="X18" i="42"/>
  <c r="H18" i="42"/>
  <c r="R18" i="42"/>
  <c r="U20" i="41"/>
  <c r="S20" i="41"/>
  <c r="V41" i="43"/>
  <c r="Q41" i="43"/>
  <c r="N41" i="43"/>
  <c r="T16" i="43"/>
  <c r="U16" i="43"/>
  <c r="W39" i="40"/>
  <c r="V39" i="40"/>
  <c r="T39" i="40"/>
  <c r="G24" i="40"/>
  <c r="Q24" i="40"/>
  <c r="O24" i="40"/>
  <c r="M24" i="40"/>
  <c r="S16" i="42"/>
  <c r="I16" i="42"/>
  <c r="Q16" i="42"/>
  <c r="S20" i="42"/>
  <c r="L20" i="42"/>
  <c r="H20" i="42"/>
  <c r="P20" i="42"/>
  <c r="M28" i="40"/>
  <c r="I28" i="40"/>
  <c r="P28" i="40"/>
  <c r="H28" i="40"/>
  <c r="V33" i="40"/>
  <c r="Y33" i="40"/>
  <c r="I33" i="40"/>
  <c r="Q29" i="42"/>
  <c r="U29" i="42"/>
  <c r="N29" i="42"/>
  <c r="V29" i="42"/>
  <c r="O15" i="43"/>
  <c r="P15" i="43"/>
  <c r="P31" i="40"/>
  <c r="T31" i="40"/>
  <c r="M31" i="40"/>
  <c r="R16" i="40"/>
  <c r="L15" i="42"/>
  <c r="N29" i="40"/>
  <c r="O26" i="40"/>
  <c r="G21" i="42"/>
  <c r="W26" i="42"/>
  <c r="X26" i="42"/>
  <c r="K41" i="40"/>
  <c r="W26" i="43"/>
  <c r="S19" i="43"/>
  <c r="Y25" i="43"/>
  <c r="W34" i="40"/>
  <c r="V19" i="41"/>
  <c r="G35" i="40"/>
  <c r="O36" i="40"/>
  <c r="J36" i="40"/>
  <c r="W23" i="40"/>
  <c r="X21" i="43"/>
  <c r="P37" i="43"/>
  <c r="P17" i="42"/>
  <c r="X17" i="41"/>
  <c r="M22" i="40"/>
  <c r="Q20" i="40"/>
  <c r="Q43" i="43"/>
  <c r="N38" i="43"/>
  <c r="W23" i="41"/>
  <c r="U38" i="40"/>
  <c r="U18" i="43"/>
  <c r="Q40" i="40"/>
  <c r="Y22" i="43"/>
  <c r="T18" i="41"/>
  <c r="S23" i="42"/>
  <c r="Q19" i="40"/>
  <c r="V19" i="40"/>
  <c r="L25" i="40"/>
  <c r="P25" i="40"/>
  <c r="P29" i="43"/>
  <c r="I30" i="42"/>
  <c r="N25" i="42"/>
  <c r="M18" i="40"/>
  <c r="O36" i="43"/>
  <c r="O18" i="42"/>
  <c r="W41" i="43"/>
  <c r="P16" i="43"/>
  <c r="N24" i="40"/>
  <c r="X24" i="40"/>
  <c r="J20" i="42"/>
  <c r="P29" i="42"/>
  <c r="U31" i="40"/>
  <c r="P30" i="40"/>
  <c r="X20" i="43"/>
  <c r="U32" i="43"/>
  <c r="R37" i="40"/>
  <c r="O19" i="42"/>
  <c r="G22" i="42"/>
  <c r="S32" i="40"/>
  <c r="O32" i="40"/>
  <c r="L31" i="42"/>
  <c r="Q33" i="43"/>
  <c r="N34" i="43"/>
  <c r="N23" i="43"/>
  <c r="R39" i="43"/>
  <c r="X42" i="43"/>
  <c r="G27" i="42"/>
  <c r="O31" i="43"/>
  <c r="F29" i="25" l="1"/>
  <c r="F37" i="25"/>
  <c r="E29" i="25"/>
  <c r="E37" i="25"/>
  <c r="D29" i="25"/>
  <c r="M14" i="44"/>
  <c r="K14" i="43"/>
  <c r="L14" i="42"/>
  <c r="K14" i="40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40" i="43"/>
  <c r="J20" i="41"/>
  <c r="H32" i="43"/>
  <c r="L18" i="41"/>
  <c r="I34" i="43"/>
  <c r="I29" i="43"/>
  <c r="K15" i="41"/>
  <c r="G42" i="43"/>
  <c r="H22" i="41"/>
  <c r="I27" i="43"/>
  <c r="L43" i="43"/>
  <c r="G38" i="43"/>
  <c r="H37" i="43"/>
  <c r="H21" i="41"/>
  <c r="G39" i="43"/>
  <c r="H20" i="41"/>
  <c r="H16" i="43"/>
  <c r="O19" i="41"/>
  <c r="G41" i="43"/>
  <c r="G22" i="43"/>
  <c r="I23" i="41"/>
  <c r="G16" i="43"/>
  <c r="G20" i="43"/>
  <c r="H19" i="43"/>
  <c r="H39" i="43"/>
  <c r="G21" i="43"/>
  <c r="M42" i="43"/>
  <c r="J21" i="41"/>
  <c r="H18" i="41"/>
  <c r="H42" i="43"/>
  <c r="I25" i="43"/>
  <c r="M19" i="41"/>
  <c r="M22" i="41"/>
  <c r="K21" i="41"/>
  <c r="G18" i="41"/>
  <c r="O16" i="41"/>
  <c r="H33" i="43"/>
  <c r="G30" i="43"/>
  <c r="I32" i="43"/>
  <c r="I33" i="43"/>
  <c r="L15" i="41"/>
  <c r="K42" i="43"/>
  <c r="J43" i="43"/>
  <c r="O23" i="41"/>
  <c r="J23" i="43"/>
  <c r="J28" i="43"/>
  <c r="J27" i="43"/>
  <c r="J25" i="43"/>
  <c r="J16" i="43"/>
  <c r="J19" i="43"/>
  <c r="J37" i="43"/>
  <c r="K20" i="43"/>
  <c r="K21" i="43"/>
  <c r="K17" i="43"/>
  <c r="K22" i="43"/>
  <c r="E18" i="37"/>
  <c r="K15" i="43"/>
  <c r="K34" i="43"/>
  <c r="K24" i="43"/>
  <c r="H18" i="37"/>
  <c r="K26" i="43"/>
  <c r="K28" i="43"/>
  <c r="K16" i="41"/>
  <c r="L22" i="41"/>
  <c r="H15" i="43"/>
  <c r="H22" i="43"/>
  <c r="L42" i="43"/>
  <c r="J29" i="43"/>
  <c r="G26" i="39"/>
  <c r="K36" i="43"/>
  <c r="K29" i="43"/>
  <c r="C18" i="39"/>
  <c r="C18" i="37"/>
  <c r="I31" i="43"/>
  <c r="G29" i="43"/>
  <c r="I43" i="43"/>
  <c r="M15" i="41"/>
  <c r="I30" i="43"/>
  <c r="I38" i="43"/>
  <c r="H29" i="43"/>
  <c r="I15" i="43"/>
  <c r="I24" i="43"/>
  <c r="J19" i="41"/>
  <c r="G23" i="43"/>
  <c r="O22" i="41"/>
  <c r="I42" i="43"/>
  <c r="H36" i="43"/>
  <c r="G28" i="43"/>
  <c r="K22" i="41"/>
  <c r="J21" i="43"/>
  <c r="J24" i="43"/>
  <c r="J34" i="43"/>
  <c r="K38" i="43"/>
  <c r="K25" i="43"/>
  <c r="H18" i="39"/>
  <c r="K16" i="43"/>
  <c r="G19" i="41"/>
  <c r="M23" i="41"/>
  <c r="I19" i="41"/>
  <c r="G23" i="41"/>
  <c r="J15" i="41"/>
  <c r="H23" i="43"/>
  <c r="N15" i="41"/>
  <c r="I23" i="43"/>
  <c r="K43" i="43"/>
  <c r="L16" i="41"/>
  <c r="N21" i="41"/>
  <c r="I41" i="43"/>
  <c r="G31" i="43"/>
  <c r="G22" i="41"/>
  <c r="I17" i="41"/>
  <c r="N23" i="41"/>
  <c r="G37" i="43"/>
  <c r="M18" i="41"/>
  <c r="I35" i="43"/>
  <c r="M17" i="41"/>
  <c r="H21" i="43"/>
  <c r="O21" i="41"/>
  <c r="I37" i="43"/>
  <c r="I21" i="43"/>
  <c r="G24" i="43"/>
  <c r="I19" i="43"/>
  <c r="H23" i="41"/>
  <c r="I36" i="43"/>
  <c r="H35" i="43"/>
  <c r="I22" i="41"/>
  <c r="G32" i="43"/>
  <c r="H27" i="43"/>
  <c r="G36" i="43"/>
  <c r="K18" i="41"/>
  <c r="H30" i="43"/>
  <c r="G43" i="43"/>
  <c r="I16" i="41"/>
  <c r="H28" i="43"/>
  <c r="G17" i="43"/>
  <c r="G35" i="43"/>
  <c r="I20" i="43"/>
  <c r="N17" i="41"/>
  <c r="H19" i="41"/>
  <c r="K19" i="41"/>
  <c r="J33" i="43"/>
  <c r="J20" i="43"/>
  <c r="J15" i="43"/>
  <c r="J36" i="43"/>
  <c r="J26" i="43"/>
  <c r="J22" i="43"/>
  <c r="J38" i="43"/>
  <c r="F18" i="39"/>
  <c r="K32" i="43"/>
  <c r="K35" i="43"/>
  <c r="K31" i="43"/>
  <c r="K18" i="43"/>
  <c r="K30" i="43"/>
  <c r="K27" i="43"/>
  <c r="K23" i="43"/>
  <c r="D18" i="37"/>
  <c r="K19" i="43"/>
  <c r="K33" i="43"/>
  <c r="I21" i="41"/>
  <c r="I28" i="43"/>
  <c r="G16" i="41"/>
  <c r="J30" i="43"/>
  <c r="J17" i="43"/>
  <c r="H38" i="43"/>
  <c r="J18" i="43"/>
  <c r="G18" i="39"/>
  <c r="F18" i="37"/>
  <c r="D18" i="39"/>
  <c r="D26" i="39"/>
  <c r="K41" i="43"/>
  <c r="M21" i="41"/>
  <c r="L19" i="41"/>
  <c r="I20" i="41"/>
  <c r="G18" i="43"/>
  <c r="H20" i="43"/>
  <c r="L20" i="41"/>
  <c r="G15" i="43"/>
  <c r="G33" i="43"/>
  <c r="G17" i="41"/>
  <c r="N22" i="41"/>
  <c r="H34" i="43"/>
  <c r="H17" i="43"/>
  <c r="G34" i="43"/>
  <c r="G25" i="43"/>
  <c r="O18" i="41"/>
  <c r="J41" i="43"/>
  <c r="J39" i="43"/>
  <c r="I17" i="43"/>
  <c r="K37" i="43"/>
  <c r="K40" i="43"/>
  <c r="G18" i="37"/>
  <c r="C26" i="39"/>
  <c r="H26" i="39"/>
  <c r="N16" i="41"/>
  <c r="H17" i="41"/>
  <c r="I18" i="41"/>
  <c r="G26" i="43"/>
  <c r="N18" i="41"/>
  <c r="K23" i="41"/>
  <c r="G21" i="41"/>
  <c r="I40" i="43"/>
  <c r="J23" i="41"/>
  <c r="I15" i="41"/>
  <c r="O20" i="41"/>
  <c r="I26" i="43"/>
  <c r="I16" i="43"/>
  <c r="G15" i="41"/>
  <c r="N19" i="41"/>
  <c r="J18" i="41"/>
  <c r="O15" i="41"/>
  <c r="H43" i="43"/>
  <c r="I18" i="43"/>
  <c r="H41" i="43"/>
  <c r="J22" i="41"/>
  <c r="O17" i="41"/>
  <c r="H18" i="43"/>
  <c r="I39" i="43"/>
  <c r="H24" i="43"/>
  <c r="J16" i="41"/>
  <c r="K20" i="41"/>
  <c r="M20" i="41"/>
  <c r="H25" i="43"/>
  <c r="H31" i="43"/>
  <c r="H16" i="41"/>
  <c r="G27" i="43"/>
  <c r="K17" i="41"/>
  <c r="G40" i="43"/>
  <c r="L23" i="41"/>
  <c r="J32" i="43"/>
  <c r="J40" i="43"/>
  <c r="E26" i="39"/>
  <c r="K39" i="43"/>
  <c r="M16" i="41"/>
  <c r="N20" i="41"/>
  <c r="J42" i="43"/>
  <c r="L17" i="41"/>
  <c r="G19" i="43"/>
  <c r="H26" i="43"/>
  <c r="H15" i="41"/>
  <c r="I22" i="43"/>
  <c r="M43" i="43"/>
  <c r="G20" i="41"/>
  <c r="J17" i="41"/>
  <c r="L21" i="41"/>
  <c r="J35" i="43"/>
  <c r="J31" i="43"/>
  <c r="E18" i="39"/>
  <c r="F26" i="39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L16" i="43"/>
  <c r="E26" i="37"/>
  <c r="G26" i="37"/>
  <c r="L30" i="43"/>
  <c r="L15" i="43"/>
  <c r="L21" i="43"/>
  <c r="L22" i="43"/>
  <c r="L25" i="43"/>
  <c r="L26" i="43"/>
  <c r="E17" i="39"/>
  <c r="D17" i="39"/>
  <c r="L37" i="43"/>
  <c r="L28" i="43"/>
  <c r="L19" i="43"/>
  <c r="G17" i="37"/>
  <c r="G17" i="39"/>
  <c r="L33" i="43"/>
  <c r="F17" i="39"/>
  <c r="L40" i="43"/>
  <c r="L41" i="43"/>
  <c r="C17" i="39"/>
  <c r="L34" i="43"/>
  <c r="H17" i="37"/>
  <c r="L38" i="43"/>
  <c r="L27" i="43"/>
  <c r="L32" i="43"/>
  <c r="B20" i="41"/>
  <c r="L35" i="43"/>
  <c r="L23" i="43"/>
  <c r="D26" i="37"/>
  <c r="L18" i="43"/>
  <c r="L17" i="43"/>
  <c r="L29" i="43"/>
  <c r="H17" i="39"/>
  <c r="L24" i="43"/>
  <c r="C26" i="37"/>
  <c r="F26" i="37"/>
  <c r="L39" i="43"/>
  <c r="L36" i="43"/>
  <c r="L31" i="43"/>
  <c r="H26" i="37"/>
  <c r="L20" i="43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F17" i="37"/>
  <c r="M34" i="43"/>
  <c r="M21" i="43"/>
  <c r="M33" i="43"/>
  <c r="M22" i="43"/>
  <c r="M39" i="43"/>
  <c r="M18" i="43"/>
  <c r="M19" i="43"/>
  <c r="G34" i="39"/>
  <c r="M40" i="43"/>
  <c r="M15" i="43"/>
  <c r="F34" i="39"/>
  <c r="M26" i="43"/>
  <c r="M41" i="43"/>
  <c r="D17" i="37"/>
  <c r="M38" i="43"/>
  <c r="M16" i="43"/>
  <c r="M27" i="43"/>
  <c r="M29" i="43"/>
  <c r="M36" i="43"/>
  <c r="M28" i="43"/>
  <c r="M24" i="43"/>
  <c r="M37" i="43"/>
  <c r="D34" i="39"/>
  <c r="M25" i="43"/>
  <c r="M32" i="43"/>
  <c r="M35" i="43"/>
  <c r="M23" i="43"/>
  <c r="H15" i="36"/>
  <c r="M30" i="43"/>
  <c r="G15" i="36"/>
  <c r="E17" i="37"/>
  <c r="M31" i="43"/>
  <c r="H34" i="39"/>
  <c r="E34" i="39"/>
  <c r="C17" i="37"/>
  <c r="C34" i="39"/>
  <c r="M20" i="43"/>
  <c r="M17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D15" i="34"/>
  <c r="F15" i="36"/>
  <c r="C15" i="34"/>
  <c r="C15" i="36"/>
  <c r="D15" i="36"/>
  <c r="H15" i="35"/>
  <c r="E15" i="36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F15" i="34"/>
  <c r="F15" i="35"/>
  <c r="E15" i="34"/>
  <c r="D15" i="35"/>
  <c r="E15" i="35"/>
  <c r="G15" i="34"/>
  <c r="C15" i="35"/>
  <c r="G15" i="35"/>
  <c r="H15" i="34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H25" i="30"/>
  <c r="I25" i="30"/>
  <c r="C26" i="33"/>
  <c r="G26" i="33"/>
  <c r="D21" i="33"/>
  <c r="I26" i="31"/>
  <c r="I21" i="33"/>
  <c r="I25" i="33"/>
  <c r="H26" i="33"/>
  <c r="D26" i="33"/>
  <c r="F26" i="33"/>
  <c r="I26" i="33"/>
  <c r="I26" i="32"/>
  <c r="I26" i="30"/>
  <c r="H21" i="33"/>
  <c r="E26" i="33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C26" i="32"/>
  <c r="G21" i="31"/>
  <c r="I21" i="32"/>
  <c r="E26" i="31"/>
  <c r="F25" i="33"/>
  <c r="D25" i="33"/>
  <c r="E28" i="26"/>
  <c r="F26" i="31"/>
  <c r="E21" i="30"/>
  <c r="E21" i="33"/>
  <c r="H26" i="31"/>
  <c r="H26" i="30"/>
  <c r="F21" i="33"/>
  <c r="E25" i="33"/>
  <c r="D26" i="31"/>
  <c r="D25" i="30"/>
  <c r="C21" i="32"/>
  <c r="G21" i="33"/>
  <c r="C29" i="26"/>
  <c r="H29" i="26"/>
  <c r="I25" i="31"/>
  <c r="F28" i="26"/>
  <c r="D26" i="32"/>
  <c r="C26" i="31"/>
  <c r="D26" i="30"/>
  <c r="C26" i="30"/>
  <c r="F21" i="32"/>
  <c r="I21" i="30"/>
  <c r="F29" i="26"/>
  <c r="D21" i="32"/>
  <c r="E21" i="31"/>
  <c r="G25" i="30"/>
  <c r="I21" i="31"/>
  <c r="E21" i="32"/>
  <c r="F25" i="30"/>
  <c r="C28" i="26"/>
  <c r="C21" i="31"/>
  <c r="F26" i="32"/>
  <c r="E29" i="26"/>
  <c r="H28" i="26"/>
  <c r="G28" i="26"/>
  <c r="G21" i="32"/>
  <c r="H26" i="32"/>
  <c r="C25" i="33"/>
  <c r="I25" i="32"/>
  <c r="G25" i="33"/>
  <c r="E26" i="30"/>
  <c r="F21" i="31"/>
  <c r="F21" i="30"/>
  <c r="G26" i="32"/>
  <c r="F26" i="30"/>
  <c r="H21" i="32"/>
  <c r="D28" i="26"/>
  <c r="G26" i="30"/>
  <c r="C21" i="33"/>
  <c r="H25" i="33"/>
  <c r="E26" i="32"/>
  <c r="D29" i="26"/>
  <c r="G29" i="26"/>
  <c r="G26" i="31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I13" i="29"/>
  <c r="H13" i="29"/>
  <c r="G13" i="29"/>
  <c r="F13" i="29"/>
  <c r="E13" i="29"/>
  <c r="H25" i="32"/>
  <c r="E25" i="32"/>
  <c r="F25" i="31"/>
  <c r="F25" i="32"/>
  <c r="H21" i="30"/>
  <c r="D21" i="31"/>
  <c r="G25" i="32"/>
  <c r="C25" i="32"/>
  <c r="G25" i="31"/>
  <c r="C25" i="31"/>
  <c r="H25" i="31"/>
  <c r="D21" i="30"/>
  <c r="C21" i="30"/>
  <c r="H21" i="31"/>
  <c r="E25" i="30"/>
  <c r="G21" i="30"/>
  <c r="D25" i="31"/>
  <c r="E25" i="31"/>
  <c r="D25" i="32"/>
  <c r="C25" i="30"/>
  <c r="E18" i="29" l="1"/>
  <c r="E17" i="29"/>
  <c r="I17" i="29"/>
  <c r="I18" i="29"/>
  <c r="F18" i="29"/>
  <c r="F17" i="29"/>
  <c r="J18" i="29"/>
  <c r="J17" i="29"/>
  <c r="G17" i="29"/>
  <c r="G18" i="29"/>
  <c r="H18" i="29"/>
  <c r="H17" i="29"/>
  <c r="V14" i="44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H14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G16" i="29"/>
  <c r="J16" i="29"/>
  <c r="I16" i="29"/>
  <c r="F16" i="29"/>
  <c r="E16" i="29"/>
  <c r="H16" i="29"/>
  <c r="E21" i="29" l="1"/>
  <c r="H21" i="29"/>
  <c r="J21" i="29"/>
  <c r="G21" i="29"/>
  <c r="F21" i="29"/>
  <c r="I21" i="29"/>
  <c r="W14" i="44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G25" i="29" l="1"/>
  <c r="G24" i="29"/>
  <c r="J25" i="29"/>
  <c r="J24" i="29"/>
  <c r="I24" i="29"/>
  <c r="I25" i="29"/>
  <c r="H24" i="29"/>
  <c r="H25" i="29"/>
  <c r="F25" i="29"/>
  <c r="F24" i="29"/>
  <c r="E24" i="29"/>
  <c r="E25" i="29"/>
  <c r="X14" i="44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8" i="29"/>
  <c r="I27" i="29"/>
  <c r="F28" i="29"/>
  <c r="G27" i="29"/>
  <c r="I28" i="29"/>
  <c r="F27" i="29"/>
  <c r="E27" i="29"/>
  <c r="J27" i="29"/>
  <c r="E28" i="29"/>
  <c r="J28" i="29"/>
  <c r="H27" i="29"/>
  <c r="H28" i="29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G15" i="27"/>
  <c r="F15" i="27"/>
  <c r="E15" i="27"/>
  <c r="H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C44" i="26"/>
  <c r="D27" i="26"/>
  <c r="P38" i="26"/>
  <c r="C27" i="26"/>
  <c r="R42" i="26"/>
  <c r="P42" i="26"/>
  <c r="R23" i="26"/>
  <c r="C26" i="26" l="1"/>
  <c r="F26" i="26"/>
  <c r="G26" i="26"/>
  <c r="D26" i="26"/>
  <c r="H26" i="26"/>
  <c r="E26" i="26"/>
  <c r="L38" i="26"/>
  <c r="R38" i="26"/>
  <c r="O42" i="26"/>
  <c r="E27" i="26"/>
  <c r="L23" i="26"/>
  <c r="Q42" i="26"/>
  <c r="M42" i="26"/>
  <c r="G44" i="26"/>
  <c r="M38" i="26"/>
  <c r="Q38" i="26"/>
  <c r="G27" i="26"/>
  <c r="H27" i="26"/>
  <c r="L42" i="26"/>
  <c r="F27" i="26"/>
  <c r="N23" i="26"/>
  <c r="N42" i="26"/>
  <c r="N38" i="26"/>
  <c r="F44" i="26"/>
  <c r="O38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Q23" i="26"/>
  <c r="D42" i="26"/>
  <c r="G24" i="26"/>
  <c r="H42" i="26"/>
  <c r="O23" i="26"/>
  <c r="F24" i="26"/>
  <c r="C24" i="26"/>
  <c r="H24" i="26"/>
  <c r="M23" i="26"/>
  <c r="D44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6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24" i="26"/>
  <c r="E44" i="26"/>
  <c r="E42" i="26"/>
  <c r="F42" i="26"/>
  <c r="D24" i="26"/>
  <c r="H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F9" i="25"/>
  <c r="K18" i="16"/>
  <c r="N22" i="16"/>
  <c r="N29" i="16" s="1"/>
  <c r="N23" i="16"/>
  <c r="N30" i="16" s="1"/>
  <c r="N41" i="16" s="1"/>
  <c r="L23" i="16"/>
  <c r="L30" i="16" s="1"/>
  <c r="L41" i="16" s="1"/>
  <c r="L22" i="16"/>
  <c r="L29" i="16" s="1"/>
  <c r="M22" i="16"/>
  <c r="M29" i="16" s="1"/>
  <c r="M23" i="16"/>
  <c r="M30" i="16" s="1"/>
  <c r="M41" i="16" s="1"/>
  <c r="L26" i="16"/>
  <c r="M26" i="16"/>
  <c r="N26" i="16"/>
  <c r="J26" i="16"/>
  <c r="E22" i="16"/>
  <c r="E29" i="16" s="1"/>
  <c r="E23" i="16"/>
  <c r="E30" i="16" s="1"/>
  <c r="E41" i="16" s="1"/>
  <c r="I22" i="16"/>
  <c r="I29" i="16" s="1"/>
  <c r="I23" i="16"/>
  <c r="I30" i="16" s="1"/>
  <c r="I41" i="16" s="1"/>
  <c r="F22" i="16"/>
  <c r="F29" i="16" s="1"/>
  <c r="F23" i="16"/>
  <c r="F30" i="16" s="1"/>
  <c r="F41" i="16" s="1"/>
  <c r="J22" i="16"/>
  <c r="J29" i="16" s="1"/>
  <c r="J23" i="16"/>
  <c r="J30" i="16" s="1"/>
  <c r="J41" i="16" s="1"/>
  <c r="H26" i="16"/>
  <c r="G26" i="16"/>
  <c r="E26" i="16"/>
  <c r="I26" i="16"/>
  <c r="F26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Q29" i="24"/>
  <c r="H29" i="24"/>
  <c r="N33" i="24"/>
  <c r="L35" i="24"/>
  <c r="P19" i="24"/>
  <c r="M19" i="24"/>
  <c r="M33" i="24"/>
  <c r="P29" i="24"/>
  <c r="R33" i="24"/>
  <c r="G29" i="24"/>
  <c r="N29" i="24"/>
  <c r="M29" i="24"/>
  <c r="P33" i="24"/>
  <c r="O19" i="24"/>
  <c r="Q33" i="24"/>
  <c r="O35" i="24"/>
  <c r="J29" i="24"/>
  <c r="L29" i="24"/>
  <c r="O33" i="24"/>
  <c r="O29" i="24"/>
  <c r="Q19" i="24"/>
  <c r="E29" i="24"/>
  <c r="I29" i="24"/>
  <c r="F29" i="24"/>
  <c r="R29" i="24"/>
  <c r="L19" i="24"/>
  <c r="G30" i="25" l="1"/>
  <c r="G38" i="25"/>
  <c r="D34" i="26"/>
  <c r="D37" i="26"/>
  <c r="E34" i="26"/>
  <c r="E37" i="26"/>
  <c r="D33" i="26"/>
  <c r="D36" i="26"/>
  <c r="E33" i="26"/>
  <c r="E36" i="26"/>
  <c r="H34" i="26"/>
  <c r="G23" i="25"/>
  <c r="G26" i="25"/>
  <c r="G24" i="25"/>
  <c r="H22" i="16"/>
  <c r="H23" i="16"/>
  <c r="H30" i="16" s="1"/>
  <c r="H41" i="16" s="1"/>
  <c r="G22" i="16"/>
  <c r="G29" i="16" s="1"/>
  <c r="G23" i="16"/>
  <c r="G30" i="16" s="1"/>
  <c r="G41" i="16" s="1"/>
  <c r="K23" i="16"/>
  <c r="K30" i="16" s="1"/>
  <c r="K41" i="16" s="1"/>
  <c r="K22" i="16"/>
  <c r="M24" i="16"/>
  <c r="M25" i="16"/>
  <c r="L25" i="16"/>
  <c r="L24" i="16"/>
  <c r="N25" i="16"/>
  <c r="N24" i="16"/>
  <c r="J24" i="16"/>
  <c r="J25" i="16"/>
  <c r="I24" i="16"/>
  <c r="I25" i="16"/>
  <c r="F24" i="16"/>
  <c r="F25" i="16"/>
  <c r="E24" i="16"/>
  <c r="E25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L33" i="23"/>
  <c r="Q35" i="24"/>
  <c r="M35" i="24"/>
  <c r="N19" i="24"/>
  <c r="H33" i="24"/>
  <c r="P35" i="24"/>
  <c r="O33" i="23"/>
  <c r="N35" i="24"/>
  <c r="E29" i="23"/>
  <c r="H29" i="23"/>
  <c r="L29" i="23"/>
  <c r="R35" i="24"/>
  <c r="E35" i="24"/>
  <c r="Q29" i="23"/>
  <c r="M33" i="23"/>
  <c r="P29" i="23"/>
  <c r="F33" i="23"/>
  <c r="J33" i="23"/>
  <c r="R19" i="24"/>
  <c r="Q33" i="23"/>
  <c r="J29" i="23"/>
  <c r="P35" i="23"/>
  <c r="G33" i="24"/>
  <c r="R29" i="23"/>
  <c r="J35" i="24"/>
  <c r="F35" i="24"/>
  <c r="E35" i="23"/>
  <c r="O29" i="23"/>
  <c r="L35" i="23"/>
  <c r="F35" i="23"/>
  <c r="F33" i="24"/>
  <c r="N29" i="23"/>
  <c r="H35" i="24"/>
  <c r="G29" i="23"/>
  <c r="R33" i="23"/>
  <c r="J33" i="24"/>
  <c r="P33" i="23"/>
  <c r="I33" i="24"/>
  <c r="E33" i="24"/>
  <c r="N33" i="23"/>
  <c r="F29" i="23"/>
  <c r="M29" i="23"/>
  <c r="L19" i="23"/>
  <c r="I35" i="23"/>
  <c r="I35" i="24"/>
  <c r="J35" i="23"/>
  <c r="G35" i="24"/>
  <c r="H35" i="23"/>
  <c r="G35" i="23"/>
  <c r="I29" i="23"/>
  <c r="O35" i="23"/>
  <c r="K24" i="16" l="1"/>
  <c r="K29" i="16"/>
  <c r="H25" i="16"/>
  <c r="H29" i="16"/>
  <c r="H40" i="16" s="1"/>
  <c r="G29" i="25"/>
  <c r="G37" i="25"/>
  <c r="K25" i="16"/>
  <c r="K32" i="16"/>
  <c r="G24" i="16"/>
  <c r="G25" i="16"/>
  <c r="E32" i="16"/>
  <c r="E40" i="16"/>
  <c r="F33" i="16"/>
  <c r="N40" i="16"/>
  <c r="N32" i="16"/>
  <c r="G40" i="16"/>
  <c r="G32" i="16"/>
  <c r="F40" i="16"/>
  <c r="F32" i="16"/>
  <c r="G33" i="16"/>
  <c r="J40" i="16"/>
  <c r="J32" i="16"/>
  <c r="I33" i="16"/>
  <c r="J33" i="16"/>
  <c r="N33" i="16"/>
  <c r="H33" i="16"/>
  <c r="E33" i="16"/>
  <c r="L40" i="16"/>
  <c r="L32" i="16"/>
  <c r="M40" i="16"/>
  <c r="M32" i="16"/>
  <c r="I40" i="16"/>
  <c r="I32" i="16"/>
  <c r="M33" i="16"/>
  <c r="L33" i="16"/>
  <c r="K33" i="16"/>
  <c r="H24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H29" i="22"/>
  <c r="M35" i="23"/>
  <c r="F33" i="22"/>
  <c r="L19" i="22"/>
  <c r="H33" i="23"/>
  <c r="O19" i="23"/>
  <c r="N35" i="23"/>
  <c r="O29" i="22"/>
  <c r="G33" i="22"/>
  <c r="E35" i="22"/>
  <c r="R19" i="23"/>
  <c r="L35" i="22"/>
  <c r="N29" i="22"/>
  <c r="L29" i="22"/>
  <c r="O33" i="22"/>
  <c r="R35" i="23"/>
  <c r="G29" i="22"/>
  <c r="P19" i="23"/>
  <c r="N19" i="23"/>
  <c r="Q33" i="22"/>
  <c r="M29" i="22"/>
  <c r="G33" i="23"/>
  <c r="J29" i="22"/>
  <c r="E29" i="22"/>
  <c r="P33" i="22"/>
  <c r="Q19" i="23"/>
  <c r="E33" i="23"/>
  <c r="G35" i="22"/>
  <c r="F29" i="22"/>
  <c r="P29" i="22"/>
  <c r="I33" i="23"/>
  <c r="M33" i="22"/>
  <c r="H35" i="22"/>
  <c r="R29" i="22"/>
  <c r="I29" i="22"/>
  <c r="M19" i="23"/>
  <c r="I35" i="22"/>
  <c r="J33" i="22"/>
  <c r="P35" i="22"/>
  <c r="L33" i="22"/>
  <c r="N33" i="22"/>
  <c r="Q29" i="22"/>
  <c r="R33" i="22"/>
  <c r="K40" i="16" l="1"/>
  <c r="H32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M35" i="22"/>
  <c r="O19" i="21"/>
  <c r="P19" i="21"/>
  <c r="F35" i="21"/>
  <c r="H29" i="21"/>
  <c r="Q29" i="21"/>
  <c r="R35" i="22"/>
  <c r="O35" i="22"/>
  <c r="P33" i="21"/>
  <c r="I29" i="21"/>
  <c r="J29" i="21"/>
  <c r="H35" i="21"/>
  <c r="N35" i="21"/>
  <c r="Q35" i="22"/>
  <c r="I33" i="21"/>
  <c r="H33" i="21"/>
  <c r="I35" i="21"/>
  <c r="P29" i="21"/>
  <c r="H33" i="22"/>
  <c r="F29" i="21"/>
  <c r="J33" i="21"/>
  <c r="M19" i="22"/>
  <c r="N19" i="22"/>
  <c r="E35" i="21"/>
  <c r="M29" i="21"/>
  <c r="M35" i="21"/>
  <c r="N33" i="21"/>
  <c r="J35" i="21"/>
  <c r="O29" i="21"/>
  <c r="Q19" i="22"/>
  <c r="R35" i="21"/>
  <c r="Q35" i="21"/>
  <c r="J35" i="22"/>
  <c r="R29" i="21"/>
  <c r="R19" i="21"/>
  <c r="R19" i="22"/>
  <c r="P35" i="21"/>
  <c r="Q33" i="21"/>
  <c r="N19" i="21"/>
  <c r="F35" i="22"/>
  <c r="G35" i="21"/>
  <c r="Q19" i="21"/>
  <c r="O35" i="21"/>
  <c r="O19" i="22"/>
  <c r="O33" i="21"/>
  <c r="E33" i="22"/>
  <c r="N29" i="21"/>
  <c r="G33" i="21"/>
  <c r="R33" i="21"/>
  <c r="E33" i="21"/>
  <c r="I33" i="22"/>
  <c r="N35" i="22"/>
  <c r="L33" i="21"/>
  <c r="L29" i="21"/>
  <c r="P19" i="22"/>
  <c r="E29" i="21"/>
  <c r="M19" i="21"/>
  <c r="F33" i="21"/>
  <c r="G29" i="21"/>
  <c r="M33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2" i="6"/>
  <c r="B19" i="6"/>
  <c r="B15" i="6"/>
  <c r="B13" i="6"/>
  <c r="B14" i="6"/>
  <c r="B21" i="6"/>
  <c r="B18" i="6"/>
  <c r="B20" i="6"/>
  <c r="B9" i="6"/>
  <c r="B8" i="6"/>
  <c r="B22" i="6"/>
  <c r="B17" i="6"/>
  <c r="B6" i="6"/>
  <c r="B7" i="6"/>
  <c r="B11" i="6"/>
  <c r="B10" i="6"/>
  <c r="B1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19" i="12"/>
  <c r="E16" i="12"/>
  <c r="E26" i="12"/>
  <c r="E31" i="12"/>
  <c r="E12" i="12"/>
  <c r="E14" i="12"/>
  <c r="E32" i="12"/>
  <c r="E22" i="12"/>
  <c r="E8" i="12"/>
  <c r="E17" i="12"/>
  <c r="E25" i="12"/>
  <c r="E35" i="12"/>
  <c r="E11" i="12"/>
  <c r="B6" i="4"/>
  <c r="E34" i="12"/>
  <c r="E10" i="12"/>
  <c r="E33" i="12"/>
  <c r="E30" i="12"/>
  <c r="E36" i="12"/>
  <c r="E20" i="12"/>
  <c r="E18" i="12"/>
  <c r="E13" i="12"/>
  <c r="E21" i="12"/>
  <c r="E27" i="12"/>
  <c r="E23" i="12"/>
  <c r="E5" i="12"/>
  <c r="E28" i="12"/>
  <c r="E15" i="12"/>
  <c r="E6" i="12"/>
  <c r="E7" i="12"/>
  <c r="E24" i="12"/>
  <c r="E9" i="12"/>
  <c r="E29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4"/>
  <c r="B9" i="5"/>
  <c r="B14" i="9"/>
  <c r="B11" i="9"/>
  <c r="B20" i="8"/>
  <c r="B19" i="8"/>
  <c r="B20" i="5"/>
  <c r="B22" i="8"/>
  <c r="B17" i="9"/>
  <c r="B11" i="7"/>
  <c r="B17" i="8"/>
  <c r="B15" i="7"/>
  <c r="B6" i="7"/>
  <c r="B9" i="4"/>
  <c r="B5" i="8"/>
  <c r="B11" i="4"/>
  <c r="B23" i="5"/>
  <c r="B15" i="4"/>
  <c r="B9" i="8"/>
  <c r="B21" i="5"/>
  <c r="B16" i="8"/>
  <c r="B19" i="7"/>
  <c r="B19" i="9"/>
  <c r="B29" i="8"/>
  <c r="B13" i="8"/>
  <c r="B11" i="8"/>
  <c r="B24" i="5"/>
  <c r="B14" i="4"/>
  <c r="B12" i="4"/>
  <c r="B24" i="4"/>
  <c r="B14" i="7"/>
  <c r="B9" i="7"/>
  <c r="B17" i="5"/>
  <c r="B27" i="8"/>
  <c r="B25" i="4"/>
  <c r="B18" i="9"/>
  <c r="B10" i="9"/>
  <c r="B28" i="8"/>
  <c r="B19" i="5"/>
  <c r="B22" i="4"/>
  <c r="B8" i="8"/>
  <c r="B16" i="5"/>
  <c r="B20" i="7"/>
  <c r="B33" i="8"/>
  <c r="B8" i="4"/>
  <c r="B6" i="9"/>
  <c r="B21" i="7"/>
  <c r="B14" i="8"/>
  <c r="B13" i="4"/>
  <c r="B7" i="8"/>
  <c r="B23" i="4"/>
  <c r="B15" i="8"/>
  <c r="B17" i="7"/>
  <c r="B7" i="4"/>
  <c r="B10" i="4"/>
  <c r="B25" i="5"/>
  <c r="B8" i="5"/>
  <c r="B22" i="7"/>
  <c r="B18" i="4"/>
  <c r="B18" i="5"/>
  <c r="B6" i="5"/>
  <c r="B5" i="9"/>
  <c r="B19" i="4"/>
  <c r="B18" i="7"/>
  <c r="B20" i="9"/>
  <c r="B30" i="8"/>
  <c r="B8" i="9"/>
  <c r="B9" i="9"/>
  <c r="B12" i="8"/>
  <c r="B16" i="4"/>
  <c r="B18" i="8"/>
  <c r="B13" i="9"/>
  <c r="B13" i="5"/>
  <c r="B6" i="8"/>
  <c r="B22" i="5"/>
  <c r="B13" i="7"/>
  <c r="B10" i="8"/>
  <c r="B15" i="5"/>
  <c r="B35" i="8"/>
  <c r="B31" i="8"/>
  <c r="B21" i="4"/>
  <c r="B34" i="8"/>
  <c r="B23" i="8"/>
  <c r="B10" i="7"/>
  <c r="B15" i="9"/>
  <c r="B21" i="8"/>
  <c r="B14" i="5"/>
  <c r="B7" i="9"/>
  <c r="B8" i="7"/>
  <c r="B24" i="8"/>
  <c r="B26" i="8"/>
  <c r="B17" i="4"/>
  <c r="B11" i="5"/>
  <c r="B7" i="7"/>
  <c r="B10" i="5"/>
  <c r="B25" i="8"/>
  <c r="B12" i="5"/>
  <c r="B16" i="9"/>
  <c r="B16" i="7"/>
  <c r="B7" i="5"/>
  <c r="B32" i="8"/>
  <c r="B12" i="7"/>
  <c r="B36" i="8"/>
  <c r="B12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1" i="2"/>
  <c r="B58" i="2"/>
  <c r="B47" i="2"/>
  <c r="B24" i="2"/>
  <c r="B35" i="1"/>
  <c r="B8" i="1"/>
  <c r="B16" i="2"/>
  <c r="B13" i="1"/>
  <c r="B10" i="1"/>
  <c r="B72" i="2"/>
  <c r="B28" i="1"/>
  <c r="B68" i="2"/>
  <c r="B8" i="2"/>
  <c r="B24" i="1"/>
  <c r="B52" i="2"/>
  <c r="B11" i="1"/>
  <c r="B16" i="1"/>
  <c r="B50" i="2"/>
  <c r="B49" i="2"/>
  <c r="B34" i="2"/>
  <c r="B63" i="2"/>
  <c r="B9" i="2"/>
  <c r="B36" i="2"/>
  <c r="B7" i="1"/>
  <c r="B33" i="1"/>
  <c r="B13" i="2"/>
  <c r="B20" i="2"/>
  <c r="B23" i="1"/>
  <c r="B48" i="2"/>
  <c r="B25" i="1"/>
  <c r="B25" i="2"/>
  <c r="B44" i="2"/>
  <c r="B7" i="2"/>
  <c r="B32" i="1"/>
  <c r="B32" i="2"/>
  <c r="B14" i="1"/>
  <c r="B19" i="2"/>
  <c r="B31" i="1"/>
  <c r="B70" i="2"/>
  <c r="B27" i="2"/>
  <c r="B9" i="1"/>
  <c r="B28" i="2"/>
  <c r="B46" i="2"/>
  <c r="B12" i="2"/>
  <c r="B56" i="2"/>
  <c r="B22" i="1"/>
  <c r="B53" i="2"/>
  <c r="B12" i="1"/>
  <c r="B15" i="2"/>
  <c r="B27" i="1"/>
  <c r="B66" i="2"/>
  <c r="B18" i="2"/>
  <c r="B67" i="2"/>
  <c r="B15" i="1"/>
  <c r="B54" i="2"/>
  <c r="B23" i="2"/>
  <c r="B45" i="2"/>
  <c r="B41" i="2"/>
  <c r="B33" i="2"/>
  <c r="B5" i="1"/>
  <c r="B31" i="2"/>
  <c r="B17" i="2"/>
  <c r="B21" i="2"/>
  <c r="B36" i="1"/>
  <c r="B62" i="2"/>
  <c r="B26" i="1"/>
  <c r="B30" i="1"/>
  <c r="B6" i="1"/>
  <c r="B43" i="2"/>
  <c r="B34" i="1"/>
  <c r="B65" i="2"/>
  <c r="B64" i="2"/>
  <c r="B42" i="2"/>
  <c r="B71" i="2"/>
  <c r="B35" i="2"/>
  <c r="B18" i="1"/>
  <c r="B10" i="2"/>
  <c r="B59" i="2"/>
  <c r="B21" i="1"/>
  <c r="B20" i="1"/>
  <c r="B30" i="2"/>
  <c r="B11" i="2"/>
  <c r="B69" i="2"/>
  <c r="B17" i="1"/>
  <c r="B29" i="2"/>
  <c r="B22" i="2"/>
  <c r="B6" i="2"/>
  <c r="B26" i="2"/>
  <c r="B51" i="2"/>
  <c r="B55" i="2"/>
  <c r="B57" i="2"/>
  <c r="B60" i="2"/>
  <c r="B29" i="1"/>
  <c r="B14" i="2"/>
  <c r="B19" i="1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<sst xmlns="http://schemas.openxmlformats.org/spreadsheetml/2006/main" count="1639" uniqueCount="496">
  <si>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</si>
  <si>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</si>
  <si>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</si>
  <si>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</si>
  <si>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</si>
  <si>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</si>
  <si>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</si>
  <si>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</si>
  <si>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</si>
  <si>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</si>
  <si>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</si>
  <si>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</si>
  <si>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</si>
  <si>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</si>
  <si>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</si>
  <si>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</si>
  <si>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</si>
  <si>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</si>
  <si>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</si>
  <si>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</si>
  <si>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</si>
  <si>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</si>
  <si>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</si>
  <si>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</si>
  <si>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</si>
  <si>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</si>
  <si>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</si>
  <si>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</si>
  <si>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</si>
  <si>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</si>
  <si>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</si>
  <si>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</si>
  <si>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</si>
  <si>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</si>
  <si>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</si>
  <si>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</si>
  <si>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</si>
  <si>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</si>
  <si>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</si>
  <si>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</si>
  <si>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</si>
  <si>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</si>
  <si>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</si>
  <si>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</si>
  <si>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</si>
  <si>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</si>
  <si>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</si>
  <si>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</si>
  <si>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</si>
  <si>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</si>
  <si>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</si>
  <si>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</si>
  <si>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</si>
  <si>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</si>
  <si>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</si>
  <si>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</si>
  <si>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</si>
  <si>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</si>
  <si>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</si>
  <si>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</si>
  <si>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</si>
  <si>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</si>
  <si>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</si>
  <si>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</si>
  <si>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</si>
  <si>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</si>
  <si>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</si>
  <si>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</si>
  <si>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</si>
  <si>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</si>
  <si>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</si>
  <si>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</si>
  <si>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</si>
  <si>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</si>
  <si>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</si>
  <si>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</si>
  <si>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</si>
  <si>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</si>
  <si>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</si>
  <si>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</si>
  <si>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</si>
  <si>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</si>
  <si>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</si>
  <si>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</si>
  <si>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</si>
  <si>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</si>
  <si>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</si>
  <si>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</si>
  <si>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</si>
  <si>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</si>
  <si>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</si>
  <si>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</si>
  <si>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</si>
  <si>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</si>
  <si>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</si>
  <si>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</si>
  <si>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</si>
  <si>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</si>
  <si>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</si>
  <si>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</si>
  <si>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</si>
  <si>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</si>
  <si>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</si>
  <si>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</si>
  <si>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</si>
  <si>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</si>
  <si>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</si>
  <si>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</si>
  <si>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</si>
  <si>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</si>
  <si>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</si>
  <si>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</si>
  <si>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</si>
  <si>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</si>
  <si>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</si>
  <si>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</si>
  <si>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</si>
  <si>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</si>
  <si>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</si>
  <si>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</si>
  <si>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</si>
  <si>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</si>
  <si>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</si>
  <si>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</si>
  <si>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</si>
  <si>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</si>
  <si>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</si>
  <si>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</si>
  <si>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</si>
  <si>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</si>
  <si>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</si>
  <si>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</si>
  <si>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</si>
  <si>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</si>
  <si>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</si>
  <si>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</si>
  <si>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</si>
  <si>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</si>
  <si>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</si>
  <si>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</si>
  <si>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</si>
  <si>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</si>
  <si>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</si>
  <si>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</si>
  <si>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</si>
  <si>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</si>
  <si>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</si>
  <si>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</si>
  <si>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</si>
  <si>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</si>
  <si>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</si>
  <si>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</si>
  <si>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</si>
  <si>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</si>
  <si>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</si>
  <si>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</si>
  <si>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</si>
  <si>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</si>
  <si>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</si>
  <si>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</si>
  <si>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</si>
  <si>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</si>
  <si>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</si>
  <si>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</si>
  <si>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</si>
  <si>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</si>
  <si>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</si>
  <si>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</si>
  <si>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</si>
  <si>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</si>
  <si>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</si>
  <si>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</si>
  <si>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</si>
  <si>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</si>
  <si>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</si>
  <si>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</si>
  <si>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</si>
  <si>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</si>
  <si>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</si>
  <si>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</si>
  <si>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</si>
  <si>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</si>
  <si>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</si>
  <si>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</si>
  <si>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</si>
  <si>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</si>
  <si>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</si>
  <si>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</si>
  <si>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</si>
  <si>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</si>
  <si>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</si>
  <si>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</si>
  <si>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</si>
  <si>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</si>
  <si>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</si>
  <si>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</si>
  <si>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</si>
  <si>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</si>
  <si>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</si>
  <si>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</si>
  <si>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</si>
  <si>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</si>
  <si>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</si>
  <si>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</si>
  <si>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</si>
  <si>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</si>
  <si>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</si>
  <si>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</si>
  <si>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</si>
  <si>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</si>
  <si>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</si>
  <si>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</si>
  <si>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</si>
  <si>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</si>
  <si>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</si>
  <si>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</si>
  <si>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</si>
  <si>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</si>
  <si>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</si>
  <si>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</si>
  <si>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</si>
  <si>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</si>
  <si>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</si>
  <si>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</si>
  <si>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</si>
  <si>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</si>
  <si>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</si>
  <si>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</si>
  <si>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</si>
  <si>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</si>
  <si>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</si>
  <si>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</si>
  <si>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</si>
  <si>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</si>
  <si>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</si>
  <si>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</si>
  <si>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</si>
  <si>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</si>
  <si>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</si>
  <si>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</si>
  <si>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</si>
  <si>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</si>
  <si>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</si>
  <si>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</si>
  <si>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</si>
  <si>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</si>
  <si>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</si>
  <si>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</si>
  <si>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</si>
  <si>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</si>
  <si>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</si>
  <si>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</si>
  <si>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</si>
  <si>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</si>
  <si>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</si>
  <si>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</si>
  <si>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</si>
  <si>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</si>
  <si>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</si>
  <si>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</si>
  <si>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</si>
  <si>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</si>
  <si>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</si>
  <si>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</si>
  <si>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</si>
  <si>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</si>
  <si>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</si>
  <si>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</si>
  <si>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</si>
  <si>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</si>
  <si>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</si>
  <si>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</si>
  <si>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</si>
  <si>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</si>
  <si>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</si>
  <si>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</si>
  <si>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</si>
  <si>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</si>
  <si>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</si>
  <si>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</si>
  <si>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</si>
  <si>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</si>
  <si>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</si>
  <si>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</si>
  <si>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</si>
  <si>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</si>
  <si>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</si>
  <si>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</si>
  <si>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</si>
  <si>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</si>
  <si>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</si>
  <si>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</si>
  <si>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</si>
  <si>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</si>
  <si>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</si>
  <si>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</si>
  <si>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</si>
  <si>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</si>
  <si>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</si>
  <si>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</si>
  <si>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</si>
  <si>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</si>
  <si>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</si>
  <si>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</si>
  <si>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</si>
  <si>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</si>
  <si>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</si>
  <si>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</si>
  <si>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</si>
  <si>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</si>
  <si>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</si>
  <si>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</si>
  <si>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</si>
  <si>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</si>
  <si>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</si>
  <si>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</si>
  <si>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</si>
  <si>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</si>
  <si>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</si>
  <si>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</si>
  <si>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</si>
  <si>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</si>
  <si>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</si>
  <si>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</si>
  <si>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</si>
  <si>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</si>
  <si>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</si>
  <si>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</si>
  <si>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</si>
  <si>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</si>
  <si>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</si>
  <si>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</si>
  <si>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</si>
  <si>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</si>
  <si>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</si>
  <si>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</si>
  <si>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</si>
  <si>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</si>
  <si>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</si>
  <si>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</si>
  <si>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</si>
  <si>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</si>
  <si>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</si>
  <si>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</si>
  <si>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</si>
  <si>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</si>
  <si>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</si>
  <si>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</si>
  <si>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</si>
  <si>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</si>
  <si>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</si>
  <si>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</si>
  <si>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</si>
  <si>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</si>
  <si>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</si>
  <si>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</si>
  <si>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</si>
  <si>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</si>
  <si>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</si>
  <si>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</si>
  <si>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</si>
  <si>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</si>
  <si>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</si>
  <si>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</si>
  <si>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</si>
  <si>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</si>
  <si>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</si>
  <si>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</si>
  <si>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</si>
  <si>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</si>
  <si>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</si>
  <si>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</si>
  <si>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</si>
  <si>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</si>
  <si>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</si>
  <si>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</si>
  <si>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</si>
  <si>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</si>
  <si>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</si>
  <si>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</si>
  <si>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</si>
  <si>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</si>
  <si>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</si>
  <si>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</si>
  <si>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</si>
  <si>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</si>
  <si>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</si>
  <si>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</si>
  <si>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</si>
  <si>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</si>
  <si>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</si>
  <si>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</si>
  <si>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</si>
  <si>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</si>
  <si>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</si>
  <si>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</si>
  <si>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</si>
  <si>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</si>
  <si>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</si>
  <si>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</si>
  <si>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</si>
  <si>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</si>
  <si>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</si>
  <si>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</si>
  <si>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</si>
  <si>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</si>
  <si>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</si>
  <si>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</si>
  <si>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</si>
  <si>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</si>
  <si>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</si>
  <si>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</si>
  <si>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</si>
  <si>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</si>
  <si>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</si>
  <si>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</si>
  <si>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</si>
  <si>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</si>
  <si>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</si>
  <si>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</si>
  <si>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</si>
  <si>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</si>
  <si>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</si>
  <si>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</si>
  <si>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</si>
  <si>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</si>
  <si>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</si>
  <si>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</si>
  <si>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</si>
  <si>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</si>
  <si>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</si>
  <si>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</si>
  <si>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</si>
  <si>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</si>
  <si>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</si>
  <si>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</si>
  <si>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</si>
  <si>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</si>
  <si>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</si>
  <si>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</si>
  <si>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</si>
  <si>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</si>
  <si>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</si>
  <si>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</si>
  <si>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</si>
  <si>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</si>
  <si>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</si>
  <si>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</si>
  <si>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</si>
  <si>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</si>
  <si>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</si>
  <si>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</si>
  <si>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</si>
  <si>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</si>
  <si>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</si>
  <si>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</si>
  <si>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</si>
  <si>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</si>
  <si>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</si>
  <si>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</si>
  <si>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</si>
  <si>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</si>
  <si>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</si>
  <si>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</si>
  <si>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</si>
  <si>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</si>
  <si>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</si>
  <si>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</si>
  <si>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</si>
  <si>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</si>
  <si>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</si>
  <si>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</si>
  <si>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</si>
  <si>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</si>
  <si>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</si>
  <si>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</si>
  <si>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</si>
  <si>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</si>
  <si>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</si>
  <si>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</si>
  <si>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</si>
  <si>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</si>
  <si>
    <t>Phí cán màng thử</t>
  </si>
  <si>
    <t>Phí hộp nhựa</t>
  </si>
  <si>
    <t>Giá hộp nhựa</t>
  </si>
  <si>
    <t>Phí cấn 1 đường</t>
  </si>
  <si>
    <t>Giấy 1</t>
  </si>
  <si>
    <t>Giấy 2</t>
  </si>
  <si>
    <t>Phí giấy 1</t>
  </si>
  <si>
    <t>Phí giấy 2</t>
  </si>
  <si>
    <t>Phí in 2M + Phí Cấn</t>
  </si>
  <si>
    <t>Tổng giá bán theo giấy 1</t>
  </si>
  <si>
    <t>Giá bán niêm yết theo giáy 1</t>
  </si>
  <si>
    <t>Giá bán niêm yết theo giáy 2</t>
  </si>
  <si>
    <t>Giá tờ giấy 150gsm A4</t>
  </si>
  <si>
    <t>THẺ TÍCH ĐIỂM 9 x 5.5cm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</si>
</sst>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13" fillId="0" borderId="0" xfId="0" applyFont="1"/>
    <xf numFmtId="164" fontId="6" fillId="0" borderId="0" xfId="0" quotePrefix="1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45</xdr:row>
      <xdr:rowOff>95250</xdr:rowOff>
    </xdr:from>
    <xdr:to>
      <xdr:col>2</xdr:col>
      <xdr:colOff>95250</xdr:colOff>
      <xdr:row>47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20</xdr:col>
      <xdr:colOff>209550</xdr:colOff>
      <xdr:row>10</xdr:row>
      <xdr:rowOff>57149</xdr:rowOff>
    </xdr:from>
    <xdr:to>
      <xdr:col>22</xdr:col>
      <xdr:colOff>381000</xdr:colOff>
      <xdr:row>24</xdr:row>
      <xdr:rowOff>38100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6116300" y="2152649"/>
          <a:ext cx="1390650" cy="3409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115000</a:t>
          </a:r>
        </a:p>
        <a:p>
          <a:r>
            <a:rPr lang="en-US" sz="1100" baseline="0"/>
            <a:t>2M: 135000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1550000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190000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300000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395000</a:t>
          </a:r>
        </a:p>
        <a:p>
          <a:r>
            <a:rPr lang="en-US" sz="1100" i="1" baseline="0"/>
            <a:t>2M: 525000</a:t>
          </a:r>
        </a:p>
        <a:p>
          <a:endParaRPr lang="en-US" sz="1100" i="1" baseline="0"/>
        </a:p>
        <a:p>
          <a:r>
            <a:rPr lang="en-US" sz="1100" i="1" baseline="0"/>
            <a:t>Cán màng tính thêm 20000đ/hộp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4.25" x14ac:dyDescent="0.45"/>
  <cols>
    <col min="2" max="2" width="14.86328125" bestFit="1" customWidth="1"/>
    <col min="3" max="3" width="12.3984375" customWidth="1"/>
    <col min="4" max="5" width="14.86328125" bestFit="1" customWidth="1"/>
    <col min="8" max="9" width="14.86328125" bestFit="1" customWidth="1"/>
    <col min="10" max="10" width="8.3984375" bestFit="1" customWidth="1"/>
    <col min="12" max="12" width="13.265625" bestFit="1" customWidth="1"/>
    <col min="13" max="13" width="14.86328125" bestFit="1" customWidth="1"/>
    <col min="14" max="14" width="11.1328125" bestFit="1" customWidth="1"/>
    <col min="15" max="24" width="0" hidden="1" customWidth="1"/>
    <col min="30" max="30" width="19.1328125" customWidth="1"/>
    <col min="31" max="31" width="11" customWidth="1"/>
  </cols>
  <sheetData>
    <row r="1" spans="1:32" x14ac:dyDescent="0.45">
      <c r="A1" s="1" t="s">
        <v>0</v>
      </c>
    </row>
    <row r="2" spans="1:32" x14ac:dyDescent="0.45">
      <c r="A2" t="s">
        <v>75</v>
      </c>
    </row>
    <row r="4" spans="1:32" x14ac:dyDescent="0.45">
      <c r="A4" s="1" t="s">
        <v>5</v>
      </c>
      <c r="G4" s="1" t="s">
        <v>4</v>
      </c>
      <c r="L4" s="1" t="s">
        <v>15</v>
      </c>
      <c r="AD4" s="1" t="s">
        <v>78</v>
      </c>
    </row>
    <row r="5" spans="1:32" ht="42.75" x14ac:dyDescent="0.4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4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4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4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4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4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4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4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4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4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4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4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4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4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4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4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4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4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45">
      <c r="B23" s="6"/>
      <c r="G23" s="4"/>
      <c r="H23" s="7"/>
      <c r="I23" s="7"/>
      <c r="J23" s="4"/>
      <c r="L23" s="7"/>
      <c r="M23" s="7"/>
    </row>
    <row r="24" spans="1:14" x14ac:dyDescent="0.45">
      <c r="B24" s="6"/>
      <c r="G24" s="4"/>
      <c r="H24" s="7"/>
      <c r="I24" s="7"/>
      <c r="J24" s="4"/>
      <c r="L24" s="7"/>
      <c r="M24" s="7"/>
    </row>
    <row r="25" spans="1:14" x14ac:dyDescent="0.4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4.25" x14ac:dyDescent="0.45"/>
  <cols>
    <col min="2" max="2" width="14.86328125" bestFit="1" customWidth="1"/>
    <col min="4" max="4" width="13.265625" bestFit="1" customWidth="1"/>
    <col min="5" max="5" width="14.86328125" bestFit="1" customWidth="1"/>
    <col min="6" max="6" width="13.265625" bestFit="1" customWidth="1"/>
    <col min="7" max="7" width="8.3984375" bestFit="1" customWidth="1"/>
    <col min="8" max="8" width="14.86328125" bestFit="1" customWidth="1"/>
    <col min="9" max="10" width="13.265625" bestFit="1" customWidth="1"/>
    <col min="11" max="11" width="11.1328125" bestFit="1" customWidth="1"/>
    <col min="12" max="21" width="0" hidden="1" customWidth="1"/>
    <col min="27" max="27" width="17.1328125" customWidth="1"/>
  </cols>
  <sheetData>
    <row r="1" spans="1:29" x14ac:dyDescent="0.45">
      <c r="A1" s="1" t="s">
        <v>0</v>
      </c>
    </row>
    <row r="2" spans="1:29" x14ac:dyDescent="0.45">
      <c r="A2" t="s">
        <v>153</v>
      </c>
    </row>
    <row r="4" spans="1:29" x14ac:dyDescent="0.45">
      <c r="A4" s="1" t="s">
        <v>5</v>
      </c>
      <c r="G4" s="1" t="s">
        <v>4</v>
      </c>
      <c r="L4" s="1" t="s">
        <v>15</v>
      </c>
      <c r="AA4" s="1" t="s">
        <v>73</v>
      </c>
    </row>
    <row r="5" spans="1:29" ht="71.25" x14ac:dyDescent="0.4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4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4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4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4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4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4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4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4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4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4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4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4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4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4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4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4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4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45">
      <c r="B23" s="6"/>
      <c r="G23" s="4"/>
      <c r="H23" s="7"/>
      <c r="I23" s="7"/>
      <c r="J23" s="4"/>
      <c r="L23" s="7"/>
      <c r="M23" s="7"/>
    </row>
    <row r="24" spans="1:14" x14ac:dyDescent="0.45">
      <c r="B24" s="6"/>
      <c r="G24" s="4"/>
      <c r="H24" s="7"/>
      <c r="I24" s="7"/>
      <c r="J24" s="4"/>
      <c r="L24" s="7"/>
      <c r="M24" s="7"/>
    </row>
    <row r="25" spans="1:14" x14ac:dyDescent="0.4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4.25" x14ac:dyDescent="0.45"/>
  <cols>
    <col min="2" max="2" width="14.86328125" bestFit="1" customWidth="1"/>
    <col min="5" max="6" width="14.86328125" bestFit="1" customWidth="1"/>
    <col min="7" max="7" width="8.3984375" bestFit="1" customWidth="1"/>
    <col min="9" max="9" width="13.265625" bestFit="1" customWidth="1"/>
    <col min="10" max="10" width="14.86328125" bestFit="1" customWidth="1"/>
    <col min="11" max="11" width="11.1328125" bestFit="1" customWidth="1"/>
    <col min="27" max="27" width="24.59765625" bestFit="1" customWidth="1"/>
  </cols>
  <sheetData>
    <row r="1" spans="1:29" x14ac:dyDescent="0.45">
      <c r="A1" s="1" t="s">
        <v>0</v>
      </c>
    </row>
    <row r="2" spans="1:29" x14ac:dyDescent="0.45">
      <c r="A2" t="s">
        <v>66</v>
      </c>
    </row>
    <row r="4" spans="1:29" x14ac:dyDescent="0.45">
      <c r="A4" s="1" t="s">
        <v>5</v>
      </c>
      <c r="D4" s="1" t="s">
        <v>4</v>
      </c>
      <c r="I4" s="1" t="s">
        <v>15</v>
      </c>
      <c r="AA4" s="1" t="s">
        <v>72</v>
      </c>
    </row>
    <row r="5" spans="1:29" ht="42.75" x14ac:dyDescent="0.4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4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4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4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4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4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4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4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4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4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4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4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4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4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4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4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4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4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4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4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4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4.25" x14ac:dyDescent="0.45"/>
  <cols>
    <col min="2" max="2" width="13.265625" bestFit="1" customWidth="1"/>
    <col min="5" max="6" width="13.265625" bestFit="1" customWidth="1"/>
    <col min="7" max="7" width="8.3984375" bestFit="1" customWidth="1"/>
    <col min="9" max="9" width="13.265625" bestFit="1" customWidth="1"/>
    <col min="27" max="27" width="17.1328125" customWidth="1"/>
  </cols>
  <sheetData>
    <row r="1" spans="1:29" x14ac:dyDescent="0.45">
      <c r="A1" s="1" t="s">
        <v>49</v>
      </c>
    </row>
    <row r="3" spans="1:29" x14ac:dyDescent="0.45">
      <c r="A3" t="s">
        <v>40</v>
      </c>
      <c r="B3">
        <f xml:space="preserve"> 0.32*0.25</f>
        <v>0.08</v>
      </c>
    </row>
    <row r="4" spans="1:29" x14ac:dyDescent="0.45">
      <c r="A4" s="1" t="s">
        <v>5</v>
      </c>
      <c r="D4" s="1" t="s">
        <v>4</v>
      </c>
      <c r="I4" s="1" t="s">
        <v>15</v>
      </c>
      <c r="AA4" s="1" t="s">
        <v>53</v>
      </c>
    </row>
    <row r="5" spans="1:29" ht="42.75" x14ac:dyDescent="0.4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4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4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4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4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4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4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4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4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4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4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4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4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4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4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4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4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4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4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4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4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4.25" x14ac:dyDescent="0.45"/>
  <cols>
    <col min="1" max="1" width="6.59765625" customWidth="1"/>
    <col min="2" max="2" width="15.86328125" bestFit="1" customWidth="1"/>
    <col min="3" max="3" width="4.1328125" customWidth="1"/>
    <col min="4" max="4" width="10.1328125" bestFit="1" customWidth="1"/>
    <col min="5" max="5" width="15.86328125" bestFit="1" customWidth="1"/>
    <col min="6" max="6" width="14.86328125" bestFit="1" customWidth="1"/>
    <col min="8" max="8" width="4.73046875" customWidth="1"/>
    <col min="9" max="10" width="14.86328125" bestFit="1" customWidth="1"/>
    <col min="11" max="11" width="11.1328125" bestFit="1" customWidth="1"/>
    <col min="13" max="19" width="0" hidden="1" customWidth="1"/>
    <col min="27" max="27" width="16.1328125" customWidth="1"/>
    <col min="28" max="28" width="15" bestFit="1" customWidth="1"/>
  </cols>
  <sheetData>
    <row r="1" spans="1:29" x14ac:dyDescent="0.45">
      <c r="A1" s="1" t="s">
        <v>0</v>
      </c>
    </row>
    <row r="2" spans="1:29" x14ac:dyDescent="0.45">
      <c r="A2" t="s">
        <v>86</v>
      </c>
      <c r="AA2" s="1" t="s">
        <v>88</v>
      </c>
    </row>
    <row r="3" spans="1:29" x14ac:dyDescent="0.4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2.75" x14ac:dyDescent="0.4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4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4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4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4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4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4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4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4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4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4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4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4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4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4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4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4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45">
      <c r="B21" s="6"/>
      <c r="D21" s="4"/>
      <c r="E21" s="7"/>
      <c r="F21" s="7"/>
      <c r="G21" s="4"/>
      <c r="I21" s="7"/>
    </row>
    <row r="22" spans="1:11" x14ac:dyDescent="0.45">
      <c r="B22" s="6"/>
      <c r="D22" s="4"/>
      <c r="E22" s="7"/>
      <c r="F22" s="7"/>
      <c r="G22" s="4"/>
      <c r="I22" s="7"/>
    </row>
    <row r="23" spans="1:11" x14ac:dyDescent="0.45">
      <c r="B23" s="6"/>
      <c r="D23" s="4"/>
      <c r="E23" s="7"/>
      <c r="F23" s="7"/>
      <c r="G23" s="4"/>
      <c r="I23" s="7"/>
    </row>
    <row r="24" spans="1:11" x14ac:dyDescent="0.45">
      <c r="B24" s="6"/>
      <c r="D24" s="4"/>
      <c r="E24" s="7"/>
      <c r="F24" s="7"/>
      <c r="G24" s="4"/>
      <c r="I24" s="7"/>
    </row>
    <row r="25" spans="1:11" x14ac:dyDescent="0.45">
      <c r="B25" s="6"/>
      <c r="D25" s="4"/>
      <c r="E25" s="7"/>
      <c r="F25" s="7"/>
      <c r="G25" s="4"/>
      <c r="I25" s="7"/>
    </row>
    <row r="26" spans="1:11" x14ac:dyDescent="0.45">
      <c r="B26" s="6"/>
      <c r="D26" s="4"/>
      <c r="E26" s="7"/>
      <c r="F26" s="7"/>
      <c r="G26" s="4"/>
      <c r="I26" s="7"/>
    </row>
    <row r="27" spans="1:11" x14ac:dyDescent="0.45">
      <c r="B27" s="6"/>
      <c r="D27" s="4"/>
      <c r="E27" s="7"/>
      <c r="F27" s="7"/>
      <c r="G27" s="4"/>
      <c r="I27" s="7"/>
    </row>
    <row r="28" spans="1:11" x14ac:dyDescent="0.45">
      <c r="B28" s="6"/>
      <c r="D28" s="4"/>
      <c r="E28" s="7"/>
      <c r="F28" s="7"/>
      <c r="G28" s="4"/>
      <c r="I28" s="7"/>
    </row>
    <row r="29" spans="1:11" x14ac:dyDescent="0.45">
      <c r="B29" s="6"/>
      <c r="D29" s="4"/>
      <c r="E29" s="7"/>
      <c r="F29" s="7"/>
      <c r="G29" s="4"/>
      <c r="I29" s="7"/>
    </row>
    <row r="30" spans="1:11" x14ac:dyDescent="0.45">
      <c r="B30" s="6"/>
      <c r="D30" s="4"/>
      <c r="E30" s="7"/>
      <c r="F30" s="7"/>
      <c r="G30" s="4"/>
      <c r="I30" s="7"/>
    </row>
    <row r="31" spans="1:11" x14ac:dyDescent="0.45">
      <c r="B31" s="6"/>
      <c r="D31" s="4"/>
      <c r="E31" s="7"/>
      <c r="F31" s="7"/>
      <c r="G31" s="4"/>
      <c r="I31" s="7"/>
    </row>
    <row r="32" spans="1:11" x14ac:dyDescent="0.45">
      <c r="B32" s="6"/>
      <c r="D32" s="4"/>
      <c r="E32" s="7"/>
      <c r="F32" s="7"/>
      <c r="G32" s="4"/>
      <c r="I32" s="7"/>
    </row>
    <row r="33" spans="2:9" x14ac:dyDescent="0.45">
      <c r="B33" s="6"/>
      <c r="D33" s="4"/>
      <c r="E33" s="7"/>
      <c r="F33" s="7"/>
      <c r="G33" s="4"/>
      <c r="I33" s="7"/>
    </row>
    <row r="34" spans="2:9" x14ac:dyDescent="0.45">
      <c r="B34" s="6"/>
      <c r="D34" s="4"/>
      <c r="E34" s="7"/>
      <c r="F34" s="7"/>
      <c r="G34" s="4"/>
      <c r="I34" s="7"/>
    </row>
    <row r="35" spans="2:9" x14ac:dyDescent="0.45">
      <c r="B35" s="6"/>
      <c r="D35" s="4"/>
      <c r="E35" s="7"/>
      <c r="F35" s="7"/>
      <c r="G35" s="4"/>
      <c r="I35" s="7"/>
    </row>
    <row r="36" spans="2:9" x14ac:dyDescent="0.4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4.25" x14ac:dyDescent="0.45"/>
  <cols>
    <col min="2" max="2" width="15.86328125" bestFit="1" customWidth="1"/>
    <col min="5" max="6" width="13.265625" bestFit="1" customWidth="1"/>
    <col min="7" max="7" width="8.3984375" bestFit="1" customWidth="1"/>
    <col min="9" max="9" width="12.1328125" bestFit="1" customWidth="1"/>
    <col min="10" max="10" width="13.265625" bestFit="1" customWidth="1"/>
    <col min="11" max="11" width="9.59765625" bestFit="1" customWidth="1"/>
    <col min="14" max="17" width="0" hidden="1" customWidth="1"/>
    <col min="18" max="18" width="15.73046875" hidden="1" customWidth="1"/>
    <col min="19" max="19" width="14" hidden="1" customWidth="1"/>
    <col min="27" max="27" width="16.265625" bestFit="1" customWidth="1"/>
    <col min="28" max="28" width="14" bestFit="1" customWidth="1"/>
  </cols>
  <sheetData>
    <row r="1" spans="1:29" x14ac:dyDescent="0.45">
      <c r="A1" s="1" t="s">
        <v>48</v>
      </c>
    </row>
    <row r="3" spans="1:29" x14ac:dyDescent="0.45">
      <c r="A3" t="s">
        <v>40</v>
      </c>
      <c r="B3">
        <f xml:space="preserve"> 0.32*0.25</f>
        <v>0.08</v>
      </c>
    </row>
    <row r="4" spans="1:29" x14ac:dyDescent="0.45">
      <c r="A4" s="1" t="s">
        <v>5</v>
      </c>
      <c r="D4" s="1" t="s">
        <v>4</v>
      </c>
      <c r="I4" s="1" t="s">
        <v>15</v>
      </c>
      <c r="AA4" s="1" t="s">
        <v>46</v>
      </c>
    </row>
    <row r="5" spans="1:29" ht="57" x14ac:dyDescent="0.4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4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4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4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4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4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4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4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4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4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4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4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4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4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4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4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4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4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4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4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4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45">
      <c r="B26" s="6"/>
      <c r="D26" s="4"/>
      <c r="E26" s="7"/>
      <c r="F26" s="7"/>
      <c r="G26" s="4"/>
      <c r="I26" s="7"/>
    </row>
    <row r="27" spans="1:11" x14ac:dyDescent="0.45">
      <c r="B27" s="6"/>
      <c r="D27" s="4"/>
      <c r="E27" s="7"/>
      <c r="F27" s="7"/>
      <c r="G27" s="4"/>
      <c r="I27" s="7"/>
    </row>
    <row r="28" spans="1:11" x14ac:dyDescent="0.45">
      <c r="B28" s="6"/>
      <c r="D28" s="4"/>
      <c r="E28" s="7"/>
      <c r="F28" s="7"/>
      <c r="G28" s="4"/>
      <c r="I28" s="7"/>
    </row>
    <row r="29" spans="1:11" x14ac:dyDescent="0.45">
      <c r="B29" s="6"/>
      <c r="D29" s="4"/>
      <c r="E29" s="7"/>
      <c r="F29" s="7"/>
      <c r="G29" s="4"/>
      <c r="I29" s="7"/>
    </row>
    <row r="30" spans="1:11" x14ac:dyDescent="0.45">
      <c r="B30" s="6"/>
      <c r="D30" s="4"/>
      <c r="E30" s="7"/>
      <c r="F30" s="7"/>
      <c r="G30" s="4"/>
      <c r="I30" s="7"/>
    </row>
    <row r="31" spans="1:11" x14ac:dyDescent="0.45">
      <c r="B31" s="6"/>
      <c r="D31" s="4"/>
      <c r="E31" s="7"/>
      <c r="F31" s="7"/>
      <c r="G31" s="4"/>
      <c r="I31" s="7"/>
    </row>
    <row r="32" spans="1:11" x14ac:dyDescent="0.45">
      <c r="B32" s="6"/>
      <c r="D32" s="4"/>
      <c r="E32" s="7"/>
      <c r="F32" s="7"/>
      <c r="G32" s="4"/>
      <c r="I32" s="7"/>
    </row>
    <row r="33" spans="2:9" x14ac:dyDescent="0.45">
      <c r="B33" s="6"/>
      <c r="D33" s="4"/>
      <c r="E33" s="7"/>
      <c r="F33" s="7"/>
      <c r="G33" s="4"/>
      <c r="I33" s="7"/>
    </row>
    <row r="34" spans="2:9" x14ac:dyDescent="0.45">
      <c r="B34" s="6"/>
      <c r="D34" s="4"/>
      <c r="E34" s="7"/>
      <c r="F34" s="7"/>
      <c r="G34" s="4"/>
      <c r="I34" s="7"/>
    </row>
    <row r="35" spans="2:9" x14ac:dyDescent="0.45">
      <c r="B35" s="6"/>
      <c r="D35" s="4"/>
      <c r="E35" s="7"/>
      <c r="F35" s="7"/>
      <c r="G35" s="4"/>
      <c r="I35" s="7"/>
    </row>
    <row r="36" spans="2:9" x14ac:dyDescent="0.45">
      <c r="B36" s="6"/>
      <c r="D36" s="4"/>
      <c r="E36" s="7"/>
      <c r="F36" s="7"/>
      <c r="G36" s="4"/>
      <c r="I36" s="7"/>
    </row>
    <row r="37" spans="2:9" x14ac:dyDescent="0.4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4.25" x14ac:dyDescent="0.45"/>
  <cols>
    <col min="1" max="1" width="10.3984375" customWidth="1"/>
    <col min="2" max="2" width="15.86328125" bestFit="1" customWidth="1"/>
    <col min="3" max="3" width="4.1328125" customWidth="1"/>
    <col min="4" max="4" width="10.1328125" bestFit="1" customWidth="1"/>
    <col min="5" max="5" width="15.86328125" bestFit="1" customWidth="1"/>
    <col min="6" max="6" width="14.86328125" bestFit="1" customWidth="1"/>
    <col min="8" max="8" width="4.73046875" customWidth="1"/>
    <col min="9" max="9" width="12.1328125" bestFit="1" customWidth="1"/>
    <col min="13" max="19" width="0" hidden="1" customWidth="1"/>
    <col min="27" max="27" width="16.1328125" customWidth="1"/>
    <col min="28" max="28" width="15" bestFit="1" customWidth="1"/>
  </cols>
  <sheetData>
    <row r="1" spans="1:29" x14ac:dyDescent="0.45">
      <c r="A1" s="1" t="s">
        <v>0</v>
      </c>
    </row>
    <row r="2" spans="1:29" x14ac:dyDescent="0.45">
      <c r="D2" s="17" t="s">
        <v>87</v>
      </c>
      <c r="AA2" s="1" t="s">
        <v>45</v>
      </c>
    </row>
    <row r="3" spans="1:29" x14ac:dyDescent="0.4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2.75" x14ac:dyDescent="0.4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4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>
        <v>1000</v>
      </c>
      <c r="AC5" t="s">
        <v>83</v>
      </c>
    </row>
    <row r="6" spans="1:29" x14ac:dyDescent="0.4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36" si="1">B6*(1+D6)</f>
        <v>143124.9999</v>
      </c>
      <c r="F6" s="7">
        <f t="shared" ref="F6:F36" si="2">E6-B6</f>
        <v>47708.333299999998</v>
      </c>
      <c r="G6" s="4">
        <f t="shared" ref="G6:G36" si="3">F6/E6</f>
        <v>0.33333333333333331</v>
      </c>
      <c r="I6" s="7">
        <f t="shared" ref="I6:I36" si="4">E6/A6</f>
        <v>2862.4999979999998</v>
      </c>
      <c r="AA6" t="s">
        <v>84</v>
      </c>
      <c r="AB6" s="5">
        <v>500</v>
      </c>
      <c r="AC6" t="s">
        <v>85</v>
      </c>
    </row>
    <row r="7" spans="1:29" x14ac:dyDescent="0.4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B7" s="5"/>
    </row>
    <row r="8" spans="1:29" x14ac:dyDescent="0.4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4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4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4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4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4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4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4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4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4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4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4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4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4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4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4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</row>
    <row r="24" spans="1:9" x14ac:dyDescent="0.4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</row>
    <row r="25" spans="1:9" x14ac:dyDescent="0.4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</row>
    <row r="26" spans="1:9" x14ac:dyDescent="0.4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</row>
    <row r="27" spans="1:9" x14ac:dyDescent="0.4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</row>
    <row r="28" spans="1:9" x14ac:dyDescent="0.4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</row>
    <row r="29" spans="1:9" x14ac:dyDescent="0.4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</row>
    <row r="30" spans="1:9" x14ac:dyDescent="0.4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</row>
    <row r="31" spans="1:9" x14ac:dyDescent="0.4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</row>
    <row r="32" spans="1:9" x14ac:dyDescent="0.4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</row>
    <row r="33" spans="1:9" x14ac:dyDescent="0.4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</row>
    <row r="34" spans="1:9" x14ac:dyDescent="0.4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</row>
    <row r="35" spans="1:9" x14ac:dyDescent="0.4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</row>
    <row r="36" spans="1:9" x14ac:dyDescent="0.4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4.25" x14ac:dyDescent="0.45"/>
  <cols>
    <col min="1" max="1" width="6.59765625" customWidth="1"/>
    <col min="2" max="2" width="15.86328125" bestFit="1" customWidth="1"/>
    <col min="3" max="3" width="4.1328125" customWidth="1"/>
    <col min="4" max="4" width="10.1328125" bestFit="1" customWidth="1"/>
    <col min="5" max="5" width="15.86328125" bestFit="1" customWidth="1"/>
    <col min="6" max="6" width="14.86328125" bestFit="1" customWidth="1"/>
    <col min="8" max="8" width="4.73046875" customWidth="1"/>
    <col min="9" max="9" width="12.1328125" bestFit="1" customWidth="1"/>
    <col min="27" max="27" width="16.1328125" customWidth="1"/>
    <col min="28" max="28" width="15" bestFit="1" customWidth="1"/>
  </cols>
  <sheetData>
    <row r="1" spans="1:29" x14ac:dyDescent="0.45">
      <c r="A1" s="1" t="s">
        <v>0</v>
      </c>
    </row>
    <row r="2" spans="1:29" x14ac:dyDescent="0.45">
      <c r="AA2" s="1" t="s">
        <v>45</v>
      </c>
    </row>
    <row r="3" spans="1:29" x14ac:dyDescent="0.4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2.75" x14ac:dyDescent="0.4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4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 t="s">
        <v>10</v>
      </c>
    </row>
    <row r="6" spans="1:29" x14ac:dyDescent="0.4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22" si="1">B6*(1+D6)</f>
        <v>143124.9999</v>
      </c>
      <c r="F6" s="7">
        <f t="shared" ref="F6:F22" si="2">E6-B6</f>
        <v>47708.333299999998</v>
      </c>
      <c r="G6" s="4">
        <f t="shared" ref="G6:G22" si="3">F6/E6</f>
        <v>0.33333333333333331</v>
      </c>
      <c r="I6" s="7">
        <f t="shared" ref="I6:I22" si="4">E6/A6</f>
        <v>2862.4999979999998</v>
      </c>
      <c r="AA6" t="s">
        <v>11</v>
      </c>
      <c r="AB6" s="5">
        <v>300</v>
      </c>
    </row>
    <row r="7" spans="1:29" x14ac:dyDescent="0.4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A7" t="s">
        <v>12</v>
      </c>
      <c r="AB7" s="5">
        <v>500</v>
      </c>
      <c r="AC7" t="s">
        <v>44</v>
      </c>
    </row>
    <row r="8" spans="1:29" x14ac:dyDescent="0.4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4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4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4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4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4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4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4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4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4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4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4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4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4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4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45">
      <c r="A23">
        <v>1500</v>
      </c>
      <c r="B23" s="6">
        <f t="shared" si="0"/>
        <v>1170833.3333000001</v>
      </c>
      <c r="D23" s="4">
        <v>0.4</v>
      </c>
      <c r="E23" s="7">
        <f t="shared" ref="E23:E36" si="5">B23*(1+D23)</f>
        <v>1639166.66662</v>
      </c>
      <c r="F23" s="7">
        <f t="shared" ref="F23:F36" si="6">E23-B23</f>
        <v>468333.33331999998</v>
      </c>
      <c r="G23" s="4">
        <f t="shared" ref="G23:G36" si="7">F23/E23</f>
        <v>0.2857142857142857</v>
      </c>
      <c r="I23" s="7">
        <f t="shared" ref="I23:I36" si="8">E23/A23</f>
        <v>1092.7777777466667</v>
      </c>
    </row>
    <row r="24" spans="1:9" x14ac:dyDescent="0.45">
      <c r="A24">
        <v>2000</v>
      </c>
      <c r="B24" s="6">
        <f t="shared" si="0"/>
        <v>1541666.6666000001</v>
      </c>
      <c r="D24" s="4">
        <v>0.4</v>
      </c>
      <c r="E24" s="7">
        <f t="shared" si="5"/>
        <v>2158333.3332400001</v>
      </c>
      <c r="F24" s="7">
        <f t="shared" si="6"/>
        <v>616666.66663999995</v>
      </c>
      <c r="G24" s="4">
        <f t="shared" si="7"/>
        <v>0.2857142857142857</v>
      </c>
      <c r="I24" s="7">
        <f t="shared" si="8"/>
        <v>1079.1666666200001</v>
      </c>
    </row>
    <row r="25" spans="1:9" x14ac:dyDescent="0.45">
      <c r="A25">
        <v>2500</v>
      </c>
      <c r="B25" s="6">
        <f t="shared" si="0"/>
        <v>1912500</v>
      </c>
      <c r="D25" s="4">
        <v>0.4</v>
      </c>
      <c r="E25" s="7">
        <f t="shared" si="5"/>
        <v>2677500</v>
      </c>
      <c r="F25" s="7">
        <f t="shared" si="6"/>
        <v>765000</v>
      </c>
      <c r="G25" s="4">
        <f t="shared" si="7"/>
        <v>0.2857142857142857</v>
      </c>
      <c r="I25" s="7">
        <f t="shared" si="8"/>
        <v>1071</v>
      </c>
    </row>
    <row r="26" spans="1:9" x14ac:dyDescent="0.45">
      <c r="A26">
        <v>3000</v>
      </c>
      <c r="B26" s="6">
        <f t="shared" si="0"/>
        <v>2283333.3333000001</v>
      </c>
      <c r="D26" s="4">
        <v>0.4</v>
      </c>
      <c r="E26" s="7">
        <f t="shared" si="5"/>
        <v>3196666.6666199998</v>
      </c>
      <c r="F26" s="7">
        <f t="shared" si="6"/>
        <v>913333.33331999974</v>
      </c>
      <c r="G26" s="4">
        <f t="shared" si="7"/>
        <v>0.28571428571428564</v>
      </c>
      <c r="I26" s="7">
        <f t="shared" si="8"/>
        <v>1065.5555555399999</v>
      </c>
    </row>
    <row r="27" spans="1:9" x14ac:dyDescent="0.45">
      <c r="A27">
        <v>3500</v>
      </c>
      <c r="B27" s="6">
        <f t="shared" si="0"/>
        <v>2654166.6666000001</v>
      </c>
      <c r="D27" s="4">
        <v>0.4</v>
      </c>
      <c r="E27" s="7">
        <f t="shared" si="5"/>
        <v>3715833.3332400001</v>
      </c>
      <c r="F27" s="7">
        <f t="shared" si="6"/>
        <v>1061666.66664</v>
      </c>
      <c r="G27" s="4">
        <f t="shared" si="7"/>
        <v>0.2857142857142857</v>
      </c>
      <c r="I27" s="7">
        <f t="shared" si="8"/>
        <v>1061.6666666400001</v>
      </c>
    </row>
    <row r="28" spans="1:9" x14ac:dyDescent="0.45">
      <c r="A28">
        <v>4000</v>
      </c>
      <c r="B28" s="6">
        <f t="shared" si="0"/>
        <v>3025000</v>
      </c>
      <c r="D28" s="4">
        <v>0.4</v>
      </c>
      <c r="E28" s="7">
        <f t="shared" si="5"/>
        <v>4235000</v>
      </c>
      <c r="F28" s="7">
        <f t="shared" si="6"/>
        <v>1210000</v>
      </c>
      <c r="G28" s="4">
        <f t="shared" si="7"/>
        <v>0.2857142857142857</v>
      </c>
      <c r="I28" s="7">
        <f t="shared" si="8"/>
        <v>1058.75</v>
      </c>
    </row>
    <row r="29" spans="1:9" x14ac:dyDescent="0.45">
      <c r="A29">
        <v>5000</v>
      </c>
      <c r="B29" s="6">
        <f t="shared" si="0"/>
        <v>3766666.6666000001</v>
      </c>
      <c r="D29" s="4">
        <v>0.4</v>
      </c>
      <c r="E29" s="7">
        <f t="shared" si="5"/>
        <v>5273333.3332399996</v>
      </c>
      <c r="F29" s="7">
        <f t="shared" si="6"/>
        <v>1506666.6666399995</v>
      </c>
      <c r="G29" s="4">
        <f t="shared" si="7"/>
        <v>0.28571428571428564</v>
      </c>
      <c r="I29" s="7">
        <f t="shared" si="8"/>
        <v>1054.6666666479998</v>
      </c>
    </row>
    <row r="30" spans="1:9" x14ac:dyDescent="0.45">
      <c r="A30">
        <v>6000</v>
      </c>
      <c r="B30" s="6">
        <f t="shared" si="0"/>
        <v>4508333.3333000001</v>
      </c>
      <c r="D30" s="4">
        <v>0.4</v>
      </c>
      <c r="E30" s="7">
        <f t="shared" si="5"/>
        <v>6311666.6666199993</v>
      </c>
      <c r="F30" s="7">
        <f t="shared" si="6"/>
        <v>1803333.3333199993</v>
      </c>
      <c r="G30" s="4">
        <f t="shared" si="7"/>
        <v>0.28571428571428564</v>
      </c>
      <c r="I30" s="7">
        <f t="shared" si="8"/>
        <v>1051.9444444366666</v>
      </c>
    </row>
    <row r="31" spans="1:9" x14ac:dyDescent="0.45">
      <c r="A31">
        <v>7000</v>
      </c>
      <c r="B31" s="6">
        <f t="shared" si="0"/>
        <v>5250000</v>
      </c>
      <c r="D31" s="4">
        <v>0.4</v>
      </c>
      <c r="E31" s="7">
        <f t="shared" si="5"/>
        <v>7349999.9999999991</v>
      </c>
      <c r="F31" s="7">
        <f t="shared" si="6"/>
        <v>2099999.9999999991</v>
      </c>
      <c r="G31" s="4">
        <f t="shared" si="7"/>
        <v>0.28571428571428564</v>
      </c>
      <c r="I31" s="7">
        <f t="shared" si="8"/>
        <v>1049.9999999999998</v>
      </c>
    </row>
    <row r="32" spans="1:9" x14ac:dyDescent="0.45">
      <c r="A32">
        <v>8000</v>
      </c>
      <c r="B32" s="6">
        <f t="shared" si="0"/>
        <v>5991666.6666000001</v>
      </c>
      <c r="D32" s="4">
        <v>0.4</v>
      </c>
      <c r="E32" s="7">
        <f t="shared" si="5"/>
        <v>8388333.3332399996</v>
      </c>
      <c r="F32" s="7">
        <f t="shared" si="6"/>
        <v>2396666.6666399995</v>
      </c>
      <c r="G32" s="4">
        <f t="shared" si="7"/>
        <v>0.28571428571428564</v>
      </c>
      <c r="I32" s="7">
        <f t="shared" si="8"/>
        <v>1048.541666655</v>
      </c>
    </row>
    <row r="33" spans="1:9" x14ac:dyDescent="0.45">
      <c r="A33">
        <v>9000</v>
      </c>
      <c r="B33" s="6">
        <f t="shared" si="0"/>
        <v>6733333.3333000001</v>
      </c>
      <c r="D33" s="4">
        <v>0.4</v>
      </c>
      <c r="E33" s="7">
        <f t="shared" si="5"/>
        <v>9426666.6666199993</v>
      </c>
      <c r="F33" s="7">
        <f t="shared" si="6"/>
        <v>2693333.3333199993</v>
      </c>
      <c r="G33" s="4">
        <f t="shared" si="7"/>
        <v>0.28571428571428564</v>
      </c>
      <c r="I33" s="7">
        <f t="shared" si="8"/>
        <v>1047.4074074022221</v>
      </c>
    </row>
    <row r="34" spans="1:9" x14ac:dyDescent="0.45">
      <c r="A34">
        <v>10000</v>
      </c>
      <c r="B34" s="6">
        <f t="shared" si="0"/>
        <v>7475000</v>
      </c>
      <c r="D34" s="4">
        <v>0.4</v>
      </c>
      <c r="E34" s="7">
        <f t="shared" si="5"/>
        <v>10465000</v>
      </c>
      <c r="F34" s="7">
        <f t="shared" si="6"/>
        <v>2990000</v>
      </c>
      <c r="G34" s="4">
        <f t="shared" si="7"/>
        <v>0.2857142857142857</v>
      </c>
      <c r="I34" s="7">
        <f t="shared" si="8"/>
        <v>1046.5</v>
      </c>
    </row>
    <row r="35" spans="1:9" x14ac:dyDescent="0.45">
      <c r="A35">
        <v>15000</v>
      </c>
      <c r="B35" s="6">
        <f t="shared" si="0"/>
        <v>11183333.3333</v>
      </c>
      <c r="D35" s="4">
        <v>0.4</v>
      </c>
      <c r="E35" s="7">
        <f t="shared" si="5"/>
        <v>15656666.666619999</v>
      </c>
      <c r="F35" s="7">
        <f t="shared" si="6"/>
        <v>4473333.3333199993</v>
      </c>
      <c r="G35" s="4">
        <f t="shared" si="7"/>
        <v>0.2857142857142857</v>
      </c>
      <c r="I35" s="7">
        <f t="shared" si="8"/>
        <v>1043.7777777746667</v>
      </c>
    </row>
    <row r="36" spans="1:9" x14ac:dyDescent="0.45">
      <c r="A36">
        <v>20000</v>
      </c>
      <c r="B36" s="6">
        <f t="shared" si="0"/>
        <v>14891666.6666</v>
      </c>
      <c r="D36" s="4">
        <v>0.4</v>
      </c>
      <c r="E36" s="7">
        <f t="shared" si="5"/>
        <v>20848333.333239999</v>
      </c>
      <c r="F36" s="7">
        <f t="shared" si="6"/>
        <v>5956666.6666399986</v>
      </c>
      <c r="G36" s="4">
        <f t="shared" si="7"/>
        <v>0.28571428571428564</v>
      </c>
      <c r="I36" s="7">
        <f t="shared" si="8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4.25" x14ac:dyDescent="0.45"/>
  <cols>
    <col min="1" max="1" width="6.59765625" customWidth="1"/>
    <col min="2" max="2" width="15.86328125" bestFit="1" customWidth="1"/>
    <col min="3" max="3" width="4.1328125" customWidth="1"/>
    <col min="4" max="4" width="10.1328125" bestFit="1" customWidth="1"/>
    <col min="5" max="5" width="15.86328125" bestFit="1" customWidth="1"/>
    <col min="6" max="6" width="14.86328125" bestFit="1" customWidth="1"/>
    <col min="8" max="8" width="4.73046875" customWidth="1"/>
    <col min="9" max="10" width="13.265625" bestFit="1" customWidth="1"/>
    <col min="27" max="27" width="17.265625" customWidth="1"/>
    <col min="28" max="28" width="15" bestFit="1" customWidth="1"/>
    <col min="31" max="31" width="26.73046875" customWidth="1"/>
    <col min="32" max="32" width="14" bestFit="1" customWidth="1"/>
  </cols>
  <sheetData>
    <row r="1" spans="1:32" x14ac:dyDescent="0.45">
      <c r="A1" s="1" t="s">
        <v>17</v>
      </c>
      <c r="AA1" s="1" t="s">
        <v>21</v>
      </c>
      <c r="AE1" t="s">
        <v>105</v>
      </c>
    </row>
    <row r="2" spans="1:32" x14ac:dyDescent="0.45">
      <c r="A2" t="s">
        <v>26</v>
      </c>
      <c r="AA2" t="s">
        <v>39</v>
      </c>
    </row>
    <row r="3" spans="1:32" x14ac:dyDescent="0.4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2.75" x14ac:dyDescent="0.4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4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3">
        <f>E5/A5</f>
        <v>103381.25</v>
      </c>
      <c r="J5" s="7">
        <f>$E5/$A5*2</f>
        <v>206762.5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4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3">
        <f t="shared" ref="I6:I36" si="4">E6/A6</f>
        <v>3339.5833309999998</v>
      </c>
      <c r="J6" s="7">
        <f t="shared" ref="J6:J36" si="5">$E6/$A6*2</f>
        <v>6679.1666619999996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4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3">
        <f t="shared" si="4"/>
        <v>2318.75</v>
      </c>
      <c r="J7" s="7">
        <f t="shared" si="5"/>
        <v>4637.5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4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3">
        <f t="shared" si="4"/>
        <v>1978.4722218333332</v>
      </c>
      <c r="J8" s="7">
        <f t="shared" si="5"/>
        <v>3956.9444436666663</v>
      </c>
      <c r="K8" s="25">
        <f t="shared" si="6"/>
        <v>75</v>
      </c>
      <c r="R8" s="4">
        <v>0.3</v>
      </c>
      <c r="S8" s="4">
        <v>0.23</v>
      </c>
      <c r="AB8" s="5"/>
    </row>
    <row r="9" spans="1:32" ht="14.65" thickBot="1" x14ac:dyDescent="0.5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3">
        <f t="shared" si="4"/>
        <v>1808.3333327499997</v>
      </c>
      <c r="J9" s="7">
        <f t="shared" si="5"/>
        <v>3616.6666654999995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4" thickBot="1" x14ac:dyDescent="0.5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3">
        <f t="shared" si="4"/>
        <v>1706.25</v>
      </c>
      <c r="J10" s="7">
        <f t="shared" si="5"/>
        <v>3412.5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6.899999999999999" thickBot="1" x14ac:dyDescent="0.5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3">
        <f t="shared" si="4"/>
        <v>1638.1944442499998</v>
      </c>
      <c r="J11" s="7">
        <f t="shared" si="5"/>
        <v>3276.3888884999997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6.899999999999999" thickBot="1" x14ac:dyDescent="0.5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3">
        <f t="shared" si="4"/>
        <v>1589.5833329999998</v>
      </c>
      <c r="J12" s="7">
        <f t="shared" si="5"/>
        <v>3179.1666659999996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6.899999999999999" thickBot="1" x14ac:dyDescent="0.5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3">
        <f t="shared" si="4"/>
        <v>1553.125</v>
      </c>
      <c r="J13" s="7">
        <f t="shared" si="5"/>
        <v>3106.25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6.899999999999999" thickBot="1" x14ac:dyDescent="0.5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3">
        <f t="shared" si="4"/>
        <v>1524.7685183888889</v>
      </c>
      <c r="J14" s="7">
        <f t="shared" si="5"/>
        <v>3049.5370367777778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6.899999999999999" thickBot="1" x14ac:dyDescent="0.5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3">
        <f t="shared" si="4"/>
        <v>1502.0833330999999</v>
      </c>
      <c r="J15" s="7">
        <f t="shared" si="5"/>
        <v>3004.1666661999998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6.899999999999999" thickBot="1" x14ac:dyDescent="0.5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3">
        <f>E16/A16</f>
        <v>1468.0555554583334</v>
      </c>
      <c r="J16" s="7">
        <f t="shared" si="5"/>
        <v>2936.1111109166668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6.899999999999999" thickBot="1" x14ac:dyDescent="0.5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5"/>
      <c r="AA17" s="12">
        <v>5000</v>
      </c>
      <c r="AB17" s="13" t="s">
        <v>37</v>
      </c>
      <c r="AC17" s="13">
        <v>1200</v>
      </c>
    </row>
    <row r="18" spans="1:32" ht="16.899999999999999" thickBot="1" x14ac:dyDescent="0.5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5"/>
      <c r="AA18" s="12">
        <v>10000</v>
      </c>
      <c r="AB18" s="13" t="s">
        <v>38</v>
      </c>
      <c r="AC18" s="13">
        <v>1000</v>
      </c>
    </row>
    <row r="19" spans="1:32" ht="16.899999999999999" thickBot="1" x14ac:dyDescent="0.5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5"/>
      <c r="AA19" s="12"/>
      <c r="AB19" s="13"/>
      <c r="AC19" s="13"/>
    </row>
    <row r="20" spans="1:32" x14ac:dyDescent="0.4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5"/>
    </row>
    <row r="21" spans="1:32" x14ac:dyDescent="0.4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5"/>
    </row>
    <row r="22" spans="1:32" ht="16.5" x14ac:dyDescent="0.4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5"/>
      <c r="AA22" s="16" t="s">
        <v>56</v>
      </c>
      <c r="AE22" s="16" t="s">
        <v>56</v>
      </c>
    </row>
    <row r="23" spans="1:32" ht="66.400000000000006" thickBot="1" x14ac:dyDescent="0.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8" t="s">
        <v>57</v>
      </c>
      <c r="AE23" s="16" t="s">
        <v>57</v>
      </c>
    </row>
    <row r="24" spans="1:32" ht="49.9" thickBot="1" x14ac:dyDescent="0.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6.899999999999999" thickBot="1" x14ac:dyDescent="0.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59</v>
      </c>
      <c r="AE25" s="12"/>
      <c r="AF25" s="13" t="s">
        <v>108</v>
      </c>
    </row>
    <row r="26" spans="1:32" ht="16.899999999999999" thickBot="1" x14ac:dyDescent="0.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4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6.899999999999999" thickBot="1" x14ac:dyDescent="0.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60</v>
      </c>
    </row>
    <row r="29" spans="1:32" ht="49.9" thickBot="1" x14ac:dyDescent="0.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61</v>
      </c>
      <c r="AB29" s="11" t="s">
        <v>62</v>
      </c>
    </row>
    <row r="30" spans="1:32" ht="49.9" thickBot="1" x14ac:dyDescent="0.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63</v>
      </c>
      <c r="AB30" s="13" t="s">
        <v>62</v>
      </c>
    </row>
    <row r="31" spans="1:32" ht="49.9" thickBot="1" x14ac:dyDescent="0.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63</v>
      </c>
      <c r="AB31" s="13" t="s">
        <v>65</v>
      </c>
    </row>
    <row r="32" spans="1:32" ht="16.5" x14ac:dyDescent="0.4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64</v>
      </c>
    </row>
    <row r="33" spans="1:10" x14ac:dyDescent="0.4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4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4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4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45">
      <c r="A38" t="s">
        <v>27</v>
      </c>
    </row>
    <row r="39" spans="1:10" x14ac:dyDescent="0.45">
      <c r="A39" s="1" t="s">
        <v>5</v>
      </c>
      <c r="D39" s="1" t="s">
        <v>4</v>
      </c>
      <c r="I39" s="1" t="s">
        <v>15</v>
      </c>
    </row>
    <row r="40" spans="1:10" ht="42.75" x14ac:dyDescent="0.4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4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4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4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4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4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4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4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4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4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4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4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4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4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4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4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4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4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4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4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4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4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4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4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4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4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4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4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4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4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4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4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4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4.25" x14ac:dyDescent="0.45"/>
  <cols>
    <col min="1" max="4" width="9.73046875" customWidth="1"/>
    <col min="5" max="5" width="14.86328125" bestFit="1" customWidth="1"/>
    <col min="6" max="7" width="14.86328125" customWidth="1"/>
    <col min="8" max="8" width="4.1328125" customWidth="1"/>
    <col min="9" max="9" width="10.1328125" bestFit="1" customWidth="1"/>
    <col min="10" max="10" width="15.86328125" bestFit="1" customWidth="1"/>
    <col min="11" max="11" width="14.86328125" bestFit="1" customWidth="1"/>
    <col min="13" max="13" width="4.73046875" customWidth="1"/>
    <col min="14" max="14" width="13.265625" bestFit="1" customWidth="1"/>
    <col min="18" max="24" width="0" hidden="1" customWidth="1"/>
    <col min="32" max="32" width="16.1328125" customWidth="1"/>
    <col min="33" max="33" width="15" bestFit="1" customWidth="1"/>
  </cols>
  <sheetData>
    <row r="1" spans="1:34" x14ac:dyDescent="0.45">
      <c r="A1" s="1" t="s">
        <v>147</v>
      </c>
      <c r="B1" s="1"/>
      <c r="C1" s="1"/>
      <c r="D1" s="1"/>
    </row>
    <row r="2" spans="1:34" x14ac:dyDescent="0.45">
      <c r="I2" s="17" t="s">
        <v>87</v>
      </c>
      <c r="AF2" s="1" t="s">
        <v>148</v>
      </c>
    </row>
    <row r="3" spans="1:34" x14ac:dyDescent="0.4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2.75" x14ac:dyDescent="0.4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4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4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4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4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4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4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4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4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4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4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4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4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4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4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4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4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4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4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4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4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4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4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4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4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4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4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4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4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4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4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4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4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4.25" x14ac:dyDescent="0.45"/>
  <cols>
    <col min="1" max="1" width="18" bestFit="1" customWidth="1"/>
    <col min="2" max="2" width="13.1328125" bestFit="1" customWidth="1"/>
    <col min="3" max="3" width="14.86328125" bestFit="1" customWidth="1"/>
    <col min="4" max="4" width="15.86328125" bestFit="1" customWidth="1"/>
    <col min="5" max="5" width="21.59765625" bestFit="1" customWidth="1"/>
    <col min="6" max="6" width="14.86328125" bestFit="1" customWidth="1"/>
    <col min="8" max="8" width="16" bestFit="1" customWidth="1"/>
  </cols>
  <sheetData>
    <row r="1" spans="1:11" x14ac:dyDescent="0.45">
      <c r="A1" s="1" t="s">
        <v>168</v>
      </c>
      <c r="B1" t="s">
        <v>180</v>
      </c>
      <c r="C1" t="s">
        <v>182</v>
      </c>
    </row>
    <row r="2" spans="1:11" x14ac:dyDescent="0.4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4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45">
      <c r="A4" t="s">
        <v>172</v>
      </c>
      <c r="B4" t="s">
        <v>173</v>
      </c>
      <c r="J4">
        <v>3000</v>
      </c>
      <c r="K4">
        <v>78</v>
      </c>
    </row>
    <row r="5" spans="1:11" x14ac:dyDescent="0.45">
      <c r="A5" t="s">
        <v>175</v>
      </c>
      <c r="B5">
        <v>2</v>
      </c>
    </row>
    <row r="6" spans="1:11" x14ac:dyDescent="0.45">
      <c r="A6" t="s">
        <v>176</v>
      </c>
      <c r="B6">
        <v>2</v>
      </c>
      <c r="D6" t="s">
        <v>179</v>
      </c>
    </row>
    <row r="7" spans="1:11" x14ac:dyDescent="0.4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4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4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45">
      <c r="H10" s="29"/>
    </row>
    <row r="11" spans="1:11" ht="28.5" x14ac:dyDescent="0.4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4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45">
      <c r="G13" s="26"/>
      <c r="H13" s="29"/>
    </row>
    <row r="14" spans="1:11" x14ac:dyDescent="0.45">
      <c r="A14" t="s">
        <v>195</v>
      </c>
      <c r="B14" t="s">
        <v>196</v>
      </c>
      <c r="C14" t="s">
        <v>198</v>
      </c>
      <c r="G14" s="26"/>
      <c r="H14" s="29"/>
    </row>
    <row r="15" spans="1:11" x14ac:dyDescent="0.45">
      <c r="B15">
        <v>300</v>
      </c>
      <c r="C15">
        <f xml:space="preserve"> (3+1) * 2 + (8+1)*2</f>
        <v>26</v>
      </c>
      <c r="G15" s="26"/>
      <c r="H15" s="29"/>
    </row>
    <row r="17" spans="1:4" x14ac:dyDescent="0.45">
      <c r="A17" s="1" t="s">
        <v>199</v>
      </c>
      <c r="D17" s="26">
        <f>D3</f>
        <v>3000</v>
      </c>
    </row>
    <row r="18" spans="1:4" x14ac:dyDescent="0.45">
      <c r="C18" t="s">
        <v>191</v>
      </c>
      <c r="D18" t="s">
        <v>181</v>
      </c>
    </row>
    <row r="19" spans="1:4" x14ac:dyDescent="0.4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45">
      <c r="A20" t="s">
        <v>192</v>
      </c>
      <c r="D20" s="7">
        <f>H9 + 100000</f>
        <v>630400</v>
      </c>
    </row>
    <row r="21" spans="1:4" x14ac:dyDescent="0.45">
      <c r="A21" t="s">
        <v>190</v>
      </c>
      <c r="D21" s="30">
        <f>H12</f>
        <v>2121600</v>
      </c>
    </row>
    <row r="22" spans="1:4" x14ac:dyDescent="0.45">
      <c r="A22" t="s">
        <v>193</v>
      </c>
      <c r="D22" s="30">
        <v>200000</v>
      </c>
    </row>
    <row r="23" spans="1:4" x14ac:dyDescent="0.4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45">
      <c r="C24" t="s">
        <v>151</v>
      </c>
      <c r="D24" s="30">
        <f>SUM(D19:D23)</f>
        <v>4167486.1115999999</v>
      </c>
    </row>
    <row r="25" spans="1:4" x14ac:dyDescent="0.45">
      <c r="C25" t="s">
        <v>201</v>
      </c>
      <c r="D25" s="31">
        <v>0.25</v>
      </c>
    </row>
    <row r="26" spans="1:4" x14ac:dyDescent="0.45">
      <c r="C26" t="s">
        <v>202</v>
      </c>
      <c r="D26" s="7">
        <f>D24/(1-D25)</f>
        <v>5556648.1487999996</v>
      </c>
    </row>
    <row r="27" spans="1:4" x14ac:dyDescent="0.4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x14ac:dyDescent="0.45">
      <c r="A1" s="1" t="s">
        <v>273</v>
      </c>
    </row>
    <row r="2" spans="1:10" x14ac:dyDescent="0.45">
      <c r="A2" t="s">
        <v>289</v>
      </c>
      <c r="B2" s="35">
        <v>43609</v>
      </c>
    </row>
    <row r="3" spans="1:10" x14ac:dyDescent="0.45">
      <c r="B3" t="s">
        <v>206</v>
      </c>
      <c r="C3" t="s">
        <v>277</v>
      </c>
    </row>
    <row r="4" spans="1:10" x14ac:dyDescent="0.45">
      <c r="A4" t="s">
        <v>276</v>
      </c>
      <c r="B4">
        <v>29.7</v>
      </c>
      <c r="C4">
        <v>21</v>
      </c>
    </row>
    <row r="5" spans="1:10" ht="28.5" x14ac:dyDescent="0.45">
      <c r="A5" t="s">
        <v>274</v>
      </c>
      <c r="B5" s="1" t="s">
        <v>275</v>
      </c>
      <c r="E5" s="2" t="s">
        <v>299</v>
      </c>
    </row>
    <row r="6" spans="1:10" x14ac:dyDescent="0.45">
      <c r="A6" t="s">
        <v>287</v>
      </c>
      <c r="D6" s="1">
        <v>2</v>
      </c>
      <c r="E6">
        <v>2</v>
      </c>
    </row>
    <row r="7" spans="1:10" x14ac:dyDescent="0.45">
      <c r="A7" t="s">
        <v>203</v>
      </c>
      <c r="D7" s="37">
        <v>0.75</v>
      </c>
      <c r="E7" s="38" t="s">
        <v>301</v>
      </c>
    </row>
    <row r="8" spans="1:10" x14ac:dyDescent="0.45">
      <c r="B8" t="s">
        <v>283</v>
      </c>
      <c r="C8" t="s">
        <v>284</v>
      </c>
      <c r="D8" t="s">
        <v>286</v>
      </c>
      <c r="E8" t="s">
        <v>285</v>
      </c>
    </row>
    <row r="9" spans="1:10" x14ac:dyDescent="0.4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45">
      <c r="E10" s="7"/>
    </row>
    <row r="12" spans="1:10" x14ac:dyDescent="0.4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28.5" x14ac:dyDescent="0.4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45">
      <c r="A15" s="2" t="s">
        <v>292</v>
      </c>
      <c r="E15" s="36">
        <f>PhiInKM4M_BHR80(E$14)</f>
        <v>146133.3334</v>
      </c>
      <c r="F15" s="36">
        <f t="shared" ref="F15:I15" si="2">PhiInKM4M_BHR80(F$14)</f>
        <v>112591.6667</v>
      </c>
      <c r="G15" s="36">
        <f t="shared" si="2"/>
        <v>146133.3334</v>
      </c>
      <c r="H15" s="36">
        <f t="shared" si="2"/>
        <v>179675</v>
      </c>
      <c r="I15" s="36">
        <f t="shared" si="2"/>
        <v>213216.6667</v>
      </c>
      <c r="J15" s="36">
        <f>PhiInKM4M_BHR80(J$14)</f>
        <v>246758.3334</v>
      </c>
    </row>
    <row r="16" spans="1:10" x14ac:dyDescent="0.45">
      <c r="A16" s="2" t="s">
        <v>300</v>
      </c>
      <c r="E16" s="36">
        <f>PhiInKM4M_BHR80(E$14*2)</f>
        <v>248100</v>
      </c>
      <c r="F16" s="36">
        <f t="shared" ref="F16:J16" si="3">PhiInKM4M_BHR80(F$14*2)</f>
        <v>181016.6667</v>
      </c>
      <c r="G16" s="36">
        <f t="shared" si="3"/>
        <v>248100</v>
      </c>
      <c r="H16" s="36">
        <f t="shared" si="3"/>
        <v>315183.3334</v>
      </c>
      <c r="I16" s="36">
        <f t="shared" si="3"/>
        <v>382266.6667</v>
      </c>
      <c r="J16" s="36">
        <f t="shared" si="3"/>
        <v>449350</v>
      </c>
    </row>
    <row r="17" spans="1:10" x14ac:dyDescent="0.45">
      <c r="A17" s="2" t="s">
        <v>293</v>
      </c>
      <c r="E17" s="29">
        <f t="shared" ref="E17:J17" si="4">E$15*(1+$D$7)</f>
        <v>255733.33345000001</v>
      </c>
      <c r="F17" s="29">
        <f t="shared" si="4"/>
        <v>197035.41672500002</v>
      </c>
      <c r="G17" s="29">
        <f t="shared" si="4"/>
        <v>255733.33345000001</v>
      </c>
      <c r="H17" s="29">
        <f t="shared" si="4"/>
        <v>314431.25</v>
      </c>
      <c r="I17" s="29">
        <f t="shared" si="4"/>
        <v>373129.16672500002</v>
      </c>
      <c r="J17" s="29">
        <f t="shared" si="4"/>
        <v>431827.08345000003</v>
      </c>
    </row>
    <row r="18" spans="1:10" x14ac:dyDescent="0.45">
      <c r="A18" s="2" t="s">
        <v>296</v>
      </c>
      <c r="E18" s="29">
        <f t="shared" ref="E18:J18" si="5">E$16*(1+$D$7)</f>
        <v>434175</v>
      </c>
      <c r="F18" s="29">
        <f t="shared" si="5"/>
        <v>316779.16672500002</v>
      </c>
      <c r="G18" s="29">
        <f t="shared" si="5"/>
        <v>434175</v>
      </c>
      <c r="H18" s="29">
        <f t="shared" si="5"/>
        <v>551570.83345000003</v>
      </c>
      <c r="I18" s="29">
        <f t="shared" si="5"/>
        <v>668966.66672500002</v>
      </c>
      <c r="J18" s="29">
        <f t="shared" si="5"/>
        <v>786362.5</v>
      </c>
    </row>
    <row r="19" spans="1:10" x14ac:dyDescent="0.45">
      <c r="A19" s="2" t="s">
        <v>288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45">
      <c r="A20" s="2" t="s">
        <v>290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4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x14ac:dyDescent="0.45">
      <c r="A22" s="2" t="s">
        <v>294</v>
      </c>
      <c r="E22" s="29">
        <f t="shared" ref="E22:J22" si="9">E$17+E$21</f>
        <v>324228.33345000003</v>
      </c>
      <c r="F22" s="29">
        <f t="shared" si="9"/>
        <v>242999.16672500002</v>
      </c>
      <c r="G22" s="29">
        <f t="shared" si="9"/>
        <v>324228.33345000003</v>
      </c>
      <c r="H22" s="29">
        <f t="shared" si="9"/>
        <v>405457.5</v>
      </c>
      <c r="I22" s="29">
        <f t="shared" si="9"/>
        <v>486686.66672500002</v>
      </c>
      <c r="J22" s="29">
        <f t="shared" si="9"/>
        <v>567915.83345000003</v>
      </c>
    </row>
    <row r="23" spans="1:10" x14ac:dyDescent="0.45">
      <c r="A23" s="2" t="s">
        <v>295</v>
      </c>
      <c r="E23" s="29">
        <f t="shared" ref="E23:J23" si="10">E$18+E$21</f>
        <v>502670</v>
      </c>
      <c r="F23" s="29">
        <f t="shared" si="10"/>
        <v>362742.91672500002</v>
      </c>
      <c r="G23" s="29">
        <f t="shared" si="10"/>
        <v>502670</v>
      </c>
      <c r="H23" s="29">
        <f t="shared" si="10"/>
        <v>642597.08345000003</v>
      </c>
      <c r="I23" s="29">
        <f t="shared" si="10"/>
        <v>782524.16672500002</v>
      </c>
      <c r="J23" s="29">
        <f t="shared" si="10"/>
        <v>922451.25</v>
      </c>
    </row>
    <row r="24" spans="1:10" x14ac:dyDescent="0.45">
      <c r="A24" s="2"/>
    </row>
    <row r="25" spans="1:10" x14ac:dyDescent="0.45">
      <c r="A25" s="2" t="s">
        <v>364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45">
      <c r="A26" s="2" t="s">
        <v>365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G27" sqref="G27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x14ac:dyDescent="0.45">
      <c r="A1" s="1" t="s">
        <v>302</v>
      </c>
    </row>
    <row r="2" spans="1:10" x14ac:dyDescent="0.45">
      <c r="A2" t="s">
        <v>289</v>
      </c>
      <c r="B2" s="35">
        <v>43609</v>
      </c>
    </row>
    <row r="3" spans="1:10" x14ac:dyDescent="0.45">
      <c r="B3" t="s">
        <v>206</v>
      </c>
      <c r="C3" t="s">
        <v>277</v>
      </c>
    </row>
    <row r="4" spans="1:10" x14ac:dyDescent="0.45">
      <c r="A4" t="s">
        <v>276</v>
      </c>
      <c r="B4">
        <v>14.5</v>
      </c>
      <c r="C4">
        <v>21</v>
      </c>
    </row>
    <row r="5" spans="1:10" ht="28.5" x14ac:dyDescent="0.45">
      <c r="A5" t="s">
        <v>274</v>
      </c>
      <c r="B5" s="1" t="s">
        <v>275</v>
      </c>
      <c r="E5" s="2" t="s">
        <v>299</v>
      </c>
    </row>
    <row r="6" spans="1:10" x14ac:dyDescent="0.45">
      <c r="A6" t="s">
        <v>287</v>
      </c>
      <c r="D6" s="1">
        <v>4</v>
      </c>
      <c r="E6">
        <v>2</v>
      </c>
    </row>
    <row r="7" spans="1:10" x14ac:dyDescent="0.45">
      <c r="A7" t="s">
        <v>203</v>
      </c>
      <c r="D7" s="37">
        <v>0.75</v>
      </c>
      <c r="E7" s="38" t="s">
        <v>301</v>
      </c>
    </row>
    <row r="8" spans="1:10" x14ac:dyDescent="0.45">
      <c r="B8" t="s">
        <v>283</v>
      </c>
      <c r="C8" t="s">
        <v>284</v>
      </c>
      <c r="D8" t="s">
        <v>286</v>
      </c>
      <c r="E8" t="s">
        <v>285</v>
      </c>
    </row>
    <row r="9" spans="1:10" x14ac:dyDescent="0.4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45">
      <c r="E10" s="7"/>
    </row>
    <row r="12" spans="1:10" x14ac:dyDescent="0.4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28.5" x14ac:dyDescent="0.4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45">
      <c r="A15" s="2" t="s">
        <v>292</v>
      </c>
      <c r="E15" s="36">
        <f>PhiInKM4M_BHR80(E$14)</f>
        <v>62950</v>
      </c>
      <c r="F15" s="36">
        <f t="shared" ref="F15:J15" si="2">PhiInKM4M_BHR80(F$14)</f>
        <v>79050</v>
      </c>
      <c r="G15" s="36">
        <f t="shared" si="2"/>
        <v>96491.666700000002</v>
      </c>
      <c r="H15" s="36">
        <f t="shared" si="2"/>
        <v>112591.6667</v>
      </c>
      <c r="I15" s="36">
        <f t="shared" si="2"/>
        <v>130033.3334</v>
      </c>
      <c r="J15" s="36">
        <f t="shared" si="2"/>
        <v>146133.3334</v>
      </c>
    </row>
    <row r="16" spans="1:10" x14ac:dyDescent="0.45">
      <c r="A16" s="2" t="s">
        <v>300</v>
      </c>
      <c r="E16" s="36">
        <f>PhiInKM4M_BHR80(E$14*2)</f>
        <v>81733.333400000003</v>
      </c>
      <c r="F16" s="36">
        <f t="shared" ref="F16:J16" si="3">PhiInKM4M_BHR80(F$14*2)</f>
        <v>113933.3334</v>
      </c>
      <c r="G16" s="36">
        <f t="shared" si="3"/>
        <v>148816.6667</v>
      </c>
      <c r="H16" s="36">
        <f t="shared" si="3"/>
        <v>181016.6667</v>
      </c>
      <c r="I16" s="36">
        <f t="shared" si="3"/>
        <v>215900</v>
      </c>
      <c r="J16" s="36">
        <f t="shared" si="3"/>
        <v>248100</v>
      </c>
    </row>
    <row r="17" spans="1:10" x14ac:dyDescent="0.45">
      <c r="A17" s="2" t="s">
        <v>293</v>
      </c>
      <c r="E17" s="29">
        <f t="shared" ref="E17:J17" si="4">E$15*(1+$D$7)</f>
        <v>110162.5</v>
      </c>
      <c r="F17" s="29">
        <f t="shared" si="4"/>
        <v>138337.5</v>
      </c>
      <c r="G17" s="29">
        <f t="shared" si="4"/>
        <v>168860.41672500002</v>
      </c>
      <c r="H17" s="29">
        <f t="shared" si="4"/>
        <v>197035.41672500002</v>
      </c>
      <c r="I17" s="29">
        <f t="shared" si="4"/>
        <v>227558.33345000001</v>
      </c>
      <c r="J17" s="29">
        <f t="shared" si="4"/>
        <v>255733.33345000001</v>
      </c>
    </row>
    <row r="18" spans="1:10" x14ac:dyDescent="0.45">
      <c r="A18" s="2" t="s">
        <v>296</v>
      </c>
      <c r="E18" s="29">
        <f t="shared" ref="E18:J18" si="5">E$16*(1+$D$7)</f>
        <v>143033.33345000001</v>
      </c>
      <c r="F18" s="29">
        <f t="shared" si="5"/>
        <v>199383.33345000001</v>
      </c>
      <c r="G18" s="29">
        <f t="shared" si="5"/>
        <v>260429.16672500002</v>
      </c>
      <c r="H18" s="29">
        <f t="shared" si="5"/>
        <v>316779.16672500002</v>
      </c>
      <c r="I18" s="29">
        <f t="shared" si="5"/>
        <v>377825</v>
      </c>
      <c r="J18" s="29">
        <f t="shared" si="5"/>
        <v>434175</v>
      </c>
    </row>
    <row r="19" spans="1:10" x14ac:dyDescent="0.45">
      <c r="A19" s="2" t="s">
        <v>288</v>
      </c>
      <c r="E19" s="7">
        <f t="shared" ref="E19:J19" si="6">E$17/E$13</f>
        <v>7868.75</v>
      </c>
      <c r="F19" s="7">
        <f t="shared" si="6"/>
        <v>5320.6730769230771</v>
      </c>
      <c r="G19" s="7">
        <f t="shared" si="6"/>
        <v>4329.7542750000002</v>
      </c>
      <c r="H19" s="7">
        <f t="shared" si="6"/>
        <v>3863.4395436274513</v>
      </c>
      <c r="I19" s="7">
        <f t="shared" si="6"/>
        <v>3555.5989601562501</v>
      </c>
      <c r="J19" s="7">
        <f t="shared" si="6"/>
        <v>3364.9122822368422</v>
      </c>
    </row>
    <row r="20" spans="1:10" x14ac:dyDescent="0.45">
      <c r="A20" s="2" t="s">
        <v>290</v>
      </c>
      <c r="E20" s="7">
        <f t="shared" ref="E20:J20" si="7">E$17/E$14</f>
        <v>3934.375</v>
      </c>
      <c r="F20" s="7">
        <f t="shared" si="7"/>
        <v>2660.3365384615386</v>
      </c>
      <c r="G20" s="7">
        <f t="shared" si="7"/>
        <v>2164.8771375000001</v>
      </c>
      <c r="H20" s="7">
        <f t="shared" si="7"/>
        <v>1931.7197718137256</v>
      </c>
      <c r="I20" s="7">
        <f t="shared" si="7"/>
        <v>1777.799480078125</v>
      </c>
      <c r="J20" s="7">
        <f t="shared" si="7"/>
        <v>1682.4561411184211</v>
      </c>
    </row>
    <row r="21" spans="1:10" x14ac:dyDescent="0.4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x14ac:dyDescent="0.45">
      <c r="A22" s="2" t="s">
        <v>294</v>
      </c>
      <c r="E22" s="29">
        <f t="shared" ref="E22:J22" si="9">E$17+E$21</f>
        <v>122780</v>
      </c>
      <c r="F22" s="29">
        <f t="shared" si="9"/>
        <v>161770</v>
      </c>
      <c r="G22" s="29">
        <f t="shared" si="9"/>
        <v>204009.16672500002</v>
      </c>
      <c r="H22" s="29">
        <f t="shared" si="9"/>
        <v>242999.16672500002</v>
      </c>
      <c r="I22" s="29">
        <f t="shared" si="9"/>
        <v>285238.33345000003</v>
      </c>
      <c r="J22" s="29">
        <f t="shared" si="9"/>
        <v>324228.33345000003</v>
      </c>
    </row>
    <row r="23" spans="1:10" x14ac:dyDescent="0.45">
      <c r="A23" s="2" t="s">
        <v>295</v>
      </c>
      <c r="E23" s="29">
        <f t="shared" ref="E23:J23" si="10">E$18+E$21</f>
        <v>155650.83345000001</v>
      </c>
      <c r="F23" s="29">
        <f t="shared" si="10"/>
        <v>222815.83345000001</v>
      </c>
      <c r="G23" s="29">
        <f t="shared" si="10"/>
        <v>295577.91672500002</v>
      </c>
      <c r="H23" s="29">
        <f t="shared" si="10"/>
        <v>362742.91672500002</v>
      </c>
      <c r="I23" s="29">
        <f t="shared" si="10"/>
        <v>435505</v>
      </c>
      <c r="J23" s="29">
        <f t="shared" si="10"/>
        <v>502670</v>
      </c>
    </row>
    <row r="24" spans="1:10" x14ac:dyDescent="0.45">
      <c r="A24" s="2"/>
    </row>
    <row r="25" spans="1:10" x14ac:dyDescent="0.45">
      <c r="A25" s="2" t="s">
        <v>364</v>
      </c>
      <c r="E25" s="7">
        <f t="shared" ref="E25:J25" si="11">E$22-MOD(E$22,1000)</f>
        <v>122000</v>
      </c>
      <c r="F25" s="7">
        <f t="shared" si="11"/>
        <v>161000</v>
      </c>
      <c r="G25" s="7">
        <f t="shared" si="11"/>
        <v>204000</v>
      </c>
      <c r="H25" s="7">
        <f t="shared" si="11"/>
        <v>242000</v>
      </c>
      <c r="I25" s="7">
        <f t="shared" si="11"/>
        <v>285000</v>
      </c>
      <c r="J25" s="7">
        <f t="shared" si="11"/>
        <v>324000</v>
      </c>
    </row>
    <row r="26" spans="1:10" x14ac:dyDescent="0.45">
      <c r="A26" s="2" t="s">
        <v>365</v>
      </c>
      <c r="E26" s="7">
        <f t="shared" ref="E26:J26" si="12">E$23-MOD(E$23,1000)</f>
        <v>155000</v>
      </c>
      <c r="F26" s="7">
        <f t="shared" si="12"/>
        <v>222000</v>
      </c>
      <c r="G26" s="7">
        <f t="shared" si="12"/>
        <v>295000</v>
      </c>
      <c r="H26" s="7">
        <f t="shared" si="12"/>
        <v>362000</v>
      </c>
      <c r="I26" s="7">
        <f t="shared" si="12"/>
        <v>435000</v>
      </c>
      <c r="J26" s="7">
        <f t="shared" si="12"/>
        <v>502000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x14ac:dyDescent="0.45">
      <c r="A1" s="1" t="s">
        <v>303</v>
      </c>
    </row>
    <row r="2" spans="1:10" x14ac:dyDescent="0.45">
      <c r="A2" t="s">
        <v>289</v>
      </c>
      <c r="B2" s="35">
        <v>43609</v>
      </c>
    </row>
    <row r="3" spans="1:10" x14ac:dyDescent="0.45">
      <c r="B3" t="s">
        <v>206</v>
      </c>
      <c r="C3" t="s">
        <v>277</v>
      </c>
    </row>
    <row r="4" spans="1:10" x14ac:dyDescent="0.45">
      <c r="A4" t="s">
        <v>276</v>
      </c>
      <c r="B4">
        <v>14.5</v>
      </c>
      <c r="C4">
        <v>10</v>
      </c>
    </row>
    <row r="5" spans="1:10" ht="28.5" x14ac:dyDescent="0.45">
      <c r="A5" t="s">
        <v>274</v>
      </c>
      <c r="B5" s="1" t="s">
        <v>275</v>
      </c>
      <c r="E5" s="2" t="s">
        <v>299</v>
      </c>
    </row>
    <row r="6" spans="1:10" x14ac:dyDescent="0.45">
      <c r="A6" t="s">
        <v>287</v>
      </c>
      <c r="D6" s="1">
        <f>4*2</f>
        <v>8</v>
      </c>
      <c r="E6">
        <v>2</v>
      </c>
    </row>
    <row r="7" spans="1:10" x14ac:dyDescent="0.45">
      <c r="A7" t="s">
        <v>203</v>
      </c>
      <c r="D7" s="37">
        <v>0.75</v>
      </c>
      <c r="E7" s="38" t="s">
        <v>301</v>
      </c>
    </row>
    <row r="8" spans="1:10" x14ac:dyDescent="0.45">
      <c r="B8" t="s">
        <v>283</v>
      </c>
      <c r="C8" t="s">
        <v>284</v>
      </c>
      <c r="D8" t="s">
        <v>286</v>
      </c>
      <c r="E8" t="s">
        <v>285</v>
      </c>
    </row>
    <row r="9" spans="1:10" x14ac:dyDescent="0.4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45">
      <c r="E10" s="7"/>
    </row>
    <row r="12" spans="1:10" x14ac:dyDescent="0.4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28.5" x14ac:dyDescent="0.4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45">
      <c r="A15" s="2" t="s">
        <v>292</v>
      </c>
      <c r="E15" s="36">
        <f>PhiInKM4M_BHR80(E$14)</f>
        <v>54900</v>
      </c>
      <c r="F15" s="36">
        <f t="shared" ref="F15:J15" si="2">PhiInKM4M_BHR80(F$14)</f>
        <v>62950</v>
      </c>
      <c r="G15" s="36">
        <f t="shared" si="2"/>
        <v>71000</v>
      </c>
      <c r="H15" s="36">
        <f t="shared" si="2"/>
        <v>79050</v>
      </c>
      <c r="I15" s="36">
        <f t="shared" si="2"/>
        <v>88441.666700000002</v>
      </c>
      <c r="J15" s="36">
        <f t="shared" si="2"/>
        <v>96491.666700000002</v>
      </c>
    </row>
    <row r="16" spans="1:10" x14ac:dyDescent="0.45">
      <c r="A16" s="2" t="s">
        <v>300</v>
      </c>
      <c r="E16" s="36">
        <f>PhiInKM4M_BHR80(E$14*2)</f>
        <v>65633.333400000003</v>
      </c>
      <c r="F16" s="36">
        <f t="shared" ref="F16:J16" si="3">PhiInKM4M_BHR80(F$14*2)</f>
        <v>81733.333400000003</v>
      </c>
      <c r="G16" s="36">
        <f t="shared" si="3"/>
        <v>97833.333400000003</v>
      </c>
      <c r="H16" s="36">
        <f t="shared" si="3"/>
        <v>113933.3334</v>
      </c>
      <c r="I16" s="36">
        <f t="shared" si="3"/>
        <v>132716.6667</v>
      </c>
      <c r="J16" s="36">
        <f t="shared" si="3"/>
        <v>148816.6667</v>
      </c>
    </row>
    <row r="17" spans="1:10" x14ac:dyDescent="0.45">
      <c r="A17" s="2" t="s">
        <v>293</v>
      </c>
      <c r="E17" s="29">
        <f t="shared" ref="E17:J17" si="4">E$15*(1+$D$7)</f>
        <v>96075</v>
      </c>
      <c r="F17" s="29">
        <f t="shared" si="4"/>
        <v>110162.5</v>
      </c>
      <c r="G17" s="29">
        <f t="shared" si="4"/>
        <v>124250</v>
      </c>
      <c r="H17" s="29">
        <f t="shared" si="4"/>
        <v>138337.5</v>
      </c>
      <c r="I17" s="29">
        <f t="shared" si="4"/>
        <v>154772.91672500002</v>
      </c>
      <c r="J17" s="29">
        <f t="shared" si="4"/>
        <v>168860.41672500002</v>
      </c>
    </row>
    <row r="18" spans="1:10" x14ac:dyDescent="0.45">
      <c r="A18" s="2" t="s">
        <v>296</v>
      </c>
      <c r="E18" s="29">
        <f t="shared" ref="E18:J18" si="5">E$16*(1+$D$7)</f>
        <v>114858.33345000001</v>
      </c>
      <c r="F18" s="29">
        <f t="shared" si="5"/>
        <v>143033.33345000001</v>
      </c>
      <c r="G18" s="29">
        <f t="shared" si="5"/>
        <v>171208.33345000001</v>
      </c>
      <c r="H18" s="29">
        <f t="shared" si="5"/>
        <v>199383.33345000001</v>
      </c>
      <c r="I18" s="29">
        <f t="shared" si="5"/>
        <v>232254.16672500002</v>
      </c>
      <c r="J18" s="29">
        <f t="shared" si="5"/>
        <v>260429.16672500002</v>
      </c>
    </row>
    <row r="19" spans="1:10" x14ac:dyDescent="0.45">
      <c r="A19" s="2" t="s">
        <v>288</v>
      </c>
      <c r="E19" s="7">
        <f t="shared" ref="E19:J19" si="6">E$17/E$13</f>
        <v>12009.375</v>
      </c>
      <c r="F19" s="7">
        <f t="shared" si="6"/>
        <v>7868.75</v>
      </c>
      <c r="G19" s="7">
        <f t="shared" si="6"/>
        <v>6212.5</v>
      </c>
      <c r="H19" s="7">
        <f t="shared" si="6"/>
        <v>5320.6730769230771</v>
      </c>
      <c r="I19" s="7">
        <f t="shared" si="6"/>
        <v>4690.0883856060609</v>
      </c>
      <c r="J19" s="7">
        <f t="shared" si="6"/>
        <v>4329.7542750000002</v>
      </c>
    </row>
    <row r="20" spans="1:10" x14ac:dyDescent="0.45">
      <c r="A20" s="2" t="s">
        <v>290</v>
      </c>
      <c r="E20" s="7">
        <f t="shared" ref="E20:J20" si="7">E$17/E$14</f>
        <v>6004.6875</v>
      </c>
      <c r="F20" s="7">
        <f t="shared" si="7"/>
        <v>3934.375</v>
      </c>
      <c r="G20" s="7">
        <f t="shared" si="7"/>
        <v>3106.25</v>
      </c>
      <c r="H20" s="7">
        <f t="shared" si="7"/>
        <v>2660.3365384615386</v>
      </c>
      <c r="I20" s="7">
        <f t="shared" si="7"/>
        <v>2345.0441928030305</v>
      </c>
      <c r="J20" s="7">
        <f t="shared" si="7"/>
        <v>2164.8771375000001</v>
      </c>
    </row>
    <row r="21" spans="1:10" x14ac:dyDescent="0.4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x14ac:dyDescent="0.45">
      <c r="A22" s="2" t="s">
        <v>294</v>
      </c>
      <c r="E22" s="29">
        <f t="shared" ref="E22:J22" si="9">E$17+E$21</f>
        <v>103285</v>
      </c>
      <c r="F22" s="29">
        <f t="shared" si="9"/>
        <v>122780</v>
      </c>
      <c r="G22" s="29">
        <f t="shared" si="9"/>
        <v>142275</v>
      </c>
      <c r="H22" s="29">
        <f t="shared" si="9"/>
        <v>161770</v>
      </c>
      <c r="I22" s="29">
        <f t="shared" si="9"/>
        <v>184514.16672500002</v>
      </c>
      <c r="J22" s="29">
        <f t="shared" si="9"/>
        <v>204009.16672500002</v>
      </c>
    </row>
    <row r="23" spans="1:10" x14ac:dyDescent="0.45">
      <c r="A23" s="2" t="s">
        <v>295</v>
      </c>
      <c r="E23" s="29">
        <f t="shared" ref="E23:J23" si="10">E$18+E$21</f>
        <v>122068.33345000001</v>
      </c>
      <c r="F23" s="29">
        <f t="shared" si="10"/>
        <v>155650.83345000001</v>
      </c>
      <c r="G23" s="29">
        <f t="shared" si="10"/>
        <v>189233.33345000001</v>
      </c>
      <c r="H23" s="29">
        <f t="shared" si="10"/>
        <v>222815.83345000001</v>
      </c>
      <c r="I23" s="29">
        <f t="shared" si="10"/>
        <v>261995.41672500002</v>
      </c>
      <c r="J23" s="29">
        <f t="shared" si="10"/>
        <v>295577.91672500002</v>
      </c>
    </row>
    <row r="24" spans="1:10" x14ac:dyDescent="0.45">
      <c r="A24" s="2"/>
    </row>
    <row r="25" spans="1:10" x14ac:dyDescent="0.45">
      <c r="A25" s="2" t="s">
        <v>364</v>
      </c>
      <c r="E25" s="7">
        <f t="shared" ref="E25:J25" si="11">E$22-MOD(E$22,1000)</f>
        <v>103000</v>
      </c>
      <c r="F25" s="7">
        <f t="shared" si="11"/>
        <v>122000</v>
      </c>
      <c r="G25" s="7">
        <f t="shared" si="11"/>
        <v>142000</v>
      </c>
      <c r="H25" s="7">
        <f t="shared" si="11"/>
        <v>161000</v>
      </c>
      <c r="I25" s="7">
        <f t="shared" si="11"/>
        <v>184000</v>
      </c>
      <c r="J25" s="7">
        <f t="shared" si="11"/>
        <v>204000</v>
      </c>
    </row>
    <row r="26" spans="1:10" x14ac:dyDescent="0.45">
      <c r="A26" s="2" t="s">
        <v>365</v>
      </c>
      <c r="E26" s="7">
        <f t="shared" ref="E26:J26" si="12">E$23-MOD(E$23,1000)</f>
        <v>122000</v>
      </c>
      <c r="F26" s="7">
        <f t="shared" si="12"/>
        <v>155000</v>
      </c>
      <c r="G26" s="7">
        <f t="shared" si="12"/>
        <v>189000</v>
      </c>
      <c r="H26" s="7">
        <f t="shared" si="12"/>
        <v>222000</v>
      </c>
      <c r="I26" s="7">
        <f t="shared" si="12"/>
        <v>261000</v>
      </c>
      <c r="J26" s="7">
        <f t="shared" si="12"/>
        <v>295000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L19" sqref="L19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x14ac:dyDescent="0.45">
      <c r="A1" s="1" t="s">
        <v>304</v>
      </c>
    </row>
    <row r="2" spans="1:10" x14ac:dyDescent="0.45">
      <c r="A2" t="s">
        <v>289</v>
      </c>
      <c r="B2" s="35">
        <v>43609</v>
      </c>
    </row>
    <row r="3" spans="1:10" x14ac:dyDescent="0.45">
      <c r="B3" t="s">
        <v>206</v>
      </c>
      <c r="C3" t="s">
        <v>277</v>
      </c>
    </row>
    <row r="4" spans="1:10" x14ac:dyDescent="0.45">
      <c r="A4" t="s">
        <v>276</v>
      </c>
      <c r="B4">
        <v>14.5</v>
      </c>
      <c r="C4">
        <v>10</v>
      </c>
    </row>
    <row r="5" spans="1:10" ht="28.5" x14ac:dyDescent="0.45">
      <c r="A5" t="s">
        <v>274</v>
      </c>
      <c r="B5" s="1" t="s">
        <v>275</v>
      </c>
      <c r="E5" s="2" t="s">
        <v>299</v>
      </c>
    </row>
    <row r="6" spans="1:10" x14ac:dyDescent="0.45">
      <c r="A6" t="s">
        <v>287</v>
      </c>
      <c r="D6" s="1">
        <v>6</v>
      </c>
      <c r="E6">
        <v>2</v>
      </c>
    </row>
    <row r="7" spans="1:10" x14ac:dyDescent="0.45">
      <c r="A7" t="s">
        <v>203</v>
      </c>
      <c r="D7" s="37">
        <v>0.75</v>
      </c>
      <c r="E7" s="38" t="s">
        <v>301</v>
      </c>
    </row>
    <row r="8" spans="1:10" x14ac:dyDescent="0.45">
      <c r="B8" t="s">
        <v>283</v>
      </c>
      <c r="C8" t="s">
        <v>284</v>
      </c>
      <c r="D8" t="s">
        <v>286</v>
      </c>
      <c r="E8" t="s">
        <v>285</v>
      </c>
    </row>
    <row r="9" spans="1:10" x14ac:dyDescent="0.4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45">
      <c r="E10" s="7"/>
    </row>
    <row r="12" spans="1:10" x14ac:dyDescent="0.4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28.5" x14ac:dyDescent="0.4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45">
      <c r="A15" s="2" t="s">
        <v>292</v>
      </c>
      <c r="E15" s="36">
        <f>PhiInKM4M_BHR80(E$14)</f>
        <v>57583.333400000003</v>
      </c>
      <c r="F15" s="36">
        <f t="shared" ref="F15:J15" si="2">PhiInKM4M_BHR80(F$14)</f>
        <v>68316.666700000002</v>
      </c>
      <c r="G15" s="36">
        <f t="shared" si="2"/>
        <v>79050</v>
      </c>
      <c r="H15" s="36">
        <f t="shared" si="2"/>
        <v>91125</v>
      </c>
      <c r="I15" s="36">
        <f t="shared" si="2"/>
        <v>101858.3334</v>
      </c>
      <c r="J15" s="36">
        <f t="shared" si="2"/>
        <v>112591.6667</v>
      </c>
    </row>
    <row r="16" spans="1:10" x14ac:dyDescent="0.45">
      <c r="A16" s="2" t="s">
        <v>300</v>
      </c>
      <c r="E16" s="36">
        <f>PhiInKM4M_BHR80(E$14*2)</f>
        <v>71000</v>
      </c>
      <c r="F16" s="36">
        <f t="shared" ref="F16:J16" si="3">PhiInKM4M_BHR80(F$14*2)</f>
        <v>92466.666700000002</v>
      </c>
      <c r="G16" s="36">
        <f t="shared" si="3"/>
        <v>113933.3334</v>
      </c>
      <c r="H16" s="36">
        <f t="shared" si="3"/>
        <v>138083.3334</v>
      </c>
      <c r="I16" s="36">
        <f t="shared" si="3"/>
        <v>159550</v>
      </c>
      <c r="J16" s="36">
        <f t="shared" si="3"/>
        <v>181016.6667</v>
      </c>
    </row>
    <row r="17" spans="1:10" x14ac:dyDescent="0.45">
      <c r="A17" s="2" t="s">
        <v>293</v>
      </c>
      <c r="E17" s="29">
        <f t="shared" ref="E17:J17" si="4">E$15*(1+$D$7)</f>
        <v>100770.83345000001</v>
      </c>
      <c r="F17" s="29">
        <f t="shared" si="4"/>
        <v>119554.166725</v>
      </c>
      <c r="G17" s="29">
        <f t="shared" si="4"/>
        <v>138337.5</v>
      </c>
      <c r="H17" s="29">
        <f t="shared" si="4"/>
        <v>159468.75</v>
      </c>
      <c r="I17" s="29">
        <f t="shared" si="4"/>
        <v>178252.08345000001</v>
      </c>
      <c r="J17" s="29">
        <f t="shared" si="4"/>
        <v>197035.41672500002</v>
      </c>
    </row>
    <row r="18" spans="1:10" x14ac:dyDescent="0.45">
      <c r="A18" s="2" t="s">
        <v>296</v>
      </c>
      <c r="E18" s="29">
        <f t="shared" ref="E18:J18" si="5">E$16*(1+$D$7)</f>
        <v>124250</v>
      </c>
      <c r="F18" s="29">
        <f t="shared" si="5"/>
        <v>161816.66672500002</v>
      </c>
      <c r="G18" s="29">
        <f t="shared" si="5"/>
        <v>199383.33345000001</v>
      </c>
      <c r="H18" s="29">
        <f t="shared" si="5"/>
        <v>241645.83345000001</v>
      </c>
      <c r="I18" s="29">
        <f t="shared" si="5"/>
        <v>279212.5</v>
      </c>
      <c r="J18" s="29">
        <f t="shared" si="5"/>
        <v>316779.16672500002</v>
      </c>
    </row>
    <row r="19" spans="1:10" x14ac:dyDescent="0.45">
      <c r="A19" s="2" t="s">
        <v>288</v>
      </c>
      <c r="E19" s="7">
        <f t="shared" ref="E19:J19" si="6">E$17/E$13</f>
        <v>10077.083345000001</v>
      </c>
      <c r="F19" s="7">
        <f t="shared" si="6"/>
        <v>6641.8981513888893</v>
      </c>
      <c r="G19" s="7">
        <f t="shared" si="6"/>
        <v>5320.6730769230771</v>
      </c>
      <c r="H19" s="7">
        <f t="shared" si="6"/>
        <v>4556.25</v>
      </c>
      <c r="I19" s="7">
        <f t="shared" si="6"/>
        <v>4145.3972895348843</v>
      </c>
      <c r="J19" s="7">
        <f t="shared" si="6"/>
        <v>3863.4395436274513</v>
      </c>
    </row>
    <row r="20" spans="1:10" x14ac:dyDescent="0.45">
      <c r="A20" s="2" t="s">
        <v>290</v>
      </c>
      <c r="E20" s="7">
        <f t="shared" ref="E20:J20" si="7">E$17/E$14</f>
        <v>5038.5416725000005</v>
      </c>
      <c r="F20" s="7">
        <f t="shared" si="7"/>
        <v>3320.9490756944447</v>
      </c>
      <c r="G20" s="7">
        <f t="shared" si="7"/>
        <v>2660.3365384615386</v>
      </c>
      <c r="H20" s="7">
        <f t="shared" si="7"/>
        <v>2278.125</v>
      </c>
      <c r="I20" s="7">
        <f t="shared" si="7"/>
        <v>2072.6986447674421</v>
      </c>
      <c r="J20" s="7">
        <f t="shared" si="7"/>
        <v>1931.7197718137256</v>
      </c>
    </row>
    <row r="21" spans="1:10" x14ac:dyDescent="0.4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x14ac:dyDescent="0.45">
      <c r="A22" s="2" t="s">
        <v>294</v>
      </c>
      <c r="E22" s="29">
        <f t="shared" ref="E22:J22" si="9">E$17+E$21</f>
        <v>109783.33345000001</v>
      </c>
      <c r="F22" s="29">
        <f t="shared" si="9"/>
        <v>135776.66672500002</v>
      </c>
      <c r="G22" s="29">
        <f t="shared" si="9"/>
        <v>161770</v>
      </c>
      <c r="H22" s="29">
        <f t="shared" si="9"/>
        <v>191012.5</v>
      </c>
      <c r="I22" s="29">
        <f t="shared" si="9"/>
        <v>217005.83345000001</v>
      </c>
      <c r="J22" s="29">
        <f t="shared" si="9"/>
        <v>242999.16672500002</v>
      </c>
    </row>
    <row r="23" spans="1:10" x14ac:dyDescent="0.45">
      <c r="A23" s="2" t="s">
        <v>295</v>
      </c>
      <c r="E23" s="29">
        <f t="shared" ref="E23:J23" si="10">E$18+E$21</f>
        <v>133262.5</v>
      </c>
      <c r="F23" s="29">
        <f t="shared" si="10"/>
        <v>178039.16672500002</v>
      </c>
      <c r="G23" s="29">
        <f t="shared" si="10"/>
        <v>222815.83345000001</v>
      </c>
      <c r="H23" s="29">
        <f t="shared" si="10"/>
        <v>273189.58345000003</v>
      </c>
      <c r="I23" s="29">
        <f t="shared" si="10"/>
        <v>317966.25</v>
      </c>
      <c r="J23" s="29">
        <f t="shared" si="10"/>
        <v>362742.91672500002</v>
      </c>
    </row>
    <row r="24" spans="1:10" x14ac:dyDescent="0.45">
      <c r="A24" s="2"/>
    </row>
    <row r="25" spans="1:10" x14ac:dyDescent="0.45">
      <c r="A25" s="2" t="s">
        <v>364</v>
      </c>
      <c r="E25" s="7">
        <f t="shared" ref="E25:J25" si="11">E$22-MOD(E$22,1000)</f>
        <v>109000</v>
      </c>
      <c r="F25" s="7">
        <f t="shared" si="11"/>
        <v>135000</v>
      </c>
      <c r="G25" s="7">
        <f t="shared" si="11"/>
        <v>161000</v>
      </c>
      <c r="H25" s="7">
        <f t="shared" si="11"/>
        <v>191000</v>
      </c>
      <c r="I25" s="7">
        <f t="shared" si="11"/>
        <v>217000</v>
      </c>
      <c r="J25" s="7">
        <f t="shared" si="11"/>
        <v>242000</v>
      </c>
    </row>
    <row r="26" spans="1:10" x14ac:dyDescent="0.45">
      <c r="A26" s="2" t="s">
        <v>365</v>
      </c>
      <c r="E26" s="7">
        <f t="shared" ref="E26:J26" si="12">E$23-MOD(E$23,1000)</f>
        <v>133000</v>
      </c>
      <c r="F26" s="7">
        <f t="shared" si="12"/>
        <v>178000</v>
      </c>
      <c r="G26" s="7">
        <f t="shared" si="12"/>
        <v>222000</v>
      </c>
      <c r="H26" s="7">
        <f t="shared" si="12"/>
        <v>273000</v>
      </c>
      <c r="I26" s="7">
        <f t="shared" si="12"/>
        <v>317000</v>
      </c>
      <c r="J26" s="7">
        <f t="shared" si="12"/>
        <v>362000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K39" sqref="K39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  <col min="12" max="12" width="15" bestFit="1" customWidth="1"/>
    <col min="13" max="16" width="13.3984375" bestFit="1" customWidth="1"/>
    <col min="17" max="18" width="15" bestFit="1" customWidth="1"/>
  </cols>
  <sheetData>
    <row r="1" spans="1:18" x14ac:dyDescent="0.45">
      <c r="A1" s="1" t="s">
        <v>313</v>
      </c>
    </row>
    <row r="2" spans="1:18" x14ac:dyDescent="0.45">
      <c r="A2" t="s">
        <v>289</v>
      </c>
      <c r="B2" s="35">
        <v>43609</v>
      </c>
    </row>
    <row r="3" spans="1:18" x14ac:dyDescent="0.45">
      <c r="B3" t="s">
        <v>206</v>
      </c>
      <c r="C3" t="s">
        <v>277</v>
      </c>
    </row>
    <row r="4" spans="1:18" x14ac:dyDescent="0.45">
      <c r="A4" t="s">
        <v>276</v>
      </c>
      <c r="B4">
        <v>29.7</v>
      </c>
      <c r="C4">
        <v>21</v>
      </c>
    </row>
    <row r="5" spans="1:18" ht="28.5" x14ac:dyDescent="0.4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45">
      <c r="B6" s="1"/>
      <c r="C6" t="s">
        <v>312</v>
      </c>
      <c r="D6">
        <f>$C$5/100*$D$5/100</f>
        <v>0.1376</v>
      </c>
      <c r="E6" s="2"/>
    </row>
    <row r="7" spans="1:18" x14ac:dyDescent="0.45">
      <c r="A7" t="s">
        <v>287</v>
      </c>
      <c r="D7" s="1">
        <v>2</v>
      </c>
      <c r="E7">
        <v>2</v>
      </c>
    </row>
    <row r="8" spans="1:18" x14ac:dyDescent="0.45">
      <c r="A8" t="s">
        <v>203</v>
      </c>
      <c r="D8" s="37">
        <v>0.75</v>
      </c>
      <c r="E8" s="38" t="s">
        <v>301</v>
      </c>
    </row>
    <row r="9" spans="1:18" x14ac:dyDescent="0.45">
      <c r="B9" t="s">
        <v>283</v>
      </c>
      <c r="C9" t="s">
        <v>284</v>
      </c>
      <c r="D9" t="s">
        <v>286</v>
      </c>
      <c r="E9" t="s">
        <v>285</v>
      </c>
    </row>
    <row r="10" spans="1:18" x14ac:dyDescent="0.4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4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45">
      <c r="E12" s="7"/>
    </row>
    <row r="13" spans="1:18" ht="28.5" x14ac:dyDescent="0.45">
      <c r="D13" t="s">
        <v>311</v>
      </c>
      <c r="E13" s="39" t="s">
        <v>314</v>
      </c>
    </row>
    <row r="14" spans="1:18" x14ac:dyDescent="0.4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45">
      <c r="L15" t="s">
        <v>368</v>
      </c>
    </row>
    <row r="16" spans="1:18" x14ac:dyDescent="0.4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28.5" x14ac:dyDescent="0.4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28.5" x14ac:dyDescent="0.4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45">
      <c r="A19" s="2" t="s">
        <v>292</v>
      </c>
      <c r="E19" s="36">
        <f>PhiInKM4M_BHR70(E$18)</f>
        <v>86400</v>
      </c>
      <c r="F19" s="36">
        <f t="shared" ref="F19:J19" si="4">PhiInKM4M_BHR70(F$18)</f>
        <v>121400</v>
      </c>
      <c r="G19" s="36">
        <f t="shared" si="4"/>
        <v>156400</v>
      </c>
      <c r="H19" s="36">
        <f t="shared" si="4"/>
        <v>191400</v>
      </c>
      <c r="I19" s="36">
        <f t="shared" si="4"/>
        <v>226400</v>
      </c>
      <c r="J19" s="36">
        <f t="shared" si="4"/>
        <v>261400</v>
      </c>
      <c r="L19" s="36">
        <f t="shared" ref="L19:R19" si="5">PhiMayInToner4M(L$18)</f>
        <v>59816.666599999997</v>
      </c>
      <c r="M19" s="36">
        <f t="shared" si="5"/>
        <v>96900</v>
      </c>
      <c r="N19" s="36">
        <f t="shared" si="5"/>
        <v>133983.3333</v>
      </c>
      <c r="O19" s="36">
        <f t="shared" si="5"/>
        <v>171066.6666</v>
      </c>
      <c r="P19" s="36">
        <f t="shared" si="5"/>
        <v>208150</v>
      </c>
      <c r="Q19" s="36">
        <f t="shared" si="5"/>
        <v>245233.3333</v>
      </c>
      <c r="R19" s="36">
        <f t="shared" si="5"/>
        <v>282316.6666</v>
      </c>
    </row>
    <row r="20" spans="1:18" x14ac:dyDescent="0.45">
      <c r="A20" s="2" t="s">
        <v>300</v>
      </c>
      <c r="E20" s="36">
        <f>PhiInKM4M_BHR70(E$18*2)</f>
        <v>122800</v>
      </c>
      <c r="F20" s="36">
        <f t="shared" ref="F20:J20" si="6">PhiInKM4M_BHR70(F$18*2)</f>
        <v>192800</v>
      </c>
      <c r="G20" s="36">
        <f t="shared" si="6"/>
        <v>262800</v>
      </c>
      <c r="H20" s="36">
        <f t="shared" si="6"/>
        <v>332800</v>
      </c>
      <c r="I20" s="36">
        <f t="shared" si="6"/>
        <v>402800</v>
      </c>
      <c r="J20" s="36">
        <f t="shared" si="6"/>
        <v>472800</v>
      </c>
      <c r="L20" s="36">
        <f t="shared" ref="L20:R20" si="7">L$19*2</f>
        <v>119633.33319999999</v>
      </c>
      <c r="M20" s="36">
        <f t="shared" si="7"/>
        <v>193800</v>
      </c>
      <c r="N20" s="36">
        <f t="shared" si="7"/>
        <v>267966.6666</v>
      </c>
      <c r="O20" s="36">
        <f t="shared" si="7"/>
        <v>342133.33319999999</v>
      </c>
      <c r="P20" s="36">
        <f t="shared" si="7"/>
        <v>416300</v>
      </c>
      <c r="Q20" s="36">
        <f t="shared" si="7"/>
        <v>490466.6666</v>
      </c>
      <c r="R20" s="36">
        <f t="shared" si="7"/>
        <v>564633.33319999999</v>
      </c>
    </row>
    <row r="21" spans="1:18" x14ac:dyDescent="0.45">
      <c r="A21" s="2" t="s">
        <v>293</v>
      </c>
      <c r="E21" s="29">
        <f t="shared" ref="E21:J21" si="8">E$19*(1+$D$8)</f>
        <v>151200</v>
      </c>
      <c r="F21" s="29">
        <f t="shared" si="8"/>
        <v>212450</v>
      </c>
      <c r="G21" s="29">
        <f t="shared" si="8"/>
        <v>273700</v>
      </c>
      <c r="H21" s="29">
        <f t="shared" si="8"/>
        <v>334950</v>
      </c>
      <c r="I21" s="29">
        <f t="shared" si="8"/>
        <v>396200</v>
      </c>
      <c r="J21" s="29">
        <f t="shared" si="8"/>
        <v>457450</v>
      </c>
      <c r="L21" s="29">
        <f>L$19*(1+$D$8)</f>
        <v>104679.16654999999</v>
      </c>
      <c r="M21" s="29">
        <f t="shared" ref="M21:R21" si="9">M$19*(1+$D$8)</f>
        <v>169575</v>
      </c>
      <c r="N21" s="29">
        <f t="shared" si="9"/>
        <v>234470.83327499998</v>
      </c>
      <c r="O21" s="29">
        <f t="shared" si="9"/>
        <v>299366.66654999997</v>
      </c>
      <c r="P21" s="29">
        <f t="shared" si="9"/>
        <v>364262.5</v>
      </c>
      <c r="Q21" s="29">
        <f t="shared" si="9"/>
        <v>429158.33327499998</v>
      </c>
      <c r="R21" s="29">
        <f t="shared" si="9"/>
        <v>494054.16654999997</v>
      </c>
    </row>
    <row r="22" spans="1:18" x14ac:dyDescent="0.45">
      <c r="A22" s="2" t="s">
        <v>296</v>
      </c>
      <c r="E22" s="29">
        <f t="shared" ref="E22:J22" si="10">E$20*(1+$D$8)</f>
        <v>214900</v>
      </c>
      <c r="F22" s="29">
        <f t="shared" si="10"/>
        <v>337400</v>
      </c>
      <c r="G22" s="29">
        <f t="shared" si="10"/>
        <v>459900</v>
      </c>
      <c r="H22" s="29">
        <f t="shared" si="10"/>
        <v>582400</v>
      </c>
      <c r="I22" s="29">
        <f t="shared" si="10"/>
        <v>704900</v>
      </c>
      <c r="J22" s="29">
        <f t="shared" si="10"/>
        <v>827400</v>
      </c>
      <c r="L22" s="29">
        <f>L$20*(1+$D$8)</f>
        <v>209358.33309999999</v>
      </c>
      <c r="M22" s="29">
        <f t="shared" ref="M22:R22" si="11">M$20*(1+$D$8)</f>
        <v>339150</v>
      </c>
      <c r="N22" s="29">
        <f t="shared" si="11"/>
        <v>468941.66654999997</v>
      </c>
      <c r="O22" s="29">
        <f t="shared" si="11"/>
        <v>598733.33309999993</v>
      </c>
      <c r="P22" s="29">
        <f t="shared" si="11"/>
        <v>728525</v>
      </c>
      <c r="Q22" s="29">
        <f t="shared" si="11"/>
        <v>858316.66654999997</v>
      </c>
      <c r="R22" s="29">
        <f t="shared" si="11"/>
        <v>988108.33309999993</v>
      </c>
    </row>
    <row r="23" spans="1:18" x14ac:dyDescent="0.45">
      <c r="A23" s="2" t="s">
        <v>288</v>
      </c>
      <c r="E23" s="7">
        <f>E$21/E$17</f>
        <v>5815.3846153846152</v>
      </c>
      <c r="F23" s="7">
        <f t="shared" ref="F23:R23" si="12">F$21/F$17</f>
        <v>4165.6862745098042</v>
      </c>
      <c r="G23" s="7">
        <f t="shared" si="12"/>
        <v>3601.3157894736842</v>
      </c>
      <c r="H23" s="7">
        <f t="shared" si="12"/>
        <v>3316.3366336633662</v>
      </c>
      <c r="I23" s="7">
        <f t="shared" si="12"/>
        <v>3144.4444444444443</v>
      </c>
      <c r="J23" s="7">
        <f t="shared" si="12"/>
        <v>3029.4701986754967</v>
      </c>
      <c r="L23" s="7">
        <f t="shared" si="12"/>
        <v>104679.16654999999</v>
      </c>
      <c r="M23" s="7">
        <f t="shared" si="12"/>
        <v>6522.1153846153848</v>
      </c>
      <c r="N23" s="7">
        <f t="shared" si="12"/>
        <v>4597.4673191176471</v>
      </c>
      <c r="O23" s="7">
        <f t="shared" si="12"/>
        <v>3939.0350861842103</v>
      </c>
      <c r="P23" s="7">
        <f t="shared" si="12"/>
        <v>3606.5594059405939</v>
      </c>
      <c r="Q23" s="7">
        <f t="shared" si="12"/>
        <v>3406.0185180555554</v>
      </c>
      <c r="R23" s="7">
        <f t="shared" si="12"/>
        <v>3271.881897682119</v>
      </c>
    </row>
    <row r="24" spans="1:18" x14ac:dyDescent="0.45">
      <c r="A24" s="2" t="s">
        <v>290</v>
      </c>
      <c r="E24" s="7">
        <f>E$21/E$18</f>
        <v>2907.6923076923076</v>
      </c>
      <c r="F24" s="7">
        <f t="shared" ref="F24:R24" si="13">F$21/F$18</f>
        <v>2082.8431372549021</v>
      </c>
      <c r="G24" s="7">
        <f t="shared" si="13"/>
        <v>1800.6578947368421</v>
      </c>
      <c r="H24" s="7">
        <f t="shared" si="13"/>
        <v>1658.1683168316831</v>
      </c>
      <c r="I24" s="7">
        <f t="shared" si="13"/>
        <v>1572.2222222222222</v>
      </c>
      <c r="J24" s="7">
        <f t="shared" si="13"/>
        <v>1514.7350993377484</v>
      </c>
      <c r="L24" s="7">
        <f t="shared" si="13"/>
        <v>52339.583274999997</v>
      </c>
      <c r="M24" s="7">
        <f t="shared" si="13"/>
        <v>3261.0576923076924</v>
      </c>
      <c r="N24" s="7">
        <f t="shared" si="13"/>
        <v>2298.7336595588235</v>
      </c>
      <c r="O24" s="7">
        <f t="shared" si="13"/>
        <v>1969.5175430921051</v>
      </c>
      <c r="P24" s="7">
        <f t="shared" si="13"/>
        <v>1803.279702970297</v>
      </c>
      <c r="Q24" s="7">
        <f t="shared" si="13"/>
        <v>1703.0092590277777</v>
      </c>
      <c r="R24" s="7">
        <f t="shared" si="13"/>
        <v>1635.9409488410595</v>
      </c>
    </row>
    <row r="25" spans="1:18" x14ac:dyDescent="0.4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28.5" x14ac:dyDescent="0.45">
      <c r="A26" s="2" t="s">
        <v>315</v>
      </c>
      <c r="E26" s="29">
        <f>E$22+E$17*$E$10</f>
        <v>246750</v>
      </c>
      <c r="F26" s="29">
        <f t="shared" ref="F26:R26" si="14">F$22+F$17*$E$10</f>
        <v>399875</v>
      </c>
      <c r="G26" s="29">
        <f t="shared" si="14"/>
        <v>553000</v>
      </c>
      <c r="H26" s="29">
        <f t="shared" si="14"/>
        <v>706125</v>
      </c>
      <c r="I26" s="29">
        <f t="shared" si="14"/>
        <v>859250</v>
      </c>
      <c r="J26" s="29">
        <f t="shared" si="14"/>
        <v>1012375</v>
      </c>
      <c r="L26" s="29">
        <f t="shared" si="14"/>
        <v>210583.33309999999</v>
      </c>
      <c r="M26" s="29">
        <f t="shared" si="14"/>
        <v>371000</v>
      </c>
      <c r="N26" s="29">
        <f t="shared" si="14"/>
        <v>531416.66654999997</v>
      </c>
      <c r="O26" s="29">
        <f t="shared" si="14"/>
        <v>691833.33309999993</v>
      </c>
      <c r="P26" s="29">
        <f t="shared" si="14"/>
        <v>852250</v>
      </c>
      <c r="Q26" s="29">
        <f t="shared" si="14"/>
        <v>1012666.66655</v>
      </c>
      <c r="R26" s="29">
        <f t="shared" si="14"/>
        <v>1173083.3330999999</v>
      </c>
    </row>
    <row r="27" spans="1:18" ht="28.5" x14ac:dyDescent="0.45">
      <c r="A27" s="2" t="s">
        <v>316</v>
      </c>
      <c r="E27" s="29">
        <f>E$22+E$17*$E$11</f>
        <v>250617.5</v>
      </c>
      <c r="F27" s="29">
        <f t="shared" ref="F27:R27" si="15">F$22+F$17*$E$11</f>
        <v>407461.25</v>
      </c>
      <c r="G27" s="29">
        <f t="shared" si="15"/>
        <v>564305</v>
      </c>
      <c r="H27" s="29">
        <f t="shared" si="15"/>
        <v>721148.75</v>
      </c>
      <c r="I27" s="29">
        <f t="shared" si="15"/>
        <v>877992.5</v>
      </c>
      <c r="J27" s="29">
        <f t="shared" si="15"/>
        <v>1034836.25</v>
      </c>
      <c r="L27" s="29">
        <f t="shared" si="15"/>
        <v>210732.08309999999</v>
      </c>
      <c r="M27" s="29">
        <f t="shared" si="15"/>
        <v>374867.5</v>
      </c>
      <c r="N27" s="29">
        <f t="shared" si="15"/>
        <v>539002.91654999997</v>
      </c>
      <c r="O27" s="29">
        <f t="shared" si="15"/>
        <v>703138.33309999993</v>
      </c>
      <c r="P27" s="29">
        <f t="shared" si="15"/>
        <v>867273.75</v>
      </c>
      <c r="Q27" s="29">
        <f t="shared" si="15"/>
        <v>1031409.16655</v>
      </c>
      <c r="R27" s="29">
        <f t="shared" si="15"/>
        <v>1195544.5830999999</v>
      </c>
    </row>
    <row r="28" spans="1:18" x14ac:dyDescent="0.45">
      <c r="A28" s="2"/>
    </row>
    <row r="29" spans="1:18" x14ac:dyDescent="0.4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4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4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45">
      <c r="A33" s="2" t="s">
        <v>308</v>
      </c>
      <c r="E33" s="7">
        <f t="shared" ref="E33:J33" si="19">PhiMayCanMang(E$17,$C$5/100, $D$5/100)*(1+$D$8)+ E$17*$E$14</f>
        <v>140828.64635</v>
      </c>
      <c r="F33" s="7">
        <f t="shared" si="19"/>
        <v>153034.99924999999</v>
      </c>
      <c r="G33" s="7">
        <f t="shared" si="19"/>
        <v>165241.35232500001</v>
      </c>
      <c r="H33" s="7">
        <f t="shared" si="19"/>
        <v>176994.7641</v>
      </c>
      <c r="I33" s="7">
        <f t="shared" si="19"/>
        <v>189201.117</v>
      </c>
      <c r="J33" s="7">
        <f t="shared" si="19"/>
        <v>201407.4699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133315.68635</v>
      </c>
      <c r="N33" s="7">
        <f t="shared" si="20"/>
        <v>138298.03925</v>
      </c>
      <c r="O33" s="7">
        <f t="shared" si="20"/>
        <v>143280.39232500002</v>
      </c>
      <c r="P33" s="7">
        <f t="shared" si="20"/>
        <v>147809.80410000001</v>
      </c>
      <c r="Q33" s="7">
        <f t="shared" si="20"/>
        <v>152792.15700000001</v>
      </c>
      <c r="R33" s="7">
        <f t="shared" si="20"/>
        <v>157774.5099</v>
      </c>
    </row>
    <row r="34" spans="1:18" x14ac:dyDescent="0.45">
      <c r="A34" s="2" t="s">
        <v>317</v>
      </c>
      <c r="E34" s="7">
        <f t="shared" ref="E34:J34" si="21">E$33/E$16</f>
        <v>2816.5729269999997</v>
      </c>
      <c r="F34" s="7">
        <f t="shared" si="21"/>
        <v>1530.3499924999999</v>
      </c>
      <c r="G34" s="7">
        <f t="shared" si="21"/>
        <v>1101.6090155000002</v>
      </c>
      <c r="H34" s="7">
        <f t="shared" si="21"/>
        <v>884.97382049999999</v>
      </c>
      <c r="I34" s="7">
        <f t="shared" si="21"/>
        <v>756.80446800000004</v>
      </c>
      <c r="J34" s="7">
        <f t="shared" si="21"/>
        <v>671.35823300000004</v>
      </c>
      <c r="L34" s="7"/>
      <c r="M34" s="7">
        <f t="shared" ref="M34:R34" si="22">M$17*$E$14/M$16</f>
        <v>150.25919999999999</v>
      </c>
      <c r="N34" s="7">
        <f t="shared" si="22"/>
        <v>147.36959999999999</v>
      </c>
      <c r="O34" s="7">
        <f t="shared" si="22"/>
        <v>146.40639999999999</v>
      </c>
      <c r="P34" s="7">
        <f t="shared" si="22"/>
        <v>145.9248</v>
      </c>
      <c r="Q34" s="7">
        <f t="shared" si="22"/>
        <v>145.63584</v>
      </c>
      <c r="R34" s="7">
        <f t="shared" si="22"/>
        <v>145.44319999999999</v>
      </c>
    </row>
    <row r="35" spans="1:18" x14ac:dyDescent="0.45">
      <c r="A35" s="2" t="s">
        <v>309</v>
      </c>
      <c r="E35" s="7">
        <f t="shared" ref="E35:J35" si="23">PhiMayCanMang(E$17*2,$C$5/100, $D$5/100)*(1+$D$8)+ E$17*$E$14*2</f>
        <v>153323.95925000001</v>
      </c>
      <c r="F35" s="7">
        <f t="shared" si="23"/>
        <v>177736.665225</v>
      </c>
      <c r="G35" s="7">
        <f t="shared" si="23"/>
        <v>201696.42989999999</v>
      </c>
      <c r="H35" s="7">
        <f t="shared" si="23"/>
        <v>226109.13587499998</v>
      </c>
      <c r="I35" s="7">
        <f t="shared" si="23"/>
        <v>250068.90055000002</v>
      </c>
      <c r="J35" s="7">
        <f t="shared" si="23"/>
        <v>274481.60635000002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138298.03925</v>
      </c>
      <c r="N35" s="7">
        <f t="shared" si="24"/>
        <v>148262.74522500002</v>
      </c>
      <c r="O35" s="7">
        <f t="shared" si="24"/>
        <v>157774.5099</v>
      </c>
      <c r="P35" s="7">
        <f t="shared" si="24"/>
        <v>167739.21587499999</v>
      </c>
      <c r="Q35" s="7">
        <f t="shared" si="24"/>
        <v>177250.98055000001</v>
      </c>
      <c r="R35" s="7">
        <f t="shared" si="24"/>
        <v>187215.68635</v>
      </c>
    </row>
    <row r="36" spans="1:18" x14ac:dyDescent="0.45">
      <c r="A36" s="2" t="s">
        <v>318</v>
      </c>
      <c r="E36" s="7">
        <f t="shared" ref="E36:J36" si="25">E$35/E$16</f>
        <v>3066.4791850000001</v>
      </c>
      <c r="F36" s="7">
        <f t="shared" si="25"/>
        <v>1777.36665225</v>
      </c>
      <c r="G36" s="7">
        <f t="shared" si="25"/>
        <v>1344.6428659999999</v>
      </c>
      <c r="H36" s="7">
        <f t="shared" si="25"/>
        <v>1130.545679375</v>
      </c>
      <c r="I36" s="7">
        <f t="shared" si="25"/>
        <v>1000.2756022000001</v>
      </c>
      <c r="J36" s="7">
        <f t="shared" si="25"/>
        <v>914.93868783333335</v>
      </c>
      <c r="M36" s="7">
        <f t="shared" ref="M36:R36" si="26">M$17*2*$E$14/M$16</f>
        <v>300.51839999999999</v>
      </c>
      <c r="N36" s="7">
        <f t="shared" si="26"/>
        <v>294.73919999999998</v>
      </c>
      <c r="O36" s="7">
        <f t="shared" si="26"/>
        <v>292.81279999999998</v>
      </c>
      <c r="P36" s="7">
        <f t="shared" si="26"/>
        <v>291.84960000000001</v>
      </c>
      <c r="Q36" s="7">
        <f t="shared" si="26"/>
        <v>291.27168</v>
      </c>
      <c r="R36" s="7">
        <f t="shared" si="26"/>
        <v>290.88639999999998</v>
      </c>
    </row>
    <row r="39" spans="1:18" ht="28.5" x14ac:dyDescent="0.45">
      <c r="A39" s="2" t="s">
        <v>366</v>
      </c>
      <c r="E39" s="7">
        <f t="shared" ref="E39:J39" si="27">E$26-MOD(E$26,1000)</f>
        <v>246000</v>
      </c>
      <c r="F39" s="7">
        <f t="shared" si="27"/>
        <v>399000</v>
      </c>
      <c r="G39" s="7">
        <f t="shared" si="27"/>
        <v>553000</v>
      </c>
      <c r="H39" s="7">
        <f t="shared" si="27"/>
        <v>706000</v>
      </c>
      <c r="I39" s="7">
        <f t="shared" si="27"/>
        <v>859000</v>
      </c>
      <c r="J39" s="7">
        <f t="shared" si="27"/>
        <v>1012000</v>
      </c>
    </row>
    <row r="40" spans="1:18" ht="28.5" x14ac:dyDescent="0.45">
      <c r="A40" s="2" t="s">
        <v>367</v>
      </c>
      <c r="E40" s="7">
        <f t="shared" ref="E40:J40" si="28">E$27-MOD(E$27,1000)</f>
        <v>250000</v>
      </c>
      <c r="F40" s="7">
        <f t="shared" si="28"/>
        <v>407000</v>
      </c>
      <c r="G40" s="7">
        <f t="shared" si="28"/>
        <v>564000</v>
      </c>
      <c r="H40" s="7">
        <f t="shared" si="28"/>
        <v>721000</v>
      </c>
      <c r="I40" s="7">
        <f t="shared" si="28"/>
        <v>877000</v>
      </c>
      <c r="J40" s="7">
        <f t="shared" si="28"/>
        <v>1034000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22" workbookViewId="0">
      <selection activeCell="E39" sqref="E39:J40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  <col min="12" max="12" width="15" bestFit="1" customWidth="1"/>
    <col min="13" max="16" width="13.3984375" bestFit="1" customWidth="1"/>
    <col min="17" max="18" width="15" bestFit="1" customWidth="1"/>
  </cols>
  <sheetData>
    <row r="1" spans="1:18" x14ac:dyDescent="0.45">
      <c r="A1" s="1" t="s">
        <v>320</v>
      </c>
    </row>
    <row r="2" spans="1:18" x14ac:dyDescent="0.45">
      <c r="A2" t="s">
        <v>289</v>
      </c>
      <c r="B2" s="35">
        <v>43609</v>
      </c>
    </row>
    <row r="3" spans="1:18" x14ac:dyDescent="0.45">
      <c r="B3" t="s">
        <v>206</v>
      </c>
      <c r="C3" t="s">
        <v>277</v>
      </c>
    </row>
    <row r="4" spans="1:18" x14ac:dyDescent="0.45">
      <c r="A4" t="s">
        <v>276</v>
      </c>
      <c r="B4">
        <v>15</v>
      </c>
      <c r="C4">
        <v>20</v>
      </c>
    </row>
    <row r="5" spans="1:18" ht="28.5" x14ac:dyDescent="0.4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45">
      <c r="B6" s="1"/>
      <c r="C6" t="s">
        <v>312</v>
      </c>
      <c r="D6">
        <f>$C$5/100*$D$5/100</f>
        <v>0.1376</v>
      </c>
      <c r="E6" s="2"/>
    </row>
    <row r="7" spans="1:18" x14ac:dyDescent="0.45">
      <c r="A7" t="s">
        <v>287</v>
      </c>
      <c r="D7" s="1">
        <v>4</v>
      </c>
      <c r="E7">
        <v>2</v>
      </c>
    </row>
    <row r="8" spans="1:18" x14ac:dyDescent="0.45">
      <c r="A8" t="s">
        <v>203</v>
      </c>
      <c r="D8" s="37">
        <v>0.75</v>
      </c>
      <c r="E8" s="38" t="s">
        <v>301</v>
      </c>
    </row>
    <row r="9" spans="1:18" x14ac:dyDescent="0.45">
      <c r="B9" t="s">
        <v>283</v>
      </c>
      <c r="C9" t="s">
        <v>284</v>
      </c>
      <c r="D9" t="s">
        <v>286</v>
      </c>
      <c r="E9" t="s">
        <v>285</v>
      </c>
    </row>
    <row r="10" spans="1:18" x14ac:dyDescent="0.4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4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45">
      <c r="E12" s="7"/>
    </row>
    <row r="13" spans="1:18" ht="28.5" x14ac:dyDescent="0.45">
      <c r="D13" t="s">
        <v>311</v>
      </c>
      <c r="E13" s="39" t="s">
        <v>314</v>
      </c>
    </row>
    <row r="14" spans="1:18" x14ac:dyDescent="0.4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4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28.5" x14ac:dyDescent="0.4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28.5" x14ac:dyDescent="0.4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45">
      <c r="A19" s="2" t="s">
        <v>292</v>
      </c>
      <c r="E19" s="36">
        <f>PhiInKM4M_BHR70(E$18)</f>
        <v>68900</v>
      </c>
      <c r="F19" s="36">
        <f t="shared" ref="F19:J19" si="4">PhiInKM4M_BHR70(F$18)</f>
        <v>86400</v>
      </c>
      <c r="G19" s="36">
        <f t="shared" si="4"/>
        <v>103900</v>
      </c>
      <c r="H19" s="36">
        <f t="shared" si="4"/>
        <v>121400</v>
      </c>
      <c r="I19" s="36">
        <f t="shared" si="4"/>
        <v>138900</v>
      </c>
      <c r="J19" s="36">
        <f t="shared" si="4"/>
        <v>156400</v>
      </c>
      <c r="L19" s="36">
        <f t="shared" ref="L19:R19" si="5">PhiMayInToner4M(L$18)</f>
        <v>59816.666599999997</v>
      </c>
      <c r="M19" s="36">
        <f t="shared" si="5"/>
        <v>78358.333299999998</v>
      </c>
      <c r="N19" s="36">
        <f t="shared" si="5"/>
        <v>96900</v>
      </c>
      <c r="O19" s="36">
        <f t="shared" si="5"/>
        <v>115441.6666</v>
      </c>
      <c r="P19" s="36">
        <f t="shared" si="5"/>
        <v>133983.3333</v>
      </c>
      <c r="Q19" s="36">
        <f t="shared" si="5"/>
        <v>152525</v>
      </c>
      <c r="R19" s="36">
        <f t="shared" si="5"/>
        <v>171066.6666</v>
      </c>
    </row>
    <row r="20" spans="1:18" x14ac:dyDescent="0.45">
      <c r="A20" s="2" t="s">
        <v>300</v>
      </c>
      <c r="E20" s="36">
        <f>PhiInKM4M_BHR70(E$18*2)</f>
        <v>87800</v>
      </c>
      <c r="F20" s="36">
        <f t="shared" ref="F20:J20" si="6">PhiInKM4M_BHR70(F$18*2)</f>
        <v>122800</v>
      </c>
      <c r="G20" s="36">
        <f t="shared" si="6"/>
        <v>157800</v>
      </c>
      <c r="H20" s="36">
        <f t="shared" si="6"/>
        <v>192800</v>
      </c>
      <c r="I20" s="36">
        <f t="shared" si="6"/>
        <v>227800</v>
      </c>
      <c r="J20" s="36">
        <f t="shared" si="6"/>
        <v>262800</v>
      </c>
      <c r="L20" s="36">
        <f t="shared" ref="L20:R20" si="7">L$19*2</f>
        <v>119633.33319999999</v>
      </c>
      <c r="M20" s="36">
        <f t="shared" si="7"/>
        <v>156716.6666</v>
      </c>
      <c r="N20" s="36">
        <f t="shared" si="7"/>
        <v>193800</v>
      </c>
      <c r="O20" s="36">
        <f t="shared" si="7"/>
        <v>230883.33319999999</v>
      </c>
      <c r="P20" s="36">
        <f t="shared" si="7"/>
        <v>267966.6666</v>
      </c>
      <c r="Q20" s="36">
        <f t="shared" si="7"/>
        <v>305050</v>
      </c>
      <c r="R20" s="36">
        <f t="shared" si="7"/>
        <v>342133.33319999999</v>
      </c>
    </row>
    <row r="21" spans="1:18" x14ac:dyDescent="0.45">
      <c r="A21" s="2" t="s">
        <v>293</v>
      </c>
      <c r="E21" s="29">
        <f t="shared" ref="E21:J21" si="8">E$19*(1+$D$8)</f>
        <v>120575</v>
      </c>
      <c r="F21" s="29">
        <f t="shared" si="8"/>
        <v>151200</v>
      </c>
      <c r="G21" s="29">
        <f t="shared" si="8"/>
        <v>181825</v>
      </c>
      <c r="H21" s="29">
        <f t="shared" si="8"/>
        <v>212450</v>
      </c>
      <c r="I21" s="29">
        <f t="shared" si="8"/>
        <v>243075</v>
      </c>
      <c r="J21" s="29">
        <f t="shared" si="8"/>
        <v>273700</v>
      </c>
      <c r="L21" s="29">
        <f>L$19*(1+$D$8)</f>
        <v>104679.16654999999</v>
      </c>
      <c r="M21" s="29">
        <f t="shared" ref="M21:R21" si="9">M$19*(1+$D$8)</f>
        <v>137127.08327499998</v>
      </c>
      <c r="N21" s="29">
        <f t="shared" si="9"/>
        <v>169575</v>
      </c>
      <c r="O21" s="29">
        <f t="shared" si="9"/>
        <v>202022.91654999999</v>
      </c>
      <c r="P21" s="29">
        <f t="shared" si="9"/>
        <v>234470.83327499998</v>
      </c>
      <c r="Q21" s="29">
        <f t="shared" si="9"/>
        <v>266918.75</v>
      </c>
      <c r="R21" s="29">
        <f t="shared" si="9"/>
        <v>299366.66654999997</v>
      </c>
    </row>
    <row r="22" spans="1:18" x14ac:dyDescent="0.45">
      <c r="A22" s="2" t="s">
        <v>296</v>
      </c>
      <c r="E22" s="29">
        <f t="shared" ref="E22:J22" si="10">E$20*(1+$D$8)</f>
        <v>153650</v>
      </c>
      <c r="F22" s="29">
        <f t="shared" si="10"/>
        <v>214900</v>
      </c>
      <c r="G22" s="29">
        <f t="shared" si="10"/>
        <v>276150</v>
      </c>
      <c r="H22" s="29">
        <f t="shared" si="10"/>
        <v>337400</v>
      </c>
      <c r="I22" s="29">
        <f t="shared" si="10"/>
        <v>398650</v>
      </c>
      <c r="J22" s="29">
        <f t="shared" si="10"/>
        <v>459900</v>
      </c>
      <c r="L22" s="29">
        <f>L$20*(1+$D$8)</f>
        <v>209358.33309999999</v>
      </c>
      <c r="M22" s="29">
        <f t="shared" ref="M22:R22" si="11">M$20*(1+$D$8)</f>
        <v>274254.16654999997</v>
      </c>
      <c r="N22" s="29">
        <f t="shared" si="11"/>
        <v>339150</v>
      </c>
      <c r="O22" s="29">
        <f t="shared" si="11"/>
        <v>404045.83309999999</v>
      </c>
      <c r="P22" s="29">
        <f t="shared" si="11"/>
        <v>468941.66654999997</v>
      </c>
      <c r="Q22" s="29">
        <f t="shared" si="11"/>
        <v>533837.5</v>
      </c>
      <c r="R22" s="29">
        <f t="shared" si="11"/>
        <v>598733.33309999993</v>
      </c>
    </row>
    <row r="23" spans="1:18" x14ac:dyDescent="0.45">
      <c r="A23" s="2" t="s">
        <v>288</v>
      </c>
      <c r="E23" s="7">
        <f>E$21/E$17</f>
        <v>8931.4814814814818</v>
      </c>
      <c r="F23" s="7">
        <f t="shared" ref="F23:R23" si="12">F$21/F$17</f>
        <v>5815.3846153846152</v>
      </c>
      <c r="G23" s="7">
        <f t="shared" si="12"/>
        <v>4722.727272727273</v>
      </c>
      <c r="H23" s="7">
        <f t="shared" si="12"/>
        <v>4165.6862745098042</v>
      </c>
      <c r="I23" s="7">
        <f t="shared" si="12"/>
        <v>3827.9527559055118</v>
      </c>
      <c r="J23" s="7">
        <f t="shared" si="12"/>
        <v>3601.3157894736842</v>
      </c>
      <c r="L23" s="7">
        <f t="shared" si="12"/>
        <v>104679.16654999999</v>
      </c>
      <c r="M23" s="7">
        <f t="shared" si="12"/>
        <v>10157.561724074072</v>
      </c>
      <c r="N23" s="7">
        <f t="shared" si="12"/>
        <v>6522.1153846153848</v>
      </c>
      <c r="O23" s="7">
        <f t="shared" si="12"/>
        <v>5247.3484818181814</v>
      </c>
      <c r="P23" s="7">
        <f t="shared" si="12"/>
        <v>4597.4673191176471</v>
      </c>
      <c r="Q23" s="7">
        <f t="shared" si="12"/>
        <v>4203.4448818897636</v>
      </c>
      <c r="R23" s="7">
        <f t="shared" si="12"/>
        <v>3939.0350861842103</v>
      </c>
    </row>
    <row r="24" spans="1:18" x14ac:dyDescent="0.45">
      <c r="A24" s="2" t="s">
        <v>290</v>
      </c>
      <c r="E24" s="7">
        <f>E$21/E$18</f>
        <v>4465.7407407407409</v>
      </c>
      <c r="F24" s="7">
        <f t="shared" ref="F24:R24" si="13">F$21/F$18</f>
        <v>2907.6923076923076</v>
      </c>
      <c r="G24" s="7">
        <f t="shared" si="13"/>
        <v>2361.3636363636365</v>
      </c>
      <c r="H24" s="7">
        <f t="shared" si="13"/>
        <v>2082.8431372549021</v>
      </c>
      <c r="I24" s="7">
        <f t="shared" si="13"/>
        <v>1913.9763779527559</v>
      </c>
      <c r="J24" s="7">
        <f t="shared" si="13"/>
        <v>1800.6578947368421</v>
      </c>
      <c r="L24" s="7">
        <f t="shared" si="13"/>
        <v>52339.583274999997</v>
      </c>
      <c r="M24" s="7">
        <f t="shared" si="13"/>
        <v>5078.7808620370361</v>
      </c>
      <c r="N24" s="7">
        <f t="shared" si="13"/>
        <v>3261.0576923076924</v>
      </c>
      <c r="O24" s="7">
        <f t="shared" si="13"/>
        <v>2623.6742409090907</v>
      </c>
      <c r="P24" s="7">
        <f t="shared" si="13"/>
        <v>2298.7336595588235</v>
      </c>
      <c r="Q24" s="7">
        <f t="shared" si="13"/>
        <v>2101.7224409448818</v>
      </c>
      <c r="R24" s="7">
        <f t="shared" si="13"/>
        <v>1969.5175430921051</v>
      </c>
    </row>
    <row r="25" spans="1:18" x14ac:dyDescent="0.4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28.5" x14ac:dyDescent="0.45">
      <c r="A26" s="2" t="s">
        <v>315</v>
      </c>
      <c r="E26" s="29">
        <f>E$22+E$17*$E$10</f>
        <v>170187.5</v>
      </c>
      <c r="F26" s="29">
        <f t="shared" ref="F26:R26" si="14">F$22+F$17*$E$10</f>
        <v>246750</v>
      </c>
      <c r="G26" s="29">
        <f t="shared" si="14"/>
        <v>323312.5</v>
      </c>
      <c r="H26" s="29">
        <f t="shared" si="14"/>
        <v>399875</v>
      </c>
      <c r="I26" s="29">
        <f t="shared" si="14"/>
        <v>476437.5</v>
      </c>
      <c r="J26" s="29">
        <f t="shared" si="14"/>
        <v>553000</v>
      </c>
      <c r="L26" s="29">
        <f t="shared" si="14"/>
        <v>210583.33309999999</v>
      </c>
      <c r="M26" s="29">
        <f t="shared" si="14"/>
        <v>290791.66654999997</v>
      </c>
      <c r="N26" s="29">
        <f t="shared" si="14"/>
        <v>371000</v>
      </c>
      <c r="O26" s="29">
        <f t="shared" si="14"/>
        <v>451208.33309999999</v>
      </c>
      <c r="P26" s="29">
        <f t="shared" si="14"/>
        <v>531416.66654999997</v>
      </c>
      <c r="Q26" s="29">
        <f t="shared" si="14"/>
        <v>611625</v>
      </c>
      <c r="R26" s="29">
        <f t="shared" si="14"/>
        <v>691833.33309999993</v>
      </c>
    </row>
    <row r="27" spans="1:18" ht="28.5" x14ac:dyDescent="0.45">
      <c r="A27" s="2" t="s">
        <v>316</v>
      </c>
      <c r="E27" s="29">
        <f>E$22+E$17*$E$11</f>
        <v>172195.625</v>
      </c>
      <c r="F27" s="29">
        <f t="shared" ref="F27:R27" si="15">F$22+F$17*$E$11</f>
        <v>250617.5</v>
      </c>
      <c r="G27" s="29">
        <f t="shared" si="15"/>
        <v>329039.375</v>
      </c>
      <c r="H27" s="29">
        <f t="shared" si="15"/>
        <v>407461.25</v>
      </c>
      <c r="I27" s="29">
        <f t="shared" si="15"/>
        <v>485883.125</v>
      </c>
      <c r="J27" s="29">
        <f t="shared" si="15"/>
        <v>564305</v>
      </c>
      <c r="L27" s="29">
        <f t="shared" si="15"/>
        <v>210732.08309999999</v>
      </c>
      <c r="M27" s="29">
        <f t="shared" si="15"/>
        <v>292799.79154999997</v>
      </c>
      <c r="N27" s="29">
        <f t="shared" si="15"/>
        <v>374867.5</v>
      </c>
      <c r="O27" s="29">
        <f t="shared" si="15"/>
        <v>456935.20809999999</v>
      </c>
      <c r="P27" s="29">
        <f t="shared" si="15"/>
        <v>539002.91654999997</v>
      </c>
      <c r="Q27" s="29">
        <f t="shared" si="15"/>
        <v>621070.625</v>
      </c>
      <c r="R27" s="29">
        <f t="shared" si="15"/>
        <v>703138.33309999993</v>
      </c>
    </row>
    <row r="28" spans="1:18" x14ac:dyDescent="0.45">
      <c r="A28" s="2"/>
    </row>
    <row r="29" spans="1:18" x14ac:dyDescent="0.4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4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4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45">
      <c r="A33" s="2" t="s">
        <v>308</v>
      </c>
      <c r="E33" s="7">
        <f t="shared" ref="E33:J33" si="19">PhiMayCanMang(E$17,$C$5/100, $D$5/100)*(1+$D$8)+ E$17*$E$14</f>
        <v>134951.94055</v>
      </c>
      <c r="F33" s="7">
        <f t="shared" si="19"/>
        <v>140828.64635</v>
      </c>
      <c r="G33" s="7">
        <f t="shared" si="19"/>
        <v>146705.35232500001</v>
      </c>
      <c r="H33" s="7">
        <f t="shared" si="19"/>
        <v>153034.99924999999</v>
      </c>
      <c r="I33" s="7">
        <f t="shared" si="19"/>
        <v>159364.64635</v>
      </c>
      <c r="J33" s="7">
        <f t="shared" si="19"/>
        <v>165241.35232500001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131050.98055000001</v>
      </c>
      <c r="N33" s="7">
        <f t="shared" si="20"/>
        <v>133315.68635</v>
      </c>
      <c r="O33" s="7">
        <f t="shared" si="20"/>
        <v>135580.39232500002</v>
      </c>
      <c r="P33" s="7">
        <f t="shared" si="20"/>
        <v>138298.03925</v>
      </c>
      <c r="Q33" s="7">
        <f t="shared" si="20"/>
        <v>141015.68635</v>
      </c>
      <c r="R33" s="7">
        <f t="shared" si="20"/>
        <v>143280.39232500002</v>
      </c>
    </row>
    <row r="34" spans="1:18" x14ac:dyDescent="0.45">
      <c r="A34" s="2" t="s">
        <v>317</v>
      </c>
      <c r="E34" s="7">
        <f t="shared" ref="E34:J34" si="21">E$33/E$16</f>
        <v>2699.0388109999999</v>
      </c>
      <c r="F34" s="7">
        <f t="shared" si="21"/>
        <v>1408.2864634999999</v>
      </c>
      <c r="G34" s="7">
        <f t="shared" si="21"/>
        <v>978.03568216666679</v>
      </c>
      <c r="H34" s="7">
        <f t="shared" si="21"/>
        <v>765.17499624999994</v>
      </c>
      <c r="I34" s="7">
        <f t="shared" si="21"/>
        <v>637.45858539999995</v>
      </c>
      <c r="J34" s="7">
        <f t="shared" si="21"/>
        <v>550.80450775000008</v>
      </c>
      <c r="L34" s="7"/>
      <c r="M34" s="7">
        <f t="shared" ref="M34:R34" si="22">M$17*$E$14/M$16</f>
        <v>78.019199999999998</v>
      </c>
      <c r="N34" s="7">
        <f t="shared" si="22"/>
        <v>75.129599999999996</v>
      </c>
      <c r="O34" s="7">
        <f t="shared" si="22"/>
        <v>74.166399999999996</v>
      </c>
      <c r="P34" s="7">
        <f t="shared" si="22"/>
        <v>73.684799999999996</v>
      </c>
      <c r="Q34" s="7">
        <f t="shared" si="22"/>
        <v>73.395839999999993</v>
      </c>
      <c r="R34" s="7">
        <f t="shared" si="22"/>
        <v>73.203199999999995</v>
      </c>
    </row>
    <row r="35" spans="1:18" x14ac:dyDescent="0.45">
      <c r="A35" s="2" t="s">
        <v>309</v>
      </c>
      <c r="E35" s="7">
        <f t="shared" ref="E35:J35" si="23">PhiMayCanMang(E$17*2,$C$5/100, $D$5/100)*(1+$D$8)+ E$17*$E$14*2</f>
        <v>141570.54765000002</v>
      </c>
      <c r="F35" s="7">
        <f t="shared" si="23"/>
        <v>153323.95925000001</v>
      </c>
      <c r="G35" s="7">
        <f t="shared" si="23"/>
        <v>165530.31232500001</v>
      </c>
      <c r="H35" s="7">
        <f t="shared" si="23"/>
        <v>177736.665225</v>
      </c>
      <c r="I35" s="7">
        <f t="shared" si="23"/>
        <v>189943.018125</v>
      </c>
      <c r="J35" s="7">
        <f t="shared" si="23"/>
        <v>201696.42989999999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133768.62765000001</v>
      </c>
      <c r="N35" s="7">
        <f t="shared" si="24"/>
        <v>138298.03925</v>
      </c>
      <c r="O35" s="7">
        <f t="shared" si="24"/>
        <v>143280.39232500002</v>
      </c>
      <c r="P35" s="7">
        <f t="shared" si="24"/>
        <v>148262.74522500002</v>
      </c>
      <c r="Q35" s="7">
        <f t="shared" si="24"/>
        <v>153245.09812500002</v>
      </c>
      <c r="R35" s="7">
        <f t="shared" si="24"/>
        <v>157774.5099</v>
      </c>
    </row>
    <row r="36" spans="1:18" x14ac:dyDescent="0.45">
      <c r="A36" s="2" t="s">
        <v>318</v>
      </c>
      <c r="E36" s="7">
        <f t="shared" ref="E36:J36" si="25">E$35/E$16</f>
        <v>2831.4109530000005</v>
      </c>
      <c r="F36" s="7">
        <f t="shared" si="25"/>
        <v>1533.2395925000001</v>
      </c>
      <c r="G36" s="7">
        <f t="shared" si="25"/>
        <v>1103.5354155</v>
      </c>
      <c r="H36" s="7">
        <f t="shared" si="25"/>
        <v>888.68332612500001</v>
      </c>
      <c r="I36" s="7">
        <f t="shared" si="25"/>
        <v>759.77207250000004</v>
      </c>
      <c r="J36" s="7">
        <f t="shared" si="25"/>
        <v>672.32143299999996</v>
      </c>
      <c r="M36" s="7">
        <f t="shared" ref="M36:R36" si="26">M$17*2*$E$14/M$16</f>
        <v>156.0384</v>
      </c>
      <c r="N36" s="7">
        <f t="shared" si="26"/>
        <v>150.25919999999999</v>
      </c>
      <c r="O36" s="7">
        <f t="shared" si="26"/>
        <v>148.33279999999999</v>
      </c>
      <c r="P36" s="7">
        <f t="shared" si="26"/>
        <v>147.36959999999999</v>
      </c>
      <c r="Q36" s="7">
        <f t="shared" si="26"/>
        <v>146.79167999999999</v>
      </c>
      <c r="R36" s="7">
        <f t="shared" si="26"/>
        <v>146.40639999999999</v>
      </c>
    </row>
    <row r="39" spans="1:18" ht="28.5" x14ac:dyDescent="0.45">
      <c r="A39" s="2" t="s">
        <v>366</v>
      </c>
      <c r="E39" s="7">
        <f t="shared" ref="E39:J39" si="27">E$26-MOD(E$26,1000)</f>
        <v>170000</v>
      </c>
      <c r="F39" s="7">
        <f t="shared" si="27"/>
        <v>246000</v>
      </c>
      <c r="G39" s="7">
        <f t="shared" si="27"/>
        <v>323000</v>
      </c>
      <c r="H39" s="7">
        <f t="shared" si="27"/>
        <v>399000</v>
      </c>
      <c r="I39" s="7">
        <f t="shared" si="27"/>
        <v>476000</v>
      </c>
      <c r="J39" s="7">
        <f t="shared" si="27"/>
        <v>553000</v>
      </c>
    </row>
    <row r="40" spans="1:18" ht="28.5" x14ac:dyDescent="0.45">
      <c r="A40" s="2" t="s">
        <v>367</v>
      </c>
      <c r="E40" s="7">
        <f t="shared" ref="E40:J40" si="28">E$27-MOD(E$27,1000)</f>
        <v>172000</v>
      </c>
      <c r="F40" s="7">
        <f t="shared" si="28"/>
        <v>250000</v>
      </c>
      <c r="G40" s="7">
        <f t="shared" si="28"/>
        <v>329000</v>
      </c>
      <c r="H40" s="7">
        <f t="shared" si="28"/>
        <v>407000</v>
      </c>
      <c r="I40" s="7">
        <f t="shared" si="28"/>
        <v>485000</v>
      </c>
      <c r="J40" s="7">
        <f t="shared" si="28"/>
        <v>564000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7" width="13.265625" bestFit="1" customWidth="1"/>
    <col min="8" max="10" width="15" bestFit="1" customWidth="1"/>
    <col min="12" max="12" width="15" bestFit="1" customWidth="1"/>
    <col min="13" max="16" width="13.3984375" bestFit="1" customWidth="1"/>
    <col min="17" max="18" width="15" bestFit="1" customWidth="1"/>
  </cols>
  <sheetData>
    <row r="1" spans="1:18" x14ac:dyDescent="0.45">
      <c r="A1" s="1" t="s">
        <v>322</v>
      </c>
    </row>
    <row r="2" spans="1:18" x14ac:dyDescent="0.45">
      <c r="A2" t="s">
        <v>289</v>
      </c>
      <c r="B2" s="35">
        <v>43609</v>
      </c>
    </row>
    <row r="3" spans="1:18" x14ac:dyDescent="0.45">
      <c r="B3" t="s">
        <v>206</v>
      </c>
      <c r="C3" t="s">
        <v>277</v>
      </c>
    </row>
    <row r="4" spans="1:18" x14ac:dyDescent="0.45">
      <c r="A4" t="s">
        <v>276</v>
      </c>
      <c r="B4">
        <v>21</v>
      </c>
      <c r="C4">
        <v>42</v>
      </c>
    </row>
    <row r="5" spans="1:18" ht="28.5" x14ac:dyDescent="0.4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45">
      <c r="B6" s="1"/>
      <c r="C6" t="s">
        <v>312</v>
      </c>
      <c r="D6">
        <f>$C$5/100*$D$5/100</f>
        <v>0.1376</v>
      </c>
      <c r="E6" s="2"/>
    </row>
    <row r="7" spans="1:18" x14ac:dyDescent="0.45">
      <c r="A7" t="s">
        <v>287</v>
      </c>
      <c r="D7" s="1">
        <v>1</v>
      </c>
      <c r="E7">
        <v>2</v>
      </c>
    </row>
    <row r="8" spans="1:18" x14ac:dyDescent="0.45">
      <c r="A8" t="s">
        <v>203</v>
      </c>
      <c r="D8" s="37">
        <v>0.75</v>
      </c>
      <c r="E8" s="38" t="s">
        <v>301</v>
      </c>
    </row>
    <row r="9" spans="1:18" x14ac:dyDescent="0.45">
      <c r="B9" t="s">
        <v>283</v>
      </c>
      <c r="C9" t="s">
        <v>284</v>
      </c>
      <c r="D9" t="s">
        <v>286</v>
      </c>
      <c r="E9" t="s">
        <v>285</v>
      </c>
    </row>
    <row r="10" spans="1:18" x14ac:dyDescent="0.4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4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45">
      <c r="E12" s="7"/>
    </row>
    <row r="13" spans="1:18" ht="28.5" x14ac:dyDescent="0.45">
      <c r="D13" t="s">
        <v>311</v>
      </c>
      <c r="E13" s="39" t="s">
        <v>314</v>
      </c>
    </row>
    <row r="14" spans="1:18" x14ac:dyDescent="0.4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45">
      <c r="L15" t="s">
        <v>319</v>
      </c>
    </row>
    <row r="16" spans="1:18" x14ac:dyDescent="0.4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28.5" x14ac:dyDescent="0.4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28.5" x14ac:dyDescent="0.4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45">
      <c r="A19" s="2" t="s">
        <v>292</v>
      </c>
      <c r="E19" s="36">
        <f>PhiInKM4M_BHR70(E$18)</f>
        <v>121400</v>
      </c>
      <c r="F19" s="36">
        <f t="shared" ref="F19:J19" si="4">PhiInKM4M_BHR70(F$18)</f>
        <v>156400</v>
      </c>
      <c r="G19" s="36">
        <f t="shared" si="4"/>
        <v>191400</v>
      </c>
      <c r="H19" s="36">
        <f t="shared" si="4"/>
        <v>226400</v>
      </c>
      <c r="I19" s="36">
        <f t="shared" si="4"/>
        <v>261400</v>
      </c>
      <c r="J19" s="36">
        <f t="shared" si="4"/>
        <v>331400</v>
      </c>
      <c r="L19" s="36">
        <f t="shared" ref="L19:R19" si="5">PhiMayInToner4M(L$18)</f>
        <v>59816.666599999997</v>
      </c>
      <c r="M19" s="36">
        <f t="shared" si="5"/>
        <v>133983.3333</v>
      </c>
      <c r="N19" s="36">
        <f t="shared" si="5"/>
        <v>171066.6666</v>
      </c>
      <c r="O19" s="36">
        <f t="shared" si="5"/>
        <v>208150</v>
      </c>
      <c r="P19" s="36">
        <f t="shared" si="5"/>
        <v>245233.3333</v>
      </c>
      <c r="Q19" s="36">
        <f t="shared" si="5"/>
        <v>282316.6666</v>
      </c>
      <c r="R19" s="36">
        <f t="shared" si="5"/>
        <v>356483.3333</v>
      </c>
    </row>
    <row r="20" spans="1:18" x14ac:dyDescent="0.45">
      <c r="A20" s="2" t="s">
        <v>300</v>
      </c>
      <c r="E20" s="36">
        <f>PhiInKM4M_BHR70(E$18*2)</f>
        <v>192800</v>
      </c>
      <c r="F20" s="36">
        <f t="shared" ref="F20:J20" si="6">PhiInKM4M_BHR70(F$18*2)</f>
        <v>262800</v>
      </c>
      <c r="G20" s="36">
        <f t="shared" si="6"/>
        <v>332800</v>
      </c>
      <c r="H20" s="36">
        <f t="shared" si="6"/>
        <v>402800</v>
      </c>
      <c r="I20" s="36">
        <f t="shared" si="6"/>
        <v>472800</v>
      </c>
      <c r="J20" s="36">
        <f t="shared" si="6"/>
        <v>612800</v>
      </c>
      <c r="L20" s="36">
        <f t="shared" ref="L20:R20" si="7">L$19*2</f>
        <v>119633.33319999999</v>
      </c>
      <c r="M20" s="36">
        <f t="shared" si="7"/>
        <v>267966.6666</v>
      </c>
      <c r="N20" s="36">
        <f t="shared" si="7"/>
        <v>342133.33319999999</v>
      </c>
      <c r="O20" s="36">
        <f t="shared" si="7"/>
        <v>416300</v>
      </c>
      <c r="P20" s="36">
        <f t="shared" si="7"/>
        <v>490466.6666</v>
      </c>
      <c r="Q20" s="36">
        <f t="shared" si="7"/>
        <v>564633.33319999999</v>
      </c>
      <c r="R20" s="36">
        <f t="shared" si="7"/>
        <v>712966.6666</v>
      </c>
    </row>
    <row r="21" spans="1:18" x14ac:dyDescent="0.45">
      <c r="A21" s="2" t="s">
        <v>293</v>
      </c>
      <c r="E21" s="29">
        <f t="shared" ref="E21:J21" si="8">E$19*(1+$D$8)</f>
        <v>212450</v>
      </c>
      <c r="F21" s="29">
        <f t="shared" si="8"/>
        <v>273700</v>
      </c>
      <c r="G21" s="29">
        <f t="shared" si="8"/>
        <v>334950</v>
      </c>
      <c r="H21" s="29">
        <f t="shared" si="8"/>
        <v>396200</v>
      </c>
      <c r="I21" s="29">
        <f t="shared" si="8"/>
        <v>457450</v>
      </c>
      <c r="J21" s="29">
        <f t="shared" si="8"/>
        <v>579950</v>
      </c>
      <c r="L21" s="29">
        <f>L$19*(1+$D$8)</f>
        <v>104679.16654999999</v>
      </c>
      <c r="M21" s="29">
        <f t="shared" ref="M21:R21" si="9">M$19*(1+$D$8)</f>
        <v>234470.83327499998</v>
      </c>
      <c r="N21" s="29">
        <f t="shared" si="9"/>
        <v>299366.66654999997</v>
      </c>
      <c r="O21" s="29">
        <f t="shared" si="9"/>
        <v>364262.5</v>
      </c>
      <c r="P21" s="29">
        <f t="shared" si="9"/>
        <v>429158.33327499998</v>
      </c>
      <c r="Q21" s="29">
        <f t="shared" si="9"/>
        <v>494054.16654999997</v>
      </c>
      <c r="R21" s="29">
        <f t="shared" si="9"/>
        <v>623845.83327499998</v>
      </c>
    </row>
    <row r="22" spans="1:18" x14ac:dyDescent="0.45">
      <c r="A22" s="2" t="s">
        <v>296</v>
      </c>
      <c r="E22" s="29">
        <f t="shared" ref="E22:J22" si="10">E$20*(1+$D$8)</f>
        <v>337400</v>
      </c>
      <c r="F22" s="29">
        <f t="shared" si="10"/>
        <v>459900</v>
      </c>
      <c r="G22" s="29">
        <f t="shared" si="10"/>
        <v>582400</v>
      </c>
      <c r="H22" s="29">
        <f t="shared" si="10"/>
        <v>704900</v>
      </c>
      <c r="I22" s="29">
        <f t="shared" si="10"/>
        <v>827400</v>
      </c>
      <c r="J22" s="29">
        <f t="shared" si="10"/>
        <v>1072400</v>
      </c>
      <c r="L22" s="29">
        <f>L$20*(1+$D$8)</f>
        <v>209358.33309999999</v>
      </c>
      <c r="M22" s="29">
        <f t="shared" ref="M22:R22" si="11">M$20*(1+$D$8)</f>
        <v>468941.66654999997</v>
      </c>
      <c r="N22" s="29">
        <f t="shared" si="11"/>
        <v>598733.33309999993</v>
      </c>
      <c r="O22" s="29">
        <f t="shared" si="11"/>
        <v>728525</v>
      </c>
      <c r="P22" s="29">
        <f t="shared" si="11"/>
        <v>858316.66654999997</v>
      </c>
      <c r="Q22" s="29">
        <f t="shared" si="11"/>
        <v>988108.33309999993</v>
      </c>
      <c r="R22" s="29">
        <f t="shared" si="11"/>
        <v>1247691.66655</v>
      </c>
    </row>
    <row r="23" spans="1:18" x14ac:dyDescent="0.45">
      <c r="A23" s="2" t="s">
        <v>288</v>
      </c>
      <c r="E23" s="7">
        <f>E$21/E$17</f>
        <v>4165.6862745098042</v>
      </c>
      <c r="F23" s="7">
        <f t="shared" ref="F23:R23" si="12">F$21/F$17</f>
        <v>3601.3157894736842</v>
      </c>
      <c r="G23" s="7">
        <f t="shared" si="12"/>
        <v>3316.3366336633662</v>
      </c>
      <c r="H23" s="7">
        <f t="shared" si="12"/>
        <v>3144.4444444444443</v>
      </c>
      <c r="I23" s="7">
        <f t="shared" si="12"/>
        <v>3029.4701986754967</v>
      </c>
      <c r="J23" s="7">
        <f t="shared" si="12"/>
        <v>2885.323383084577</v>
      </c>
      <c r="L23" s="7">
        <f t="shared" si="12"/>
        <v>104679.16654999999</v>
      </c>
      <c r="M23" s="7">
        <f t="shared" si="12"/>
        <v>4597.4673191176471</v>
      </c>
      <c r="N23" s="7">
        <f t="shared" si="12"/>
        <v>3939.0350861842103</v>
      </c>
      <c r="O23" s="7">
        <f t="shared" si="12"/>
        <v>3606.5594059405939</v>
      </c>
      <c r="P23" s="7">
        <f t="shared" si="12"/>
        <v>3406.0185180555554</v>
      </c>
      <c r="Q23" s="7">
        <f t="shared" si="12"/>
        <v>3271.881897682119</v>
      </c>
      <c r="R23" s="7">
        <f t="shared" si="12"/>
        <v>3103.7106133084576</v>
      </c>
    </row>
    <row r="24" spans="1:18" x14ac:dyDescent="0.45">
      <c r="A24" s="2" t="s">
        <v>290</v>
      </c>
      <c r="E24" s="7">
        <f>E$21/E$18</f>
        <v>2082.8431372549021</v>
      </c>
      <c r="F24" s="7">
        <f t="shared" ref="F24:R24" si="13">F$21/F$18</f>
        <v>1800.6578947368421</v>
      </c>
      <c r="G24" s="7">
        <f t="shared" si="13"/>
        <v>1658.1683168316831</v>
      </c>
      <c r="H24" s="7">
        <f t="shared" si="13"/>
        <v>1572.2222222222222</v>
      </c>
      <c r="I24" s="7">
        <f t="shared" si="13"/>
        <v>1514.7350993377484</v>
      </c>
      <c r="J24" s="7">
        <f t="shared" si="13"/>
        <v>1442.6616915422885</v>
      </c>
      <c r="L24" s="7">
        <f t="shared" si="13"/>
        <v>52339.583274999997</v>
      </c>
      <c r="M24" s="7">
        <f t="shared" si="13"/>
        <v>2298.7336595588235</v>
      </c>
      <c r="N24" s="7">
        <f t="shared" si="13"/>
        <v>1969.5175430921051</v>
      </c>
      <c r="O24" s="7">
        <f t="shared" si="13"/>
        <v>1803.279702970297</v>
      </c>
      <c r="P24" s="7">
        <f t="shared" si="13"/>
        <v>1703.0092590277777</v>
      </c>
      <c r="Q24" s="7">
        <f t="shared" si="13"/>
        <v>1635.9409488410595</v>
      </c>
      <c r="R24" s="7">
        <f t="shared" si="13"/>
        <v>1551.8553066542288</v>
      </c>
    </row>
    <row r="25" spans="1:18" x14ac:dyDescent="0.4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28.5" x14ac:dyDescent="0.45">
      <c r="A26" s="2" t="s">
        <v>316</v>
      </c>
      <c r="E26" s="29">
        <f>E$22+E$17*$E$10</f>
        <v>407461.25</v>
      </c>
      <c r="F26" s="29">
        <f t="shared" ref="F26:R26" si="14">F$22+F$17*$E$10</f>
        <v>564305</v>
      </c>
      <c r="G26" s="29">
        <f t="shared" si="14"/>
        <v>721148.75</v>
      </c>
      <c r="H26" s="29">
        <f t="shared" si="14"/>
        <v>877992.5</v>
      </c>
      <c r="I26" s="29">
        <f t="shared" si="14"/>
        <v>1034836.25</v>
      </c>
      <c r="J26" s="29">
        <f t="shared" si="14"/>
        <v>1348523.75</v>
      </c>
      <c r="L26" s="29">
        <f t="shared" si="14"/>
        <v>210732.08309999999</v>
      </c>
      <c r="M26" s="29">
        <f t="shared" si="14"/>
        <v>539002.91654999997</v>
      </c>
      <c r="N26" s="29">
        <f t="shared" si="14"/>
        <v>703138.33309999993</v>
      </c>
      <c r="O26" s="29">
        <f t="shared" si="14"/>
        <v>867273.75</v>
      </c>
      <c r="P26" s="29">
        <f t="shared" si="14"/>
        <v>1031409.16655</v>
      </c>
      <c r="Q26" s="29">
        <f t="shared" si="14"/>
        <v>1195544.5830999999</v>
      </c>
      <c r="R26" s="29">
        <f t="shared" si="14"/>
        <v>1523815.41655</v>
      </c>
    </row>
    <row r="27" spans="1:18" ht="28.5" x14ac:dyDescent="0.45">
      <c r="A27" s="2" t="s">
        <v>323</v>
      </c>
      <c r="E27" s="29">
        <f>E$22+E$17*$E$11</f>
        <v>429327.5</v>
      </c>
      <c r="F27" s="29">
        <f t="shared" ref="F27:R27" si="15">F$22+F$17*$E$11</f>
        <v>596890</v>
      </c>
      <c r="G27" s="29">
        <f t="shared" si="15"/>
        <v>764452.5</v>
      </c>
      <c r="H27" s="29">
        <f t="shared" si="15"/>
        <v>932015</v>
      </c>
      <c r="I27" s="29">
        <f t="shared" si="15"/>
        <v>1099577.5</v>
      </c>
      <c r="J27" s="29">
        <f t="shared" si="15"/>
        <v>1434702.5</v>
      </c>
      <c r="L27" s="29">
        <f t="shared" si="15"/>
        <v>211160.83309999999</v>
      </c>
      <c r="M27" s="29">
        <f t="shared" si="15"/>
        <v>560869.16654999997</v>
      </c>
      <c r="N27" s="29">
        <f t="shared" si="15"/>
        <v>735723.33309999993</v>
      </c>
      <c r="O27" s="29">
        <f t="shared" si="15"/>
        <v>910577.5</v>
      </c>
      <c r="P27" s="29">
        <f t="shared" si="15"/>
        <v>1085431.66655</v>
      </c>
      <c r="Q27" s="29">
        <f t="shared" si="15"/>
        <v>1260285.8330999999</v>
      </c>
      <c r="R27" s="29">
        <f t="shared" si="15"/>
        <v>1609994.16655</v>
      </c>
    </row>
    <row r="28" spans="1:18" x14ac:dyDescent="0.45">
      <c r="A28" s="2"/>
    </row>
    <row r="29" spans="1:18" x14ac:dyDescent="0.45">
      <c r="A29" s="2" t="s">
        <v>305</v>
      </c>
      <c r="E29" s="7">
        <f t="shared" ref="E29:J29" si="16">PhiMayCanGap(E$16)*(1+$D$8)</f>
        <v>113385.416725</v>
      </c>
      <c r="F29" s="7">
        <f t="shared" si="16"/>
        <v>116119.791725</v>
      </c>
      <c r="G29" s="7">
        <f t="shared" si="16"/>
        <v>118854.166725</v>
      </c>
      <c r="H29" s="7">
        <f t="shared" si="16"/>
        <v>121588.541725</v>
      </c>
      <c r="I29" s="7">
        <f t="shared" si="16"/>
        <v>124322.916725</v>
      </c>
      <c r="J29" s="7">
        <f t="shared" si="16"/>
        <v>129791.666725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45">
      <c r="A30" s="2" t="s">
        <v>306</v>
      </c>
      <c r="E30" s="7">
        <f>E$29*1.2</f>
        <v>136062.50007000001</v>
      </c>
      <c r="F30" s="7">
        <f t="shared" ref="F30:R31" si="18">F$29*1.2</f>
        <v>139343.75007000001</v>
      </c>
      <c r="G30" s="7">
        <f t="shared" si="18"/>
        <v>142625.00007000001</v>
      </c>
      <c r="H30" s="7">
        <f t="shared" si="18"/>
        <v>145906.25007000001</v>
      </c>
      <c r="I30" s="7">
        <f t="shared" si="18"/>
        <v>149187.50007000001</v>
      </c>
      <c r="J30" s="7">
        <f t="shared" si="18"/>
        <v>155750.00007000001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45">
      <c r="A31" s="2" t="s">
        <v>307</v>
      </c>
      <c r="E31" s="7">
        <f>E$29*1.2</f>
        <v>136062.50007000001</v>
      </c>
      <c r="F31" s="7">
        <f t="shared" si="18"/>
        <v>139343.75007000001</v>
      </c>
      <c r="G31" s="7">
        <f t="shared" si="18"/>
        <v>142625.00007000001</v>
      </c>
      <c r="H31" s="7">
        <f t="shared" si="18"/>
        <v>145906.25007000001</v>
      </c>
      <c r="I31" s="7">
        <f t="shared" si="18"/>
        <v>149187.50007000001</v>
      </c>
      <c r="J31" s="7">
        <f t="shared" si="18"/>
        <v>155750.00007000001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45">
      <c r="A33" s="2" t="s">
        <v>308</v>
      </c>
      <c r="E33" s="7">
        <f t="shared" ref="E33:J33" si="19">PhiMayCanMang(E$17,$C$5/100, $D$5/100)*(1+$D$8)+ E$17*$E$14</f>
        <v>153034.99924999999</v>
      </c>
      <c r="F33" s="7">
        <f t="shared" si="19"/>
        <v>165241.35232500001</v>
      </c>
      <c r="G33" s="7">
        <f t="shared" si="19"/>
        <v>176994.7641</v>
      </c>
      <c r="H33" s="7">
        <f t="shared" si="19"/>
        <v>189201.117</v>
      </c>
      <c r="I33" s="7">
        <f t="shared" si="19"/>
        <v>201407.4699</v>
      </c>
      <c r="J33" s="7">
        <f t="shared" si="19"/>
        <v>225367.23457499998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138298.03925</v>
      </c>
      <c r="N33" s="7">
        <f t="shared" si="20"/>
        <v>143280.39232500002</v>
      </c>
      <c r="O33" s="7">
        <f t="shared" si="20"/>
        <v>147809.80410000001</v>
      </c>
      <c r="P33" s="7">
        <f t="shared" si="20"/>
        <v>152792.15700000001</v>
      </c>
      <c r="Q33" s="7">
        <f t="shared" si="20"/>
        <v>157774.5099</v>
      </c>
      <c r="R33" s="7">
        <f t="shared" si="20"/>
        <v>167286.27457499999</v>
      </c>
    </row>
    <row r="34" spans="1:18" x14ac:dyDescent="0.45">
      <c r="A34" s="2" t="s">
        <v>317</v>
      </c>
      <c r="E34" s="7">
        <f t="shared" ref="E34:J34" si="21">E$33/E$16</f>
        <v>3060.6999849999997</v>
      </c>
      <c r="F34" s="7">
        <f t="shared" si="21"/>
        <v>2203.2180310000003</v>
      </c>
      <c r="G34" s="7">
        <f t="shared" si="21"/>
        <v>1769.947641</v>
      </c>
      <c r="H34" s="7">
        <f t="shared" si="21"/>
        <v>1513.6089360000001</v>
      </c>
      <c r="I34" s="7">
        <f t="shared" si="21"/>
        <v>1342.7164660000001</v>
      </c>
      <c r="J34" s="7">
        <f t="shared" si="21"/>
        <v>1126.8361728749999</v>
      </c>
      <c r="L34" s="7"/>
      <c r="M34" s="7">
        <f t="shared" ref="M34:R34" si="22">M$17*$E$14/M$16</f>
        <v>294.73919999999998</v>
      </c>
      <c r="N34" s="7">
        <f t="shared" si="22"/>
        <v>292.81279999999998</v>
      </c>
      <c r="O34" s="7">
        <f t="shared" si="22"/>
        <v>291.84960000000001</v>
      </c>
      <c r="P34" s="7">
        <f t="shared" si="22"/>
        <v>291.27168</v>
      </c>
      <c r="Q34" s="7">
        <f t="shared" si="22"/>
        <v>290.88639999999998</v>
      </c>
      <c r="R34" s="7">
        <f t="shared" si="22"/>
        <v>290.40480000000002</v>
      </c>
    </row>
    <row r="35" spans="1:18" x14ac:dyDescent="0.45">
      <c r="A35" s="2" t="s">
        <v>309</v>
      </c>
      <c r="E35" s="7">
        <f t="shared" ref="E35:J35" si="23">PhiMayCanMang(E$17*2,$C$5/100, $D$5/100)*(1+$D$8)+ E$17*$E$14*2</f>
        <v>177736.665225</v>
      </c>
      <c r="F35" s="7">
        <f t="shared" si="23"/>
        <v>201696.42989999999</v>
      </c>
      <c r="G35" s="7">
        <f t="shared" si="23"/>
        <v>226109.13587499998</v>
      </c>
      <c r="H35" s="7">
        <f t="shared" si="23"/>
        <v>250068.90055000002</v>
      </c>
      <c r="I35" s="7">
        <f t="shared" si="23"/>
        <v>274481.60635000002</v>
      </c>
      <c r="J35" s="7">
        <f t="shared" si="23"/>
        <v>322854.07699999999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148262.74522500002</v>
      </c>
      <c r="N35" s="7">
        <f t="shared" si="24"/>
        <v>157774.5099</v>
      </c>
      <c r="O35" s="7">
        <f t="shared" si="24"/>
        <v>167739.21587499999</v>
      </c>
      <c r="P35" s="7">
        <f t="shared" si="24"/>
        <v>177250.98055000001</v>
      </c>
      <c r="Q35" s="7">
        <f t="shared" si="24"/>
        <v>187215.68635</v>
      </c>
      <c r="R35" s="7">
        <f t="shared" si="24"/>
        <v>206692.15700000001</v>
      </c>
    </row>
    <row r="36" spans="1:18" x14ac:dyDescent="0.45">
      <c r="A36" s="2" t="s">
        <v>318</v>
      </c>
      <c r="E36" s="7">
        <f t="shared" ref="E36:J36" si="25">E$35/E$16</f>
        <v>3554.7333045</v>
      </c>
      <c r="F36" s="7">
        <f t="shared" si="25"/>
        <v>2689.2857319999998</v>
      </c>
      <c r="G36" s="7">
        <f t="shared" si="25"/>
        <v>2261.0913587499999</v>
      </c>
      <c r="H36" s="7">
        <f t="shared" si="25"/>
        <v>2000.5512044000002</v>
      </c>
      <c r="I36" s="7">
        <f t="shared" si="25"/>
        <v>1829.8773756666667</v>
      </c>
      <c r="J36" s="7">
        <f t="shared" si="25"/>
        <v>1614.270385</v>
      </c>
      <c r="M36" s="7">
        <f t="shared" ref="M36:R36" si="26">M$17*2*$E$14/M$16</f>
        <v>589.47839999999997</v>
      </c>
      <c r="N36" s="7">
        <f t="shared" si="26"/>
        <v>585.62559999999996</v>
      </c>
      <c r="O36" s="7">
        <f t="shared" si="26"/>
        <v>583.69920000000002</v>
      </c>
      <c r="P36" s="7">
        <f t="shared" si="26"/>
        <v>582.54336000000001</v>
      </c>
      <c r="Q36" s="7">
        <f t="shared" si="26"/>
        <v>581.77279999999996</v>
      </c>
      <c r="R36" s="7">
        <f t="shared" si="26"/>
        <v>580.80960000000005</v>
      </c>
    </row>
    <row r="39" spans="1:18" ht="28.5" x14ac:dyDescent="0.45">
      <c r="A39" s="2" t="s">
        <v>366</v>
      </c>
      <c r="E39" s="7">
        <f t="shared" ref="E39:J39" si="27">E$26-MOD(E$26,1000)</f>
        <v>407000</v>
      </c>
      <c r="F39" s="7">
        <f t="shared" si="27"/>
        <v>564000</v>
      </c>
      <c r="G39" s="7">
        <f t="shared" si="27"/>
        <v>721000</v>
      </c>
      <c r="H39" s="7">
        <f t="shared" si="27"/>
        <v>877000</v>
      </c>
      <c r="I39" s="7">
        <f t="shared" si="27"/>
        <v>1034000</v>
      </c>
      <c r="J39" s="7">
        <f t="shared" si="27"/>
        <v>1348000</v>
      </c>
    </row>
    <row r="40" spans="1:18" ht="28.5" x14ac:dyDescent="0.45">
      <c r="A40" s="2" t="s">
        <v>367</v>
      </c>
      <c r="E40" s="7">
        <f t="shared" ref="E40:J40" si="28">E$27-MOD(E$27,1000)</f>
        <v>429000</v>
      </c>
      <c r="F40" s="7">
        <f t="shared" si="28"/>
        <v>596000</v>
      </c>
      <c r="G40" s="7">
        <f t="shared" si="28"/>
        <v>764000</v>
      </c>
      <c r="H40" s="7">
        <f t="shared" si="28"/>
        <v>932000</v>
      </c>
      <c r="I40" s="7">
        <f t="shared" si="28"/>
        <v>1099000</v>
      </c>
      <c r="J40" s="7">
        <f t="shared" si="28"/>
        <v>1434000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0" workbookViewId="0">
      <selection activeCell="C14" sqref="C14"/>
    </sheetView>
  </sheetViews>
  <sheetFormatPr defaultRowHeight="14.25" x14ac:dyDescent="0.45"/>
  <cols>
    <col min="1" max="1" width="22.3984375" bestFit="1" customWidth="1"/>
    <col min="2" max="2" width="14.59765625" customWidth="1"/>
    <col min="3" max="3" width="14.265625" bestFit="1" customWidth="1"/>
    <col min="4" max="4" width="15.86328125" bestFit="1" customWidth="1"/>
    <col min="5" max="5" width="18.265625" bestFit="1" customWidth="1"/>
    <col min="6" max="6" width="13.265625" bestFit="1" customWidth="1"/>
    <col min="7" max="10" width="15" bestFit="1" customWidth="1"/>
    <col min="12" max="12" width="15" bestFit="1" customWidth="1"/>
    <col min="13" max="13" width="13.3984375" bestFit="1" customWidth="1"/>
    <col min="14" max="18" width="15" bestFit="1" customWidth="1"/>
  </cols>
  <sheetData>
    <row r="1" spans="1:18" x14ac:dyDescent="0.45">
      <c r="A1" s="1" t="s">
        <v>322</v>
      </c>
    </row>
    <row r="2" spans="1:18" x14ac:dyDescent="0.45">
      <c r="A2" t="s">
        <v>289</v>
      </c>
      <c r="B2" s="35">
        <v>43609</v>
      </c>
    </row>
    <row r="3" spans="1:18" x14ac:dyDescent="0.45">
      <c r="B3" t="s">
        <v>206</v>
      </c>
      <c r="C3" t="s">
        <v>277</v>
      </c>
    </row>
    <row r="4" spans="1:18" x14ac:dyDescent="0.45">
      <c r="A4" t="s">
        <v>276</v>
      </c>
      <c r="B4">
        <v>32</v>
      </c>
      <c r="C4">
        <v>63</v>
      </c>
    </row>
    <row r="5" spans="1:18" ht="28.5" x14ac:dyDescent="0.4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45">
      <c r="B6" s="1"/>
      <c r="C6" t="s">
        <v>312</v>
      </c>
      <c r="D6">
        <f>$C$5/100*$D$5/100</f>
        <v>0.20800000000000002</v>
      </c>
      <c r="E6" s="2"/>
    </row>
    <row r="7" spans="1:18" x14ac:dyDescent="0.45">
      <c r="A7" t="s">
        <v>287</v>
      </c>
      <c r="D7" s="1">
        <v>1</v>
      </c>
      <c r="E7">
        <v>3</v>
      </c>
    </row>
    <row r="8" spans="1:18" x14ac:dyDescent="0.45">
      <c r="A8" t="s">
        <v>203</v>
      </c>
      <c r="D8" s="37">
        <v>0.75</v>
      </c>
      <c r="E8" s="38" t="s">
        <v>301</v>
      </c>
    </row>
    <row r="9" spans="1:18" x14ac:dyDescent="0.45">
      <c r="B9" t="s">
        <v>283</v>
      </c>
      <c r="C9" t="s">
        <v>284</v>
      </c>
      <c r="D9" t="s">
        <v>286</v>
      </c>
      <c r="E9" t="s">
        <v>285</v>
      </c>
    </row>
    <row r="10" spans="1:18" x14ac:dyDescent="0.4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4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45">
      <c r="E12" s="7"/>
    </row>
    <row r="13" spans="1:18" ht="28.5" x14ac:dyDescent="0.45">
      <c r="D13" t="s">
        <v>311</v>
      </c>
      <c r="E13" s="39" t="s">
        <v>314</v>
      </c>
    </row>
    <row r="14" spans="1:18" x14ac:dyDescent="0.4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45">
      <c r="L15" t="s">
        <v>319</v>
      </c>
    </row>
    <row r="16" spans="1:18" x14ac:dyDescent="0.4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28.5" x14ac:dyDescent="0.4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28.5" x14ac:dyDescent="0.4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45">
      <c r="A19" s="2" t="s">
        <v>292</v>
      </c>
      <c r="E19" s="36">
        <f>PhiInKM4M_BHR70(E$18)</f>
        <v>104600</v>
      </c>
      <c r="F19" s="36">
        <f t="shared" ref="F19:J19" si="4">PhiInKM4M_BHR70(F$18)</f>
        <v>157100</v>
      </c>
      <c r="G19" s="36">
        <f t="shared" si="4"/>
        <v>209600</v>
      </c>
      <c r="H19" s="36">
        <f t="shared" si="4"/>
        <v>262100</v>
      </c>
      <c r="I19" s="36">
        <f t="shared" si="4"/>
        <v>314600</v>
      </c>
      <c r="J19" s="36">
        <f t="shared" si="4"/>
        <v>367100</v>
      </c>
      <c r="L19" s="36">
        <f t="shared" ref="L19:R19" si="5">PhiMayInToner4M(L$18)</f>
        <v>60558.333299999998</v>
      </c>
      <c r="M19" s="36">
        <f t="shared" si="5"/>
        <v>171808.3333</v>
      </c>
      <c r="N19" s="36">
        <f t="shared" si="5"/>
        <v>227433.3333</v>
      </c>
      <c r="O19" s="36">
        <f t="shared" si="5"/>
        <v>283058.3333</v>
      </c>
      <c r="P19" s="36">
        <f t="shared" si="5"/>
        <v>338683.3333</v>
      </c>
      <c r="Q19" s="36">
        <f t="shared" si="5"/>
        <v>394308.3333</v>
      </c>
      <c r="R19" s="36">
        <f t="shared" si="5"/>
        <v>505558.3333</v>
      </c>
    </row>
    <row r="20" spans="1:18" x14ac:dyDescent="0.45">
      <c r="A20" s="2" t="s">
        <v>300</v>
      </c>
      <c r="E20" s="36">
        <f>PhiInKM4M_BHR70(E$18*2)</f>
        <v>159200</v>
      </c>
      <c r="F20" s="36">
        <f t="shared" ref="F20:J20" si="6">PhiInKM4M_BHR70(F$18*2)</f>
        <v>264200</v>
      </c>
      <c r="G20" s="36">
        <f t="shared" si="6"/>
        <v>369200</v>
      </c>
      <c r="H20" s="36">
        <f t="shared" si="6"/>
        <v>474200</v>
      </c>
      <c r="I20" s="36">
        <f t="shared" si="6"/>
        <v>579200</v>
      </c>
      <c r="J20" s="36">
        <f t="shared" si="6"/>
        <v>684200</v>
      </c>
      <c r="L20" s="36">
        <f t="shared" ref="L20:R20" si="7">L$19*2</f>
        <v>121116.6666</v>
      </c>
      <c r="M20" s="36">
        <f t="shared" si="7"/>
        <v>343616.6666</v>
      </c>
      <c r="N20" s="36">
        <f t="shared" si="7"/>
        <v>454866.6666</v>
      </c>
      <c r="O20" s="36">
        <f t="shared" si="7"/>
        <v>566116.6666</v>
      </c>
      <c r="P20" s="36">
        <f t="shared" si="7"/>
        <v>677366.6666</v>
      </c>
      <c r="Q20" s="36">
        <f t="shared" si="7"/>
        <v>788616.6666</v>
      </c>
      <c r="R20" s="36">
        <f t="shared" si="7"/>
        <v>1011116.6666</v>
      </c>
    </row>
    <row r="21" spans="1:18" x14ac:dyDescent="0.45">
      <c r="A21" s="2" t="s">
        <v>293</v>
      </c>
      <c r="E21" s="29">
        <f t="shared" ref="E21:J21" si="8">E$19*(1+$D$8)</f>
        <v>183050</v>
      </c>
      <c r="F21" s="29">
        <f t="shared" si="8"/>
        <v>274925</v>
      </c>
      <c r="G21" s="29">
        <f t="shared" si="8"/>
        <v>366800</v>
      </c>
      <c r="H21" s="29">
        <f t="shared" si="8"/>
        <v>458675</v>
      </c>
      <c r="I21" s="29">
        <f t="shared" si="8"/>
        <v>550550</v>
      </c>
      <c r="J21" s="29">
        <f t="shared" si="8"/>
        <v>642425</v>
      </c>
      <c r="L21" s="29">
        <f>L$19*(1+$D$8)</f>
        <v>105977.083275</v>
      </c>
      <c r="M21" s="29">
        <f t="shared" ref="M21:R21" si="9">M$19*(1+$D$8)</f>
        <v>300664.58327499998</v>
      </c>
      <c r="N21" s="29">
        <f t="shared" si="9"/>
        <v>398008.33327499998</v>
      </c>
      <c r="O21" s="29">
        <f t="shared" si="9"/>
        <v>495352.08327499998</v>
      </c>
      <c r="P21" s="29">
        <f t="shared" si="9"/>
        <v>592695.83327499998</v>
      </c>
      <c r="Q21" s="29">
        <f t="shared" si="9"/>
        <v>690039.58327499998</v>
      </c>
      <c r="R21" s="29">
        <f t="shared" si="9"/>
        <v>884727.08327499998</v>
      </c>
    </row>
    <row r="22" spans="1:18" x14ac:dyDescent="0.45">
      <c r="A22" s="2" t="s">
        <v>296</v>
      </c>
      <c r="E22" s="29">
        <f t="shared" ref="E22:J22" si="10">E$20*(1+$D$8)</f>
        <v>278600</v>
      </c>
      <c r="F22" s="29">
        <f t="shared" si="10"/>
        <v>462350</v>
      </c>
      <c r="G22" s="29">
        <f t="shared" si="10"/>
        <v>646100</v>
      </c>
      <c r="H22" s="29">
        <f t="shared" si="10"/>
        <v>829850</v>
      </c>
      <c r="I22" s="29">
        <f t="shared" si="10"/>
        <v>1013600</v>
      </c>
      <c r="J22" s="29">
        <f t="shared" si="10"/>
        <v>1197350</v>
      </c>
      <c r="L22" s="29">
        <f>L$20*(1+$D$8)</f>
        <v>211954.16654999999</v>
      </c>
      <c r="M22" s="29">
        <f t="shared" ref="M22:R22" si="11">M$20*(1+$D$8)</f>
        <v>601329.16654999997</v>
      </c>
      <c r="N22" s="29">
        <f t="shared" si="11"/>
        <v>796016.66654999997</v>
      </c>
      <c r="O22" s="29">
        <f t="shared" si="11"/>
        <v>990704.16654999997</v>
      </c>
      <c r="P22" s="29">
        <f t="shared" si="11"/>
        <v>1185391.66655</v>
      </c>
      <c r="Q22" s="29">
        <f t="shared" si="11"/>
        <v>1380079.16655</v>
      </c>
      <c r="R22" s="29">
        <f t="shared" si="11"/>
        <v>1769454.16655</v>
      </c>
    </row>
    <row r="23" spans="1:18" x14ac:dyDescent="0.45">
      <c r="A23" s="2" t="s">
        <v>288</v>
      </c>
      <c r="E23" s="7">
        <f>E$21/E$17</f>
        <v>7040.3846153846152</v>
      </c>
      <c r="F23" s="7">
        <f t="shared" ref="F23:R23" si="12">F$21/F$17</f>
        <v>5390.6862745098042</v>
      </c>
      <c r="G23" s="7">
        <f t="shared" si="12"/>
        <v>4826.3157894736842</v>
      </c>
      <c r="H23" s="7">
        <f t="shared" si="12"/>
        <v>4541.3366336633662</v>
      </c>
      <c r="I23" s="7">
        <f t="shared" si="12"/>
        <v>4369.4444444444443</v>
      </c>
      <c r="J23" s="7">
        <f t="shared" si="12"/>
        <v>4254.4701986754962</v>
      </c>
      <c r="L23" s="7">
        <f t="shared" si="12"/>
        <v>105977.083275</v>
      </c>
      <c r="M23" s="7">
        <f t="shared" si="12"/>
        <v>5895.3839857843132</v>
      </c>
      <c r="N23" s="7">
        <f t="shared" si="12"/>
        <v>5236.9517536184212</v>
      </c>
      <c r="O23" s="7">
        <f t="shared" si="12"/>
        <v>4904.4760720297027</v>
      </c>
      <c r="P23" s="7">
        <f t="shared" si="12"/>
        <v>4703.9351847222224</v>
      </c>
      <c r="Q23" s="7">
        <f t="shared" si="12"/>
        <v>4569.7985647350988</v>
      </c>
      <c r="R23" s="7">
        <f t="shared" si="12"/>
        <v>4401.6272799751241</v>
      </c>
    </row>
    <row r="24" spans="1:18" x14ac:dyDescent="0.45">
      <c r="A24" s="2" t="s">
        <v>290</v>
      </c>
      <c r="E24" s="7">
        <f>E$21/E$18</f>
        <v>2346.7948717948716</v>
      </c>
      <c r="F24" s="7">
        <f t="shared" ref="F24:R24" si="13">F$21/F$18</f>
        <v>1796.8954248366013</v>
      </c>
      <c r="G24" s="7">
        <f t="shared" si="13"/>
        <v>1608.7719298245613</v>
      </c>
      <c r="H24" s="7">
        <f t="shared" si="13"/>
        <v>1513.7788778877887</v>
      </c>
      <c r="I24" s="7">
        <f t="shared" si="13"/>
        <v>1456.4814814814815</v>
      </c>
      <c r="J24" s="7">
        <f t="shared" si="13"/>
        <v>1418.1567328918322</v>
      </c>
      <c r="L24" s="7">
        <f t="shared" si="13"/>
        <v>35325.694425000002</v>
      </c>
      <c r="M24" s="7">
        <f t="shared" si="13"/>
        <v>1965.1279952614377</v>
      </c>
      <c r="N24" s="7">
        <f t="shared" si="13"/>
        <v>1745.6505845394736</v>
      </c>
      <c r="O24" s="7">
        <f t="shared" si="13"/>
        <v>1634.8253573432344</v>
      </c>
      <c r="P24" s="7">
        <f t="shared" si="13"/>
        <v>1567.9783949074074</v>
      </c>
      <c r="Q24" s="7">
        <f t="shared" si="13"/>
        <v>1523.2661882450332</v>
      </c>
      <c r="R24" s="7">
        <f t="shared" si="13"/>
        <v>1467.2090933250415</v>
      </c>
    </row>
    <row r="25" spans="1:18" x14ac:dyDescent="0.4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28.5" x14ac:dyDescent="0.45">
      <c r="A26" s="2" t="s">
        <v>316</v>
      </c>
      <c r="E26" s="29">
        <f>E$22+E$17*$E$10</f>
        <v>351400</v>
      </c>
      <c r="F26" s="29">
        <f t="shared" ref="F26:R26" si="14">F$22+F$17*$E$10</f>
        <v>605150</v>
      </c>
      <c r="G26" s="29">
        <f t="shared" si="14"/>
        <v>858900</v>
      </c>
      <c r="H26" s="29">
        <f t="shared" si="14"/>
        <v>1112650</v>
      </c>
      <c r="I26" s="29">
        <f t="shared" si="14"/>
        <v>1366400</v>
      </c>
      <c r="J26" s="29">
        <f t="shared" si="14"/>
        <v>1620150</v>
      </c>
      <c r="L26" s="29">
        <f t="shared" si="14"/>
        <v>214754.16654999999</v>
      </c>
      <c r="M26" s="29">
        <f t="shared" si="14"/>
        <v>744129.16654999997</v>
      </c>
      <c r="N26" s="29">
        <f t="shared" si="14"/>
        <v>1008816.66655</v>
      </c>
      <c r="O26" s="29">
        <f t="shared" si="14"/>
        <v>1273504.16655</v>
      </c>
      <c r="P26" s="29">
        <f t="shared" si="14"/>
        <v>1538191.66655</v>
      </c>
      <c r="Q26" s="29">
        <f t="shared" si="14"/>
        <v>1802879.16655</v>
      </c>
      <c r="R26" s="29">
        <f t="shared" si="14"/>
        <v>2332254.1665500002</v>
      </c>
    </row>
    <row r="27" spans="1:18" ht="28.5" x14ac:dyDescent="0.45">
      <c r="A27" s="2" t="s">
        <v>323</v>
      </c>
      <c r="E27" s="29">
        <f>E$22+E$17*$E$11</f>
        <v>372330</v>
      </c>
      <c r="F27" s="29">
        <f t="shared" ref="F27:R27" si="15">F$22+F$17*$E$11</f>
        <v>646205</v>
      </c>
      <c r="G27" s="29">
        <f t="shared" si="15"/>
        <v>920080</v>
      </c>
      <c r="H27" s="29">
        <f t="shared" si="15"/>
        <v>1193955</v>
      </c>
      <c r="I27" s="29">
        <f t="shared" si="15"/>
        <v>1467830</v>
      </c>
      <c r="J27" s="29">
        <f t="shared" si="15"/>
        <v>1741705</v>
      </c>
      <c r="L27" s="29">
        <f t="shared" si="15"/>
        <v>215559.16654999999</v>
      </c>
      <c r="M27" s="29">
        <f t="shared" si="15"/>
        <v>785184.16654999997</v>
      </c>
      <c r="N27" s="29">
        <f t="shared" si="15"/>
        <v>1069996.66655</v>
      </c>
      <c r="O27" s="29">
        <f t="shared" si="15"/>
        <v>1354809.16655</v>
      </c>
      <c r="P27" s="29">
        <f t="shared" si="15"/>
        <v>1639621.66655</v>
      </c>
      <c r="Q27" s="29">
        <f t="shared" si="15"/>
        <v>1924434.16655</v>
      </c>
      <c r="R27" s="29">
        <f t="shared" si="15"/>
        <v>2494059.1665500002</v>
      </c>
    </row>
    <row r="28" spans="1:18" x14ac:dyDescent="0.45">
      <c r="A28" s="2"/>
    </row>
    <row r="29" spans="1:18" x14ac:dyDescent="0.45">
      <c r="A29" s="2" t="s">
        <v>305</v>
      </c>
      <c r="E29" s="7">
        <f t="shared" ref="E29:J29" si="16">PhiMayCanGap(E$16)*(1+$D$8)</f>
        <v>110651.041725</v>
      </c>
      <c r="F29" s="7">
        <f t="shared" si="16"/>
        <v>113385.416725</v>
      </c>
      <c r="G29" s="7">
        <f t="shared" si="16"/>
        <v>116119.791725</v>
      </c>
      <c r="H29" s="7">
        <f t="shared" si="16"/>
        <v>118854.166725</v>
      </c>
      <c r="I29" s="7">
        <f t="shared" si="16"/>
        <v>121588.541725</v>
      </c>
      <c r="J29" s="7">
        <f t="shared" si="16"/>
        <v>124322.916725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45">
      <c r="A30" s="2" t="s">
        <v>306</v>
      </c>
      <c r="E30" s="7">
        <f>E$29*1.2</f>
        <v>132781.25007000001</v>
      </c>
      <c r="F30" s="7">
        <f t="shared" ref="F30:R31" si="18">F$29*1.2</f>
        <v>136062.50007000001</v>
      </c>
      <c r="G30" s="7">
        <f t="shared" si="18"/>
        <v>139343.75007000001</v>
      </c>
      <c r="H30" s="7">
        <f t="shared" si="18"/>
        <v>142625.00007000001</v>
      </c>
      <c r="I30" s="7">
        <f t="shared" si="18"/>
        <v>145906.25007000001</v>
      </c>
      <c r="J30" s="7">
        <f t="shared" si="18"/>
        <v>149187.50007000001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45">
      <c r="A31" s="2" t="s">
        <v>307</v>
      </c>
      <c r="E31" s="7">
        <f>E$29*1.2</f>
        <v>132781.25007000001</v>
      </c>
      <c r="F31" s="7">
        <f t="shared" si="18"/>
        <v>136062.50007000001</v>
      </c>
      <c r="G31" s="7">
        <f t="shared" si="18"/>
        <v>139343.75007000001</v>
      </c>
      <c r="H31" s="7">
        <f t="shared" si="18"/>
        <v>142625.00007000001</v>
      </c>
      <c r="I31" s="7">
        <f t="shared" si="18"/>
        <v>145906.25007000001</v>
      </c>
      <c r="J31" s="7">
        <f t="shared" si="18"/>
        <v>149187.50007000001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45">
      <c r="A33" s="2" t="s">
        <v>308</v>
      </c>
      <c r="E33" s="7">
        <f t="shared" ref="E33:J33" si="19">PhiMayCanMang(E$17,$C$5/100, $D$5/100)*(1+$D$8)+ E$17*$E$14</f>
        <v>147390.13344999999</v>
      </c>
      <c r="F33" s="7">
        <f t="shared" si="19"/>
        <v>165557.19232500001</v>
      </c>
      <c r="G33" s="7">
        <f t="shared" si="19"/>
        <v>183724.25102500001</v>
      </c>
      <c r="H33" s="7">
        <f t="shared" si="19"/>
        <v>202344.25102500001</v>
      </c>
      <c r="I33" s="7">
        <f t="shared" si="19"/>
        <v>220511.30989999999</v>
      </c>
      <c r="J33" s="7">
        <f t="shared" si="19"/>
        <v>238678.36877499998</v>
      </c>
      <c r="L33" s="7">
        <f>PhiMayCanMang(L$17,$C$5/100, $D$5/100)*(1+$D$8)</f>
        <v>128786.274575</v>
      </c>
      <c r="M33" s="7">
        <f t="shared" ref="M33:R33" si="20">PhiMayCanMang(M$17,$C$5/100, $D$5/100)*(1+$D$8)</f>
        <v>143280.39232500002</v>
      </c>
      <c r="N33" s="7">
        <f t="shared" si="20"/>
        <v>150527.45102500002</v>
      </c>
      <c r="O33" s="7">
        <f t="shared" si="20"/>
        <v>158227.45102500002</v>
      </c>
      <c r="P33" s="7">
        <f t="shared" si="20"/>
        <v>165474.5099</v>
      </c>
      <c r="Q33" s="7">
        <f t="shared" si="20"/>
        <v>172721.56877499999</v>
      </c>
      <c r="R33" s="7">
        <f t="shared" si="20"/>
        <v>187668.62765000001</v>
      </c>
    </row>
    <row r="34" spans="1:18" x14ac:dyDescent="0.45">
      <c r="A34" s="2" t="s">
        <v>317</v>
      </c>
      <c r="E34" s="7">
        <f t="shared" ref="E34:J34" si="21">E$33/E$16</f>
        <v>5895.6053379999994</v>
      </c>
      <c r="F34" s="7">
        <f t="shared" si="21"/>
        <v>3311.1438465000001</v>
      </c>
      <c r="G34" s="7">
        <f t="shared" si="21"/>
        <v>2449.6566803333335</v>
      </c>
      <c r="H34" s="7">
        <f t="shared" si="21"/>
        <v>2023.4425102499999</v>
      </c>
      <c r="I34" s="7">
        <f t="shared" si="21"/>
        <v>1764.0904791999999</v>
      </c>
      <c r="J34" s="7">
        <f t="shared" si="21"/>
        <v>1591.1891251666666</v>
      </c>
      <c r="L34" s="7"/>
      <c r="M34" s="7">
        <f t="shared" ref="M34:R34" si="22">M$17*$E$14/M$16</f>
        <v>445.536</v>
      </c>
      <c r="N34" s="7">
        <f t="shared" si="22"/>
        <v>442.62400000000002</v>
      </c>
      <c r="O34" s="7">
        <f t="shared" si="22"/>
        <v>441.16800000000001</v>
      </c>
      <c r="P34" s="7">
        <f t="shared" si="22"/>
        <v>440.2944</v>
      </c>
      <c r="Q34" s="7">
        <f t="shared" si="22"/>
        <v>439.71200000000005</v>
      </c>
      <c r="R34" s="7">
        <f t="shared" si="22"/>
        <v>438.98400000000004</v>
      </c>
    </row>
    <row r="35" spans="1:18" x14ac:dyDescent="0.45">
      <c r="A35" s="2" t="s">
        <v>309</v>
      </c>
      <c r="E35" s="7">
        <f t="shared" ref="E35:J35" si="23">PhiMayCanMang(E$17*2,$C$5/100, $D$5/100)*(1+$D$8)+ E$17*$E$14*2</f>
        <v>166446.93345000001</v>
      </c>
      <c r="F35" s="7">
        <f t="shared" si="23"/>
        <v>202781.05102500002</v>
      </c>
      <c r="G35" s="7">
        <f t="shared" si="23"/>
        <v>239568.10990000001</v>
      </c>
      <c r="H35" s="7">
        <f t="shared" si="23"/>
        <v>275902.22765000002</v>
      </c>
      <c r="I35" s="7">
        <f t="shared" si="23"/>
        <v>312689.28635000001</v>
      </c>
      <c r="J35" s="7">
        <f t="shared" si="23"/>
        <v>349023.40410000004</v>
      </c>
      <c r="L35" s="7">
        <f>PhiMayCanMang(L$17*2,$C$5/100, $D$5/100)*(1+$D$8)</f>
        <v>128786.274575</v>
      </c>
      <c r="M35" s="7">
        <f t="shared" ref="M35:R35" si="24">PhiMayCanMang(M$17*2,$C$5/100, $D$5/100)*(1+$D$8)</f>
        <v>158227.45102500002</v>
      </c>
      <c r="N35" s="7">
        <f t="shared" si="24"/>
        <v>173174.5099</v>
      </c>
      <c r="O35" s="7">
        <f t="shared" si="24"/>
        <v>187668.62765000001</v>
      </c>
      <c r="P35" s="7">
        <f t="shared" si="24"/>
        <v>202615.68635</v>
      </c>
      <c r="Q35" s="7">
        <f t="shared" si="24"/>
        <v>217109.80410000001</v>
      </c>
      <c r="R35" s="7">
        <f t="shared" si="24"/>
        <v>246550.98055000001</v>
      </c>
    </row>
    <row r="36" spans="1:18" x14ac:dyDescent="0.45">
      <c r="A36" s="2" t="s">
        <v>318</v>
      </c>
      <c r="E36" s="7">
        <f t="shared" ref="E36:J36" si="25">E$35/E$16</f>
        <v>6657.8773380000002</v>
      </c>
      <c r="F36" s="7">
        <f t="shared" si="25"/>
        <v>4055.6210205000007</v>
      </c>
      <c r="G36" s="7">
        <f t="shared" si="25"/>
        <v>3194.2414653333335</v>
      </c>
      <c r="H36" s="7">
        <f t="shared" si="25"/>
        <v>2759.0222765000003</v>
      </c>
      <c r="I36" s="7">
        <f t="shared" si="25"/>
        <v>2501.5142908000003</v>
      </c>
      <c r="J36" s="7">
        <f t="shared" si="25"/>
        <v>2326.8226940000004</v>
      </c>
      <c r="M36" s="7">
        <f t="shared" ref="M36:R36" si="26">M$17*2*$E$14/M$16</f>
        <v>891.072</v>
      </c>
      <c r="N36" s="7">
        <f t="shared" si="26"/>
        <v>885.24800000000005</v>
      </c>
      <c r="O36" s="7">
        <f t="shared" si="26"/>
        <v>882.33600000000001</v>
      </c>
      <c r="P36" s="7">
        <f t="shared" si="26"/>
        <v>880.58879999999999</v>
      </c>
      <c r="Q36" s="7">
        <f t="shared" si="26"/>
        <v>879.42400000000009</v>
      </c>
      <c r="R36" s="7">
        <f t="shared" si="26"/>
        <v>877.96800000000007</v>
      </c>
    </row>
    <row r="39" spans="1:18" ht="28.5" x14ac:dyDescent="0.45">
      <c r="A39" s="2" t="s">
        <v>366</v>
      </c>
      <c r="E39" s="7">
        <f t="shared" ref="E39:J39" si="27">E$26-MOD(E$26,1000)</f>
        <v>351000</v>
      </c>
      <c r="F39" s="7">
        <f t="shared" si="27"/>
        <v>605000</v>
      </c>
      <c r="G39" s="7">
        <f t="shared" si="27"/>
        <v>858000</v>
      </c>
      <c r="H39" s="7">
        <f t="shared" si="27"/>
        <v>1112000</v>
      </c>
      <c r="I39" s="7">
        <f t="shared" si="27"/>
        <v>1366000</v>
      </c>
      <c r="J39" s="7">
        <f t="shared" si="27"/>
        <v>1620000</v>
      </c>
    </row>
    <row r="40" spans="1:18" ht="28.5" x14ac:dyDescent="0.45">
      <c r="A40" s="2" t="s">
        <v>367</v>
      </c>
      <c r="E40" s="7">
        <f t="shared" ref="E40:J40" si="28">E$27-MOD(E$27,1000)</f>
        <v>372000</v>
      </c>
      <c r="F40" s="7">
        <f t="shared" si="28"/>
        <v>646000</v>
      </c>
      <c r="G40" s="7">
        <f t="shared" si="28"/>
        <v>920000</v>
      </c>
      <c r="H40" s="7">
        <f t="shared" si="28"/>
        <v>1193000</v>
      </c>
      <c r="I40" s="7">
        <f t="shared" si="28"/>
        <v>1467000</v>
      </c>
      <c r="J40" s="7">
        <f t="shared" si="28"/>
        <v>1741000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41"/>
  <sheetViews>
    <sheetView topLeftCell="A19" workbookViewId="0">
      <selection activeCell="E40" sqref="E40"/>
    </sheetView>
  </sheetViews>
  <sheetFormatPr defaultRowHeight="14.25" x14ac:dyDescent="0.45"/>
  <cols>
    <col min="1" max="1" width="22.3984375" bestFit="1" customWidth="1"/>
    <col min="2" max="2" width="17.73046875" bestFit="1" customWidth="1"/>
    <col min="3" max="3" width="18.7304687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  <col min="11" max="14" width="13.3984375" bestFit="1" customWidth="1"/>
  </cols>
  <sheetData>
    <row r="1" spans="1:14" x14ac:dyDescent="0.45">
      <c r="A1" s="1" t="s">
        <v>337</v>
      </c>
    </row>
    <row r="2" spans="1:14" x14ac:dyDescent="0.45">
      <c r="A2" t="s">
        <v>289</v>
      </c>
      <c r="B2" s="35">
        <v>43609</v>
      </c>
    </row>
    <row r="3" spans="1:14" x14ac:dyDescent="0.45">
      <c r="B3" t="s">
        <v>206</v>
      </c>
      <c r="C3" t="s">
        <v>277</v>
      </c>
    </row>
    <row r="4" spans="1:14" x14ac:dyDescent="0.45">
      <c r="A4" t="s">
        <v>276</v>
      </c>
      <c r="B4">
        <v>32</v>
      </c>
      <c r="C4">
        <v>47</v>
      </c>
    </row>
    <row r="5" spans="1:14" ht="28.5" x14ac:dyDescent="0.4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45">
      <c r="A6" t="s">
        <v>287</v>
      </c>
      <c r="D6" s="1">
        <v>1</v>
      </c>
      <c r="E6">
        <v>2</v>
      </c>
      <c r="F6">
        <v>4</v>
      </c>
    </row>
    <row r="7" spans="1:14" x14ac:dyDescent="0.45">
      <c r="A7" t="s">
        <v>203</v>
      </c>
      <c r="D7" s="37">
        <v>0.75</v>
      </c>
      <c r="E7" s="38" t="s">
        <v>301</v>
      </c>
    </row>
    <row r="8" spans="1:14" x14ac:dyDescent="0.4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4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45">
      <c r="E10" s="7"/>
    </row>
    <row r="11" spans="1:14" x14ac:dyDescent="0.45">
      <c r="E11" s="7"/>
    </row>
    <row r="12" spans="1:14" x14ac:dyDescent="0.45">
      <c r="A12" t="s">
        <v>335</v>
      </c>
      <c r="B12">
        <v>250</v>
      </c>
      <c r="C12">
        <v>12</v>
      </c>
      <c r="E12" s="7"/>
    </row>
    <row r="13" spans="1:14" x14ac:dyDescent="0.45">
      <c r="E13" s="7"/>
    </row>
    <row r="14" spans="1:14" x14ac:dyDescent="0.45">
      <c r="E14" s="7"/>
    </row>
    <row r="15" spans="1:14" x14ac:dyDescent="0.4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4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28.5" x14ac:dyDescent="0.4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28.5" x14ac:dyDescent="0.45">
      <c r="A18" s="2" t="s">
        <v>298</v>
      </c>
      <c r="B18" s="36">
        <f>PhiInKM4M_BHR70(160)</f>
        <v>162000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45">
      <c r="A19" s="2" t="s">
        <v>292</v>
      </c>
      <c r="E19" s="36">
        <f>PhiInKM4M_BHR70(E$18)</f>
        <v>57000</v>
      </c>
      <c r="F19" s="36">
        <f t="shared" ref="F19:N19" si="3">PhiInKM4M_BHR70(F$18)</f>
        <v>62600</v>
      </c>
      <c r="G19" s="36">
        <f t="shared" si="3"/>
        <v>68200</v>
      </c>
      <c r="H19" s="36">
        <f t="shared" si="3"/>
        <v>73800</v>
      </c>
      <c r="I19" s="36">
        <f t="shared" si="3"/>
        <v>79400</v>
      </c>
      <c r="J19" s="36">
        <f t="shared" si="3"/>
        <v>85000</v>
      </c>
      <c r="K19" s="36">
        <f t="shared" si="3"/>
        <v>90600</v>
      </c>
      <c r="L19" s="36">
        <f t="shared" si="3"/>
        <v>96200</v>
      </c>
      <c r="M19" s="36">
        <f t="shared" si="3"/>
        <v>101800</v>
      </c>
      <c r="N19" s="36">
        <f t="shared" si="3"/>
        <v>107400</v>
      </c>
      <c r="O19" s="36"/>
    </row>
    <row r="20" spans="1:15" x14ac:dyDescent="0.45">
      <c r="A20" s="2" t="s">
        <v>300</v>
      </c>
      <c r="E20" s="36">
        <f>PhiInKM4M_BHR70(E$18*2)</f>
        <v>64000</v>
      </c>
      <c r="F20" s="36">
        <f t="shared" ref="F20:N20" si="4">PhiInKM4M_BHR70(F$18*2)</f>
        <v>75200</v>
      </c>
      <c r="G20" s="36">
        <f t="shared" si="4"/>
        <v>86400</v>
      </c>
      <c r="H20" s="36">
        <f t="shared" si="4"/>
        <v>97600</v>
      </c>
      <c r="I20" s="36">
        <f t="shared" si="4"/>
        <v>108800</v>
      </c>
      <c r="J20" s="36">
        <f t="shared" si="4"/>
        <v>120000</v>
      </c>
      <c r="K20" s="36">
        <f t="shared" si="4"/>
        <v>131200</v>
      </c>
      <c r="L20" s="36">
        <f t="shared" si="4"/>
        <v>142400</v>
      </c>
      <c r="M20" s="36">
        <f t="shared" si="4"/>
        <v>153600</v>
      </c>
      <c r="N20" s="36">
        <f t="shared" si="4"/>
        <v>164800</v>
      </c>
      <c r="O20" s="36"/>
    </row>
    <row r="21" spans="1:15" x14ac:dyDescent="0.45">
      <c r="A21" s="2" t="s">
        <v>359</v>
      </c>
      <c r="E21" s="36">
        <f>E$17*$D$9</f>
        <v>21000</v>
      </c>
      <c r="F21" s="36">
        <f t="shared" ref="F21:N21" si="5">F$17*$D$9</f>
        <v>37800</v>
      </c>
      <c r="G21" s="36">
        <f t="shared" si="5"/>
        <v>54600</v>
      </c>
      <c r="H21" s="36">
        <f t="shared" si="5"/>
        <v>71400</v>
      </c>
      <c r="I21" s="36">
        <f t="shared" si="5"/>
        <v>88200</v>
      </c>
      <c r="J21" s="36">
        <f t="shared" si="5"/>
        <v>105000</v>
      </c>
      <c r="K21" s="36">
        <f t="shared" si="5"/>
        <v>121800</v>
      </c>
      <c r="L21" s="36">
        <f t="shared" si="5"/>
        <v>138600</v>
      </c>
      <c r="M21" s="36">
        <f t="shared" si="5"/>
        <v>155400</v>
      </c>
      <c r="N21" s="36">
        <f t="shared" si="5"/>
        <v>172200</v>
      </c>
      <c r="O21" s="36"/>
    </row>
    <row r="22" spans="1:15" x14ac:dyDescent="0.45">
      <c r="A22" s="20" t="s">
        <v>293</v>
      </c>
      <c r="E22" s="29">
        <f t="shared" ref="E22:N22" si="6">E$19*(1+$D$7)</f>
        <v>99750</v>
      </c>
      <c r="F22" s="29">
        <f t="shared" si="6"/>
        <v>109550</v>
      </c>
      <c r="G22" s="29">
        <f t="shared" si="6"/>
        <v>119350</v>
      </c>
      <c r="H22" s="29">
        <f t="shared" si="6"/>
        <v>129150</v>
      </c>
      <c r="I22" s="29">
        <f t="shared" si="6"/>
        <v>138950</v>
      </c>
      <c r="J22" s="29">
        <f t="shared" si="6"/>
        <v>148750</v>
      </c>
      <c r="K22" s="29">
        <f t="shared" si="6"/>
        <v>158550</v>
      </c>
      <c r="L22" s="29">
        <f t="shared" si="6"/>
        <v>168350</v>
      </c>
      <c r="M22" s="29">
        <f t="shared" si="6"/>
        <v>178150</v>
      </c>
      <c r="N22" s="29">
        <f t="shared" si="6"/>
        <v>187950</v>
      </c>
      <c r="O22" s="29"/>
    </row>
    <row r="23" spans="1:15" x14ac:dyDescent="0.45">
      <c r="A23" s="20" t="s">
        <v>296</v>
      </c>
      <c r="E23" s="29">
        <f t="shared" ref="E23:N23" si="7">E$20*(1+$D$7)</f>
        <v>112000</v>
      </c>
      <c r="F23" s="29">
        <f t="shared" si="7"/>
        <v>131600</v>
      </c>
      <c r="G23" s="29">
        <f t="shared" si="7"/>
        <v>151200</v>
      </c>
      <c r="H23" s="29">
        <f t="shared" si="7"/>
        <v>170800</v>
      </c>
      <c r="I23" s="29">
        <f t="shared" si="7"/>
        <v>190400</v>
      </c>
      <c r="J23" s="29">
        <f t="shared" si="7"/>
        <v>210000</v>
      </c>
      <c r="K23" s="29">
        <f t="shared" si="7"/>
        <v>229600</v>
      </c>
      <c r="L23" s="29">
        <f t="shared" si="7"/>
        <v>249200</v>
      </c>
      <c r="M23" s="29">
        <f t="shared" si="7"/>
        <v>268800</v>
      </c>
      <c r="N23" s="29">
        <f t="shared" si="7"/>
        <v>288400</v>
      </c>
      <c r="O23" s="29"/>
    </row>
    <row r="24" spans="1:15" x14ac:dyDescent="0.45">
      <c r="A24" s="2" t="s">
        <v>288</v>
      </c>
      <c r="E24" s="7">
        <f t="shared" ref="E24:N24" si="8">E$22/E$17</f>
        <v>19950</v>
      </c>
      <c r="F24" s="7">
        <f t="shared" si="8"/>
        <v>12172.222222222223</v>
      </c>
      <c r="G24" s="7">
        <f t="shared" si="8"/>
        <v>9180.7692307692305</v>
      </c>
      <c r="H24" s="7">
        <f t="shared" si="8"/>
        <v>7597.0588235294117</v>
      </c>
      <c r="I24" s="7">
        <f t="shared" si="8"/>
        <v>6616.666666666667</v>
      </c>
      <c r="J24" s="7">
        <f t="shared" si="8"/>
        <v>5950</v>
      </c>
      <c r="K24" s="7">
        <f t="shared" si="8"/>
        <v>5467.2413793103451</v>
      </c>
      <c r="L24" s="7">
        <f t="shared" si="8"/>
        <v>5101.515151515152</v>
      </c>
      <c r="M24" s="7">
        <f t="shared" si="8"/>
        <v>4814.864864864865</v>
      </c>
      <c r="N24" s="7">
        <f t="shared" si="8"/>
        <v>4584.1463414634145</v>
      </c>
      <c r="O24" s="7"/>
    </row>
    <row r="25" spans="1:15" x14ac:dyDescent="0.45">
      <c r="A25" s="2" t="s">
        <v>290</v>
      </c>
      <c r="E25" s="7">
        <f t="shared" ref="E25:N25" si="9">E$22/E$18</f>
        <v>9975</v>
      </c>
      <c r="F25" s="7">
        <f t="shared" si="9"/>
        <v>6086.1111111111113</v>
      </c>
      <c r="G25" s="7">
        <f t="shared" si="9"/>
        <v>4590.3846153846152</v>
      </c>
      <c r="H25" s="7">
        <f t="shared" si="9"/>
        <v>3798.5294117647059</v>
      </c>
      <c r="I25" s="7">
        <f t="shared" si="9"/>
        <v>3308.3333333333335</v>
      </c>
      <c r="J25" s="7">
        <f t="shared" si="9"/>
        <v>2975</v>
      </c>
      <c r="K25" s="7">
        <f t="shared" si="9"/>
        <v>2733.6206896551726</v>
      </c>
      <c r="L25" s="7">
        <f t="shared" si="9"/>
        <v>2550.757575757576</v>
      </c>
      <c r="M25" s="7">
        <f t="shared" si="9"/>
        <v>2407.4324324324325</v>
      </c>
      <c r="N25" s="7">
        <f t="shared" si="9"/>
        <v>2292.0731707317073</v>
      </c>
      <c r="O25" s="7"/>
    </row>
    <row r="26" spans="1:15" x14ac:dyDescent="0.45">
      <c r="A26" s="20" t="s">
        <v>291</v>
      </c>
      <c r="E26" s="29">
        <f t="shared" ref="E26:N26" si="10">$E$9*E$17</f>
        <v>36750</v>
      </c>
      <c r="F26" s="29">
        <f t="shared" si="10"/>
        <v>66150</v>
      </c>
      <c r="G26" s="29">
        <f t="shared" si="10"/>
        <v>95550</v>
      </c>
      <c r="H26" s="29">
        <f t="shared" si="10"/>
        <v>124950</v>
      </c>
      <c r="I26" s="29">
        <f t="shared" si="10"/>
        <v>154350</v>
      </c>
      <c r="J26" s="29">
        <f t="shared" si="10"/>
        <v>183750</v>
      </c>
      <c r="K26" s="29">
        <f t="shared" si="10"/>
        <v>213150</v>
      </c>
      <c r="L26" s="29">
        <f t="shared" si="10"/>
        <v>242550</v>
      </c>
      <c r="M26" s="29">
        <f t="shared" si="10"/>
        <v>271950</v>
      </c>
      <c r="N26" s="29">
        <f t="shared" si="10"/>
        <v>301350</v>
      </c>
      <c r="O26" s="29"/>
    </row>
    <row r="27" spans="1:15" x14ac:dyDescent="0.45">
      <c r="A27" s="20" t="s">
        <v>483</v>
      </c>
      <c r="E27" s="29">
        <f>3000*E$15</f>
        <v>3000</v>
      </c>
      <c r="F27" s="29">
        <f t="shared" ref="F27:N27" si="11">3000*F$15</f>
        <v>6000</v>
      </c>
      <c r="G27" s="29">
        <f t="shared" si="11"/>
        <v>9000</v>
      </c>
      <c r="H27" s="29">
        <f t="shared" si="11"/>
        <v>12000</v>
      </c>
      <c r="I27" s="29">
        <f t="shared" si="11"/>
        <v>15000</v>
      </c>
      <c r="J27" s="29">
        <f t="shared" si="11"/>
        <v>18000</v>
      </c>
      <c r="K27" s="29">
        <f t="shared" si="11"/>
        <v>21000</v>
      </c>
      <c r="L27" s="29">
        <f t="shared" si="11"/>
        <v>24000</v>
      </c>
      <c r="M27" s="29">
        <f t="shared" si="11"/>
        <v>27000</v>
      </c>
      <c r="N27" s="29">
        <f t="shared" si="11"/>
        <v>30000</v>
      </c>
      <c r="O27" s="29"/>
    </row>
    <row r="28" spans="1:15" x14ac:dyDescent="0.45">
      <c r="A28" s="20" t="s">
        <v>484</v>
      </c>
      <c r="E28" s="29">
        <f>E$27*(1+$D$7)</f>
        <v>5250</v>
      </c>
      <c r="F28" s="29">
        <f t="shared" ref="F28:N28" si="12">F$27*(1+$D$7)</f>
        <v>10500</v>
      </c>
      <c r="G28" s="29">
        <f t="shared" si="12"/>
        <v>15750</v>
      </c>
      <c r="H28" s="29">
        <f t="shared" si="12"/>
        <v>21000</v>
      </c>
      <c r="I28" s="29">
        <f t="shared" si="12"/>
        <v>26250</v>
      </c>
      <c r="J28" s="29">
        <f t="shared" si="12"/>
        <v>31500</v>
      </c>
      <c r="K28" s="29">
        <f t="shared" si="12"/>
        <v>36750</v>
      </c>
      <c r="L28" s="29">
        <f t="shared" si="12"/>
        <v>42000</v>
      </c>
      <c r="M28" s="29">
        <f t="shared" si="12"/>
        <v>47250</v>
      </c>
      <c r="N28" s="29">
        <f t="shared" si="12"/>
        <v>52500</v>
      </c>
      <c r="O28" s="29"/>
    </row>
    <row r="29" spans="1:15" x14ac:dyDescent="0.45">
      <c r="A29" s="2" t="s">
        <v>294</v>
      </c>
      <c r="E29" s="36">
        <f>E$22+E$26+E$28</f>
        <v>141750</v>
      </c>
      <c r="F29" s="36">
        <f t="shared" ref="F29:N29" si="13">F$22+F$26+F$28</f>
        <v>186200</v>
      </c>
      <c r="G29" s="36">
        <f t="shared" si="13"/>
        <v>230650</v>
      </c>
      <c r="H29" s="36">
        <f t="shared" si="13"/>
        <v>275100</v>
      </c>
      <c r="I29" s="36">
        <f t="shared" si="13"/>
        <v>319550</v>
      </c>
      <c r="J29" s="36">
        <f t="shared" si="13"/>
        <v>364000</v>
      </c>
      <c r="K29" s="36">
        <f t="shared" si="13"/>
        <v>408450</v>
      </c>
      <c r="L29" s="36">
        <f t="shared" si="13"/>
        <v>452900</v>
      </c>
      <c r="M29" s="36">
        <f t="shared" si="13"/>
        <v>497350</v>
      </c>
      <c r="N29" s="36">
        <f t="shared" si="13"/>
        <v>541800</v>
      </c>
      <c r="O29" s="29"/>
    </row>
    <row r="30" spans="1:15" x14ac:dyDescent="0.45">
      <c r="A30" s="2" t="s">
        <v>295</v>
      </c>
      <c r="E30" s="36">
        <f>E$23+E$26+E$28</f>
        <v>154000</v>
      </c>
      <c r="F30" s="36">
        <f t="shared" ref="F30:N30" si="14">F$23+F$26+F$28</f>
        <v>208250</v>
      </c>
      <c r="G30" s="36">
        <f t="shared" si="14"/>
        <v>262500</v>
      </c>
      <c r="H30" s="36">
        <f t="shared" si="14"/>
        <v>316750</v>
      </c>
      <c r="I30" s="36">
        <f t="shared" si="14"/>
        <v>371000</v>
      </c>
      <c r="J30" s="36">
        <f t="shared" si="14"/>
        <v>425250</v>
      </c>
      <c r="K30" s="36">
        <f t="shared" si="14"/>
        <v>479500</v>
      </c>
      <c r="L30" s="36">
        <f t="shared" si="14"/>
        <v>533750</v>
      </c>
      <c r="M30" s="36">
        <f t="shared" si="14"/>
        <v>588000</v>
      </c>
      <c r="N30" s="36">
        <f t="shared" si="14"/>
        <v>642250</v>
      </c>
      <c r="O30" s="29"/>
    </row>
    <row r="31" spans="1:15" x14ac:dyDescent="0.45">
      <c r="A31" s="2"/>
    </row>
    <row r="32" spans="1:15" ht="28.5" x14ac:dyDescent="0.45">
      <c r="A32" s="2" t="s">
        <v>369</v>
      </c>
      <c r="E32" s="7">
        <f>E$29-MOD(E$29,1000)</f>
        <v>141000</v>
      </c>
      <c r="F32" s="7">
        <f t="shared" ref="F32:N32" si="15">F$29-MOD(F$29,1000)</f>
        <v>186000</v>
      </c>
      <c r="G32" s="7">
        <f t="shared" si="15"/>
        <v>230000</v>
      </c>
      <c r="H32" s="7">
        <f t="shared" si="15"/>
        <v>275000</v>
      </c>
      <c r="I32" s="7">
        <f t="shared" si="15"/>
        <v>319000</v>
      </c>
      <c r="J32" s="7">
        <f t="shared" si="15"/>
        <v>364000</v>
      </c>
      <c r="K32" s="7">
        <f t="shared" si="15"/>
        <v>408000</v>
      </c>
      <c r="L32" s="7">
        <f t="shared" si="15"/>
        <v>452000</v>
      </c>
      <c r="M32" s="7">
        <f t="shared" si="15"/>
        <v>497000</v>
      </c>
      <c r="N32" s="7">
        <f t="shared" si="15"/>
        <v>541000</v>
      </c>
    </row>
    <row r="33" spans="1:14" ht="28.5" x14ac:dyDescent="0.45">
      <c r="A33" s="2" t="s">
        <v>370</v>
      </c>
      <c r="E33" s="7">
        <f>E$30-MOD(E$30,1000)</f>
        <v>154000</v>
      </c>
      <c r="F33" s="7">
        <f t="shared" ref="F33:N33" si="16">F$30-MOD(F$30,1000)</f>
        <v>208000</v>
      </c>
      <c r="G33" s="7">
        <f t="shared" si="16"/>
        <v>262000</v>
      </c>
      <c r="H33" s="7">
        <f t="shared" si="16"/>
        <v>316000</v>
      </c>
      <c r="I33" s="7">
        <f t="shared" si="16"/>
        <v>371000</v>
      </c>
      <c r="J33" s="7">
        <f t="shared" si="16"/>
        <v>425000</v>
      </c>
      <c r="K33" s="7">
        <f t="shared" si="16"/>
        <v>479000</v>
      </c>
      <c r="L33" s="7">
        <f t="shared" si="16"/>
        <v>533000</v>
      </c>
      <c r="M33" s="7">
        <f t="shared" si="16"/>
        <v>588000</v>
      </c>
      <c r="N33" s="7">
        <f t="shared" si="16"/>
        <v>642000</v>
      </c>
    </row>
    <row r="40" spans="1:14" x14ac:dyDescent="0.45">
      <c r="A40" s="2" t="s">
        <v>333</v>
      </c>
      <c r="E40" s="7">
        <f>E$29/(E$15)</f>
        <v>141750</v>
      </c>
      <c r="F40" s="7">
        <f t="shared" ref="F40:N40" si="17">F$29/(F$16/5)</f>
        <v>116375</v>
      </c>
      <c r="G40" s="7">
        <f t="shared" si="17"/>
        <v>96104.166666666672</v>
      </c>
      <c r="H40" s="7">
        <f t="shared" si="17"/>
        <v>85968.75</v>
      </c>
      <c r="I40" s="7">
        <f t="shared" si="17"/>
        <v>79887.5</v>
      </c>
      <c r="J40" s="7">
        <f t="shared" si="17"/>
        <v>75833.333333333343</v>
      </c>
      <c r="K40" s="7">
        <f t="shared" si="17"/>
        <v>72937.5</v>
      </c>
      <c r="L40" s="7">
        <f t="shared" si="17"/>
        <v>70765.625</v>
      </c>
      <c r="M40" s="7">
        <f t="shared" si="17"/>
        <v>69076.388888888891</v>
      </c>
      <c r="N40" s="7">
        <f t="shared" si="17"/>
        <v>67725</v>
      </c>
    </row>
    <row r="41" spans="1:14" x14ac:dyDescent="0.45">
      <c r="A41" s="2" t="s">
        <v>334</v>
      </c>
      <c r="E41" s="7">
        <f>E$30/(E$15)</f>
        <v>154000</v>
      </c>
      <c r="F41" s="7">
        <f t="shared" ref="F41:N41" si="18">F$30/(F$15)</f>
        <v>104125</v>
      </c>
      <c r="G41" s="7">
        <f t="shared" si="18"/>
        <v>87500</v>
      </c>
      <c r="H41" s="7">
        <f t="shared" si="18"/>
        <v>79187.5</v>
      </c>
      <c r="I41" s="7">
        <f t="shared" si="18"/>
        <v>74200</v>
      </c>
      <c r="J41" s="7">
        <f t="shared" si="18"/>
        <v>70875</v>
      </c>
      <c r="K41" s="7">
        <f t="shared" si="18"/>
        <v>68500</v>
      </c>
      <c r="L41" s="7">
        <f t="shared" si="18"/>
        <v>66718.75</v>
      </c>
      <c r="M41" s="7">
        <f t="shared" si="18"/>
        <v>65333.333333333336</v>
      </c>
      <c r="N41" s="7">
        <f t="shared" si="18"/>
        <v>64225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6:B28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opLeftCell="A10" workbookViewId="0">
      <selection activeCell="I36" sqref="I36"/>
    </sheetView>
  </sheetViews>
  <sheetFormatPr defaultRowHeight="14.25" x14ac:dyDescent="0.45"/>
  <cols>
    <col min="1" max="1" width="22.3984375" bestFit="1" customWidth="1"/>
    <col min="2" max="2" width="17.73046875" bestFit="1" customWidth="1"/>
    <col min="3" max="3" width="18.73046875" bestFit="1" customWidth="1"/>
    <col min="4" max="4" width="15.86328125" bestFit="1" customWidth="1"/>
    <col min="5" max="5" width="18.265625" bestFit="1" customWidth="1"/>
    <col min="6" max="6" width="13.265625" bestFit="1" customWidth="1"/>
    <col min="7" max="7" width="13.3984375" bestFit="1" customWidth="1"/>
  </cols>
  <sheetData>
    <row r="1" spans="1:7" x14ac:dyDescent="0.45">
      <c r="A1" s="1" t="s">
        <v>338</v>
      </c>
    </row>
    <row r="2" spans="1:7" x14ac:dyDescent="0.45">
      <c r="A2" t="s">
        <v>289</v>
      </c>
      <c r="B2" s="35">
        <v>43609</v>
      </c>
    </row>
    <row r="3" spans="1:7" x14ac:dyDescent="0.45">
      <c r="B3" t="s">
        <v>206</v>
      </c>
      <c r="C3" t="s">
        <v>277</v>
      </c>
    </row>
    <row r="4" spans="1:7" x14ac:dyDescent="0.45">
      <c r="A4" t="s">
        <v>276</v>
      </c>
      <c r="B4">
        <v>32</v>
      </c>
      <c r="C4">
        <v>39</v>
      </c>
    </row>
    <row r="5" spans="1:7" ht="28.5" x14ac:dyDescent="0.4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45">
      <c r="A6" t="s">
        <v>287</v>
      </c>
      <c r="D6" s="1">
        <v>1</v>
      </c>
      <c r="E6">
        <v>1</v>
      </c>
      <c r="F6">
        <v>5</v>
      </c>
    </row>
    <row r="7" spans="1:7" x14ac:dyDescent="0.45">
      <c r="A7" t="s">
        <v>203</v>
      </c>
      <c r="D7" s="37">
        <v>0.75</v>
      </c>
      <c r="E7" s="38" t="s">
        <v>301</v>
      </c>
    </row>
    <row r="8" spans="1:7" x14ac:dyDescent="0.4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4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45">
      <c r="E10" s="7"/>
    </row>
    <row r="11" spans="1:7" x14ac:dyDescent="0.45">
      <c r="E11" s="7"/>
    </row>
    <row r="12" spans="1:7" x14ac:dyDescent="0.45">
      <c r="A12" t="s">
        <v>335</v>
      </c>
      <c r="B12">
        <v>250</v>
      </c>
      <c r="C12">
        <v>12</v>
      </c>
      <c r="E12" s="7"/>
    </row>
    <row r="13" spans="1:7" x14ac:dyDescent="0.45">
      <c r="E13" s="7"/>
    </row>
    <row r="14" spans="1:7" x14ac:dyDescent="0.45">
      <c r="E14" s="7"/>
    </row>
    <row r="15" spans="1:7" x14ac:dyDescent="0.45">
      <c r="D15">
        <v>2.5</v>
      </c>
      <c r="E15">
        <v>5</v>
      </c>
      <c r="F15">
        <v>10</v>
      </c>
      <c r="G15">
        <v>20</v>
      </c>
    </row>
    <row r="16" spans="1:7" x14ac:dyDescent="0.4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28.5" x14ac:dyDescent="0.4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28.5" x14ac:dyDescent="0.4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45">
      <c r="A19" s="2" t="s">
        <v>292</v>
      </c>
      <c r="D19" s="36">
        <f>PhiMayInToner4M_Recoh(D$18)</f>
        <v>52084.313800000004</v>
      </c>
      <c r="E19" s="36">
        <f t="shared" ref="E19:G19" si="0">PhiMayInToner4M_Recoh(E$18)</f>
        <v>61013.7255</v>
      </c>
      <c r="F19" s="36">
        <f t="shared" si="0"/>
        <v>79616.666700000002</v>
      </c>
      <c r="G19" s="36">
        <f t="shared" si="0"/>
        <v>116822.5491</v>
      </c>
    </row>
    <row r="20" spans="1:14" x14ac:dyDescent="0.45">
      <c r="A20" s="2" t="s">
        <v>300</v>
      </c>
      <c r="D20" s="36">
        <f>PhiMayInToner4M_Recoh(D$18*2)</f>
        <v>62501.960800000001</v>
      </c>
      <c r="E20" s="36">
        <f t="shared" ref="E20:G20" si="1">PhiMayInToner4M_Recoh(E$18*2)</f>
        <v>80360.784299999999</v>
      </c>
      <c r="F20" s="36">
        <f t="shared" si="1"/>
        <v>117566.6667</v>
      </c>
      <c r="G20" s="36">
        <f t="shared" si="1"/>
        <v>191978.4314</v>
      </c>
    </row>
    <row r="21" spans="1:14" x14ac:dyDescent="0.45">
      <c r="A21" s="20" t="s">
        <v>293</v>
      </c>
      <c r="D21" s="29">
        <f>D$19*(1+$D$7)</f>
        <v>91147.549150000006</v>
      </c>
      <c r="E21" s="29">
        <f>E$19*(1+$D$7)</f>
        <v>106774.019625</v>
      </c>
      <c r="F21" s="29">
        <f>F$19*(1+$D$7)</f>
        <v>139329.16672500002</v>
      </c>
      <c r="G21" s="29">
        <f>G$19*(1+$D$7)</f>
        <v>204439.46092500002</v>
      </c>
    </row>
    <row r="22" spans="1:14" x14ac:dyDescent="0.45">
      <c r="A22" s="20" t="s">
        <v>296</v>
      </c>
      <c r="D22" s="29">
        <f>D$20*(1+$D$7)</f>
        <v>109378.4314</v>
      </c>
      <c r="E22" s="29">
        <f>E$20*(1+$D$7)</f>
        <v>140631.37252500001</v>
      </c>
      <c r="F22" s="29">
        <f>F$20*(1+$D$7)</f>
        <v>205741.66672500002</v>
      </c>
      <c r="G22" s="29">
        <f>G$20*(1+$D$7)</f>
        <v>335962.25494999997</v>
      </c>
    </row>
    <row r="23" spans="1:14" x14ac:dyDescent="0.45">
      <c r="A23" s="2" t="s">
        <v>288</v>
      </c>
      <c r="D23" s="7">
        <f>D$21/D$17</f>
        <v>6751.6703074074076</v>
      </c>
      <c r="E23" s="7">
        <f>E$21/E$17</f>
        <v>4106.6930625000005</v>
      </c>
      <c r="F23" s="7">
        <f>F$21/F$17</f>
        <v>2731.9444455882358</v>
      </c>
      <c r="G23" s="7">
        <f>G$21/G$17</f>
        <v>2024.1530784653467</v>
      </c>
    </row>
    <row r="24" spans="1:14" x14ac:dyDescent="0.45">
      <c r="A24" s="2" t="s">
        <v>290</v>
      </c>
      <c r="D24" s="7">
        <f>D$21/D$18</f>
        <v>6510.5392250000004</v>
      </c>
      <c r="E24" s="7">
        <f>E$21/E$18</f>
        <v>4106.6930625000005</v>
      </c>
      <c r="F24" s="7">
        <f>F$21/F$18</f>
        <v>2731.9444455882358</v>
      </c>
      <c r="G24" s="7">
        <f>G$21/G$18</f>
        <v>2024.1530784653467</v>
      </c>
    </row>
    <row r="25" spans="1:14" x14ac:dyDescent="0.4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x14ac:dyDescent="0.45">
      <c r="A26" s="2" t="s">
        <v>294</v>
      </c>
      <c r="D26" s="36">
        <f>D$21+D$25</f>
        <v>116190.04915000001</v>
      </c>
      <c r="E26" s="36">
        <f>E$21+E$25</f>
        <v>155004.01962500002</v>
      </c>
      <c r="F26" s="36">
        <f>F$21+F$25</f>
        <v>233934.16672500002</v>
      </c>
      <c r="G26" s="36">
        <f>G$21+G$25</f>
        <v>391794.46092500002</v>
      </c>
    </row>
    <row r="27" spans="1:14" x14ac:dyDescent="0.45">
      <c r="A27" s="2" t="s">
        <v>295</v>
      </c>
      <c r="D27" s="36">
        <f>D$22+D$25</f>
        <v>134420.9314</v>
      </c>
      <c r="E27" s="36">
        <f>E$22+E$25</f>
        <v>188861.37252500001</v>
      </c>
      <c r="F27" s="36">
        <f>F$22+F$25</f>
        <v>300346.66672500002</v>
      </c>
      <c r="G27" s="36">
        <f>G$22+G$25</f>
        <v>523317.25494999997</v>
      </c>
    </row>
    <row r="28" spans="1:14" x14ac:dyDescent="0.45">
      <c r="A28" s="2"/>
    </row>
    <row r="29" spans="1:14" x14ac:dyDescent="0.45">
      <c r="A29" s="2" t="s">
        <v>364</v>
      </c>
      <c r="D29" s="7">
        <f>D$26-MOD(D$26,1000)</f>
        <v>116000</v>
      </c>
      <c r="E29" s="7">
        <f>E$26-MOD(E$26,1000)</f>
        <v>155000</v>
      </c>
      <c r="F29" s="7">
        <f>F$26-MOD(F$26,1000)</f>
        <v>233000</v>
      </c>
      <c r="G29" s="7">
        <f>G$26-MOD(G$26,1000)</f>
        <v>391000</v>
      </c>
    </row>
    <row r="30" spans="1:14" x14ac:dyDescent="0.45">
      <c r="A30" s="2" t="s">
        <v>365</v>
      </c>
      <c r="D30" s="7">
        <f>D$27-MOD(D$27,1000)</f>
        <v>134000</v>
      </c>
      <c r="E30" s="7">
        <f>E$27-MOD(E$27,1000)</f>
        <v>188000</v>
      </c>
      <c r="F30" s="7">
        <f>F$27-MOD(F$27,1000)</f>
        <v>300000</v>
      </c>
      <c r="G30" s="7">
        <f>G$27-MOD(G$27,1000)</f>
        <v>523000</v>
      </c>
      <c r="N30" s="36"/>
    </row>
    <row r="32" spans="1:14" x14ac:dyDescent="0.45">
      <c r="A32" s="2" t="s">
        <v>482</v>
      </c>
      <c r="D32">
        <f>PhiMayCanMang(D17, 32, 39)*(1+0.73)</f>
        <v>371346.19626499998</v>
      </c>
    </row>
    <row r="37" spans="1:7" x14ac:dyDescent="0.45">
      <c r="A37" s="2" t="s">
        <v>333</v>
      </c>
      <c r="D37" s="7">
        <f>D$26/(D$15)</f>
        <v>46476.019660000005</v>
      </c>
      <c r="E37" s="7">
        <f t="shared" ref="E37:G37" si="2">E$26/(E$15)</f>
        <v>31000.803925000004</v>
      </c>
      <c r="F37" s="7">
        <f t="shared" si="2"/>
        <v>23393.416672500003</v>
      </c>
      <c r="G37" s="7">
        <f t="shared" si="2"/>
        <v>19589.723046250001</v>
      </c>
    </row>
    <row r="38" spans="1:7" x14ac:dyDescent="0.45">
      <c r="A38" s="2" t="s">
        <v>334</v>
      </c>
      <c r="D38" s="7">
        <f>D$27/D$15</f>
        <v>53768.372560000003</v>
      </c>
      <c r="E38" s="7">
        <f t="shared" ref="E38:G38" si="3">E$27/E$15</f>
        <v>37772.274505000001</v>
      </c>
      <c r="F38" s="7">
        <f t="shared" si="3"/>
        <v>30034.666672500003</v>
      </c>
      <c r="G38" s="7">
        <f t="shared" si="3"/>
        <v>26165.862747499999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4" workbookViewId="0">
      <selection activeCell="I31" sqref="I31"/>
    </sheetView>
  </sheetViews>
  <sheetFormatPr defaultRowHeight="14.25" x14ac:dyDescent="0.45"/>
  <cols>
    <col min="1" max="1" width="22.3984375" bestFit="1" customWidth="1"/>
    <col min="2" max="2" width="13.59765625" bestFit="1" customWidth="1"/>
    <col min="3" max="3" width="15" bestFit="1" customWidth="1"/>
    <col min="4" max="4" width="15.86328125" bestFit="1" customWidth="1"/>
    <col min="5" max="5" width="18.265625" bestFit="1" customWidth="1"/>
    <col min="6" max="10" width="15" bestFit="1" customWidth="1"/>
    <col min="12" max="12" width="15" bestFit="1" customWidth="1"/>
    <col min="13" max="14" width="13.3984375" bestFit="1" customWidth="1"/>
    <col min="15" max="18" width="15" bestFit="1" customWidth="1"/>
  </cols>
  <sheetData>
    <row r="1" spans="1:5" x14ac:dyDescent="0.45">
      <c r="A1" s="1" t="s">
        <v>344</v>
      </c>
    </row>
    <row r="2" spans="1:5" x14ac:dyDescent="0.45">
      <c r="A2" t="s">
        <v>289</v>
      </c>
      <c r="B2" s="35">
        <v>43609</v>
      </c>
      <c r="D2" t="s">
        <v>346</v>
      </c>
    </row>
    <row r="3" spans="1:5" x14ac:dyDescent="0.45">
      <c r="B3" t="s">
        <v>206</v>
      </c>
      <c r="C3" t="s">
        <v>277</v>
      </c>
    </row>
    <row r="4" spans="1:5" x14ac:dyDescent="0.45">
      <c r="A4" t="s">
        <v>276</v>
      </c>
      <c r="B4">
        <v>32</v>
      </c>
      <c r="C4">
        <v>47</v>
      </c>
    </row>
    <row r="5" spans="1:5" ht="28.5" x14ac:dyDescent="0.4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45">
      <c r="B6" s="1"/>
      <c r="C6" t="s">
        <v>312</v>
      </c>
      <c r="D6">
        <f>$C$5/100*$D$5/100</f>
        <v>0.1376</v>
      </c>
      <c r="E6" s="2"/>
    </row>
    <row r="7" spans="1:5" x14ac:dyDescent="0.45">
      <c r="A7" t="s">
        <v>287</v>
      </c>
      <c r="D7" s="1">
        <v>1</v>
      </c>
      <c r="E7">
        <v>2</v>
      </c>
    </row>
    <row r="8" spans="1:5" x14ac:dyDescent="0.45">
      <c r="A8" t="s">
        <v>203</v>
      </c>
      <c r="D8" s="37">
        <v>0.75</v>
      </c>
      <c r="E8" s="38" t="s">
        <v>301</v>
      </c>
    </row>
    <row r="9" spans="1:5" x14ac:dyDescent="0.45">
      <c r="B9" t="s">
        <v>283</v>
      </c>
      <c r="C9" t="s">
        <v>284</v>
      </c>
      <c r="D9" t="s">
        <v>286</v>
      </c>
      <c r="E9" t="s">
        <v>285</v>
      </c>
    </row>
    <row r="10" spans="1:5" x14ac:dyDescent="0.4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45">
      <c r="E11" s="7"/>
    </row>
    <row r="12" spans="1:5" x14ac:dyDescent="0.45">
      <c r="E12" s="7"/>
    </row>
    <row r="13" spans="1:5" ht="28.5" x14ac:dyDescent="0.45">
      <c r="D13" t="s">
        <v>311</v>
      </c>
      <c r="E13" s="39" t="s">
        <v>314</v>
      </c>
    </row>
    <row r="14" spans="1:5" x14ac:dyDescent="0.4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45">
      <c r="E15" s="7"/>
    </row>
    <row r="16" spans="1:5" x14ac:dyDescent="0.45">
      <c r="A16" t="s">
        <v>349</v>
      </c>
      <c r="E16" s="7">
        <f>50000+50000</f>
        <v>100000</v>
      </c>
    </row>
    <row r="17" spans="1:18" x14ac:dyDescent="0.45">
      <c r="E17" s="7"/>
    </row>
    <row r="18" spans="1:18" x14ac:dyDescent="0.45">
      <c r="L18" t="s">
        <v>319</v>
      </c>
    </row>
    <row r="19" spans="1:18" x14ac:dyDescent="0.4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28.5" x14ac:dyDescent="0.4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28.5" x14ac:dyDescent="0.4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x14ac:dyDescent="0.4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x14ac:dyDescent="0.4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59816.666599999997</v>
      </c>
      <c r="M23" s="36">
        <f t="shared" si="5"/>
        <v>133983.3333</v>
      </c>
      <c r="N23" s="36">
        <f t="shared" si="5"/>
        <v>171066.6666</v>
      </c>
      <c r="O23" s="36">
        <f t="shared" si="5"/>
        <v>208150</v>
      </c>
      <c r="P23" s="36">
        <f t="shared" si="5"/>
        <v>245233.3333</v>
      </c>
      <c r="Q23" s="36">
        <f t="shared" si="5"/>
        <v>282316.6666</v>
      </c>
      <c r="R23" s="36">
        <f t="shared" si="5"/>
        <v>356483.3333</v>
      </c>
    </row>
    <row r="24" spans="1:18" x14ac:dyDescent="0.45">
      <c r="A24" s="2" t="s">
        <v>292</v>
      </c>
      <c r="C24" s="36">
        <f t="shared" ref="C24:H24" si="6">PhiMayInToner4M(C$21)</f>
        <v>133983.3333</v>
      </c>
      <c r="D24" s="36">
        <f t="shared" si="6"/>
        <v>171066.6666</v>
      </c>
      <c r="E24" s="36">
        <f t="shared" si="6"/>
        <v>208150</v>
      </c>
      <c r="F24" s="36">
        <f t="shared" si="6"/>
        <v>245233.3333</v>
      </c>
      <c r="G24" s="36">
        <f t="shared" si="6"/>
        <v>282316.6666</v>
      </c>
      <c r="H24" s="36">
        <f t="shared" si="6"/>
        <v>356483.3333</v>
      </c>
      <c r="L24" s="36">
        <f t="shared" ref="L24:R24" si="7">L$23*2</f>
        <v>119633.33319999999</v>
      </c>
      <c r="M24" s="36">
        <f t="shared" si="7"/>
        <v>267966.6666</v>
      </c>
      <c r="N24" s="36">
        <f t="shared" si="7"/>
        <v>342133.33319999999</v>
      </c>
      <c r="O24" s="36">
        <f t="shared" si="7"/>
        <v>416300</v>
      </c>
      <c r="P24" s="36">
        <f t="shared" si="7"/>
        <v>490466.6666</v>
      </c>
      <c r="Q24" s="36">
        <f t="shared" si="7"/>
        <v>564633.33319999999</v>
      </c>
      <c r="R24" s="36">
        <f t="shared" si="7"/>
        <v>712966.6666</v>
      </c>
    </row>
    <row r="25" spans="1:18" x14ac:dyDescent="0.45">
      <c r="A25" s="2" t="s">
        <v>300</v>
      </c>
      <c r="C25" s="36">
        <f>PhiMayInToner4M(C$21*2)</f>
        <v>209633.3333</v>
      </c>
      <c r="D25" s="36">
        <f>PhiMayInToner4M(D$21*2)</f>
        <v>283800</v>
      </c>
      <c r="E25" s="36">
        <f t="shared" ref="E25:H25" si="8">PhiMayInToner4M(E$21*2)</f>
        <v>357966.6666</v>
      </c>
      <c r="F25" s="36">
        <f t="shared" si="8"/>
        <v>432133.3333</v>
      </c>
      <c r="G25" s="36">
        <f t="shared" si="8"/>
        <v>506300</v>
      </c>
      <c r="H25" s="36">
        <f t="shared" si="8"/>
        <v>654633.33330000006</v>
      </c>
      <c r="L25" s="36"/>
      <c r="M25" s="36"/>
      <c r="N25" s="36"/>
      <c r="O25" s="36"/>
      <c r="P25" s="36"/>
      <c r="Q25" s="36"/>
      <c r="R25" s="36"/>
    </row>
    <row r="26" spans="1:18" x14ac:dyDescent="0.4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4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28.5" x14ac:dyDescent="0.4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4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45">
      <c r="L30" s="29">
        <f>L$23*(1+$D$8)</f>
        <v>104679.16654999999</v>
      </c>
      <c r="M30" s="29">
        <f t="shared" ref="M30:R30" si="13">M$23*(1+$D$8)</f>
        <v>234470.83327499998</v>
      </c>
      <c r="N30" s="29">
        <f t="shared" si="13"/>
        <v>299366.66654999997</v>
      </c>
      <c r="O30" s="29">
        <f t="shared" si="13"/>
        <v>364262.5</v>
      </c>
      <c r="P30" s="29">
        <f t="shared" si="13"/>
        <v>429158.33327499998</v>
      </c>
      <c r="Q30" s="29">
        <f t="shared" si="13"/>
        <v>494054.16654999997</v>
      </c>
      <c r="R30" s="29">
        <f t="shared" si="13"/>
        <v>623845.83327499998</v>
      </c>
    </row>
    <row r="31" spans="1:18" x14ac:dyDescent="0.45">
      <c r="A31" s="2" t="s">
        <v>352</v>
      </c>
      <c r="C31" s="29">
        <f t="shared" ref="C31:H31" si="14">(C$24 + SUM(C$26:C$29))*(1+$D$8)</f>
        <v>861398.41690000007</v>
      </c>
      <c r="D31" s="29">
        <f t="shared" si="14"/>
        <v>1013485.569075</v>
      </c>
      <c r="E31" s="29">
        <f t="shared" si="14"/>
        <v>1165572.722475</v>
      </c>
      <c r="F31" s="29">
        <f t="shared" si="14"/>
        <v>1317659.875</v>
      </c>
      <c r="G31" s="29">
        <f t="shared" si="14"/>
        <v>1469747.0277</v>
      </c>
      <c r="H31" s="29">
        <f t="shared" si="14"/>
        <v>1773921.3329249998</v>
      </c>
      <c r="L31" s="29">
        <f>L$24*(1+$D$8)</f>
        <v>209358.33309999999</v>
      </c>
      <c r="M31" s="29">
        <f t="shared" ref="M31:R31" si="15">M$24*(1+$D$8)</f>
        <v>468941.66654999997</v>
      </c>
      <c r="N31" s="29">
        <f t="shared" si="15"/>
        <v>598733.33309999993</v>
      </c>
      <c r="O31" s="29">
        <f t="shared" si="15"/>
        <v>728525</v>
      </c>
      <c r="P31" s="29">
        <f t="shared" si="15"/>
        <v>858316.66654999997</v>
      </c>
      <c r="Q31" s="29">
        <f t="shared" si="15"/>
        <v>988108.33309999993</v>
      </c>
      <c r="R31" s="29">
        <f t="shared" si="15"/>
        <v>1247691.66655</v>
      </c>
    </row>
    <row r="32" spans="1:18" x14ac:dyDescent="0.45">
      <c r="A32" s="2" t="s">
        <v>353</v>
      </c>
      <c r="C32" s="29">
        <f t="shared" ref="C32:H32" si="16">(C$25 + SUM(C$26:C$29))*(1+$D$8)</f>
        <v>993785.91690000007</v>
      </c>
      <c r="D32" s="29">
        <f t="shared" si="16"/>
        <v>1210768.902525</v>
      </c>
      <c r="E32" s="29">
        <f t="shared" si="16"/>
        <v>1427751.8890249999</v>
      </c>
      <c r="F32" s="29">
        <f t="shared" si="16"/>
        <v>1644734.875</v>
      </c>
      <c r="G32" s="29">
        <f t="shared" si="16"/>
        <v>1861717.86115</v>
      </c>
      <c r="H32" s="29">
        <f t="shared" si="16"/>
        <v>2295683.8329249998</v>
      </c>
      <c r="L32" s="7">
        <f t="shared" ref="L32:R32" si="17">L$30/L$20</f>
        <v>104679.16654999999</v>
      </c>
      <c r="M32" s="7">
        <f t="shared" si="17"/>
        <v>4597.4673191176471</v>
      </c>
      <c r="N32" s="7">
        <f t="shared" si="17"/>
        <v>3939.0350861842103</v>
      </c>
      <c r="O32" s="7">
        <f t="shared" si="17"/>
        <v>3606.5594059405939</v>
      </c>
      <c r="P32" s="7">
        <f t="shared" si="17"/>
        <v>3406.0185180555554</v>
      </c>
      <c r="Q32" s="7">
        <f t="shared" si="17"/>
        <v>3271.881897682119</v>
      </c>
      <c r="R32" s="7">
        <f t="shared" si="17"/>
        <v>3103.7106133084576</v>
      </c>
    </row>
    <row r="33" spans="1:18" x14ac:dyDescent="0.45">
      <c r="A33" s="2" t="s">
        <v>354</v>
      </c>
      <c r="C33" s="7">
        <f t="shared" ref="C33:H33" si="18">C$31/C$19</f>
        <v>17227.968338000002</v>
      </c>
      <c r="D33" s="7">
        <f t="shared" si="18"/>
        <v>13513.140921</v>
      </c>
      <c r="E33" s="7">
        <f t="shared" si="18"/>
        <v>11655.72722475</v>
      </c>
      <c r="F33" s="7">
        <f t="shared" si="18"/>
        <v>10541.279</v>
      </c>
      <c r="G33" s="7">
        <f t="shared" si="18"/>
        <v>9798.313517999999</v>
      </c>
      <c r="H33" s="7">
        <f t="shared" si="18"/>
        <v>8869.6066646249983</v>
      </c>
      <c r="L33" s="7">
        <f t="shared" ref="L33:R33" si="19">L$30/L$21</f>
        <v>52339.583274999997</v>
      </c>
      <c r="M33" s="7">
        <f t="shared" si="19"/>
        <v>2298.7336595588235</v>
      </c>
      <c r="N33" s="7">
        <f t="shared" si="19"/>
        <v>1969.5175430921051</v>
      </c>
      <c r="O33" s="7">
        <f t="shared" si="19"/>
        <v>1803.279702970297</v>
      </c>
      <c r="P33" s="7">
        <f t="shared" si="19"/>
        <v>1703.0092590277777</v>
      </c>
      <c r="Q33" s="7">
        <f t="shared" si="19"/>
        <v>1635.9409488410595</v>
      </c>
      <c r="R33" s="7">
        <f t="shared" si="19"/>
        <v>1551.8553066542288</v>
      </c>
    </row>
    <row r="34" spans="1:18" x14ac:dyDescent="0.45">
      <c r="A34" s="2" t="s">
        <v>355</v>
      </c>
      <c r="C34" s="7">
        <f t="shared" ref="C34:H34" si="20">C$32/C$19</f>
        <v>19875.718338000002</v>
      </c>
      <c r="D34" s="7">
        <f t="shared" si="20"/>
        <v>16143.585367</v>
      </c>
      <c r="E34" s="7">
        <f t="shared" si="20"/>
        <v>14277.518890249999</v>
      </c>
      <c r="F34" s="7">
        <f t="shared" si="20"/>
        <v>13157.879000000001</v>
      </c>
      <c r="G34" s="7">
        <f t="shared" si="20"/>
        <v>12411.452407666668</v>
      </c>
      <c r="H34" s="7">
        <f t="shared" si="20"/>
        <v>11478.419164624998</v>
      </c>
      <c r="L34" s="29"/>
      <c r="M34" s="29"/>
      <c r="N34" s="29"/>
      <c r="O34" s="29"/>
      <c r="P34" s="29"/>
      <c r="Q34" s="29"/>
      <c r="R34" s="29"/>
    </row>
    <row r="35" spans="1:18" x14ac:dyDescent="0.4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211906.33309999999</v>
      </c>
      <c r="M35" s="29">
        <f t="shared" si="21"/>
        <v>598889.66654999997</v>
      </c>
      <c r="N35" s="29">
        <f t="shared" si="21"/>
        <v>792381.33309999993</v>
      </c>
      <c r="O35" s="29">
        <f t="shared" si="21"/>
        <v>985873</v>
      </c>
      <c r="P35" s="29">
        <f t="shared" si="21"/>
        <v>1179364.66655</v>
      </c>
      <c r="Q35" s="29">
        <f t="shared" si="21"/>
        <v>1372856.3330999999</v>
      </c>
      <c r="R35" s="29">
        <f t="shared" si="21"/>
        <v>1759839.66655</v>
      </c>
    </row>
    <row r="36" spans="1:18" ht="28.5" x14ac:dyDescent="0.45">
      <c r="A36" s="2" t="s">
        <v>371</v>
      </c>
      <c r="C36" s="7">
        <f t="shared" ref="C36:H36" si="22">C$31-MOD(C$31,1000)</f>
        <v>861000</v>
      </c>
      <c r="D36" s="7">
        <f t="shared" si="22"/>
        <v>1013000</v>
      </c>
      <c r="E36" s="7">
        <f t="shared" si="22"/>
        <v>1165000</v>
      </c>
      <c r="F36" s="7">
        <f t="shared" si="22"/>
        <v>1317000</v>
      </c>
      <c r="G36" s="7">
        <f t="shared" si="22"/>
        <v>1469000</v>
      </c>
      <c r="H36" s="7">
        <f t="shared" si="22"/>
        <v>1773000</v>
      </c>
      <c r="L36" s="29">
        <f t="shared" ref="L36:R36" si="23">L$31+L$20*$E$11</f>
        <v>209358.33309999999</v>
      </c>
      <c r="M36" s="29">
        <f t="shared" si="23"/>
        <v>468941.66654999997</v>
      </c>
      <c r="N36" s="29">
        <f t="shared" si="23"/>
        <v>598733.33309999993</v>
      </c>
      <c r="O36" s="29">
        <f t="shared" si="23"/>
        <v>728525</v>
      </c>
      <c r="P36" s="29">
        <f t="shared" si="23"/>
        <v>858316.66654999997</v>
      </c>
      <c r="Q36" s="29">
        <f t="shared" si="23"/>
        <v>988108.33309999993</v>
      </c>
      <c r="R36" s="29">
        <f t="shared" si="23"/>
        <v>1247691.66655</v>
      </c>
    </row>
    <row r="37" spans="1:18" ht="28.5" x14ac:dyDescent="0.45">
      <c r="A37" s="2" t="s">
        <v>372</v>
      </c>
      <c r="C37" s="7">
        <f t="shared" ref="C37:H37" si="24">C$32-MOD(C$32,1000)</f>
        <v>993000</v>
      </c>
      <c r="D37" s="7">
        <f t="shared" si="24"/>
        <v>1210000</v>
      </c>
      <c r="E37" s="7">
        <f t="shared" si="24"/>
        <v>1427000</v>
      </c>
      <c r="F37" s="7">
        <f t="shared" si="24"/>
        <v>1644000</v>
      </c>
      <c r="G37" s="7">
        <f t="shared" si="24"/>
        <v>1861000</v>
      </c>
      <c r="H37" s="7">
        <f t="shared" si="24"/>
        <v>2295000</v>
      </c>
    </row>
    <row r="38" spans="1:18" x14ac:dyDescent="0.4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4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4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4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4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4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4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D7" sqref="D7"/>
    </sheetView>
  </sheetViews>
  <sheetFormatPr defaultRowHeight="14.25" x14ac:dyDescent="0.45"/>
  <cols>
    <col min="1" max="1" width="22.3984375" bestFit="1" customWidth="1"/>
    <col min="2" max="2" width="17.73046875" bestFit="1" customWidth="1"/>
    <col min="3" max="3" width="18.73046875" bestFit="1" customWidth="1"/>
    <col min="4" max="4" width="15.86328125" bestFit="1" customWidth="1"/>
    <col min="5" max="5" width="18.265625" bestFit="1" customWidth="1"/>
    <col min="6" max="7" width="13.265625" bestFit="1" customWidth="1"/>
    <col min="8" max="8" width="15" bestFit="1" customWidth="1"/>
  </cols>
  <sheetData>
    <row r="1" spans="1:8" x14ac:dyDescent="0.45">
      <c r="A1" s="1" t="s">
        <v>358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277</v>
      </c>
    </row>
    <row r="4" spans="1:8" x14ac:dyDescent="0.45">
      <c r="A4" t="s">
        <v>276</v>
      </c>
      <c r="B4">
        <v>29.7</v>
      </c>
      <c r="C4">
        <v>21</v>
      </c>
    </row>
    <row r="5" spans="1:8" ht="28.5" x14ac:dyDescent="0.45">
      <c r="A5" t="s">
        <v>274</v>
      </c>
      <c r="B5" s="1" t="s">
        <v>363</v>
      </c>
      <c r="E5" s="2" t="s">
        <v>299</v>
      </c>
    </row>
    <row r="6" spans="1:8" x14ac:dyDescent="0.45">
      <c r="A6" t="s">
        <v>287</v>
      </c>
      <c r="D6" s="1">
        <v>2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</row>
    <row r="9" spans="1:8" x14ac:dyDescent="0.4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45">
      <c r="E10" s="7"/>
    </row>
    <row r="12" spans="1:8" x14ac:dyDescent="0.4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28.5" x14ac:dyDescent="0.4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28.5" x14ac:dyDescent="0.4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45">
      <c r="A15" s="2" t="s">
        <v>292</v>
      </c>
      <c r="E15" s="36">
        <f>PhiMayInToner4M(E$14)</f>
        <v>96900</v>
      </c>
      <c r="F15" s="36">
        <f>PhiMayInToner4M(F$14)</f>
        <v>133983.3333</v>
      </c>
      <c r="G15" s="36">
        <f>PhiMayInToner4M(G$14)</f>
        <v>208150</v>
      </c>
      <c r="H15" s="36">
        <f>PhiMayInToner4M(H$14)</f>
        <v>356483.3333</v>
      </c>
    </row>
    <row r="16" spans="1:8" x14ac:dyDescent="0.4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45">
      <c r="A17" s="2" t="s">
        <v>360</v>
      </c>
      <c r="E17" s="36">
        <f>SUM(E$15:E$16)</f>
        <v>129400</v>
      </c>
      <c r="F17" s="36">
        <f>SUM(F$15:F$16)</f>
        <v>197733.3333</v>
      </c>
      <c r="G17" s="36">
        <f>SUM(G$15:G$16)</f>
        <v>334400</v>
      </c>
      <c r="H17" s="36">
        <f>SUM(H$15:H$16)</f>
        <v>607733.33330000006</v>
      </c>
    </row>
    <row r="18" spans="1:8" x14ac:dyDescent="0.45">
      <c r="A18" s="2"/>
      <c r="E18" s="29"/>
      <c r="F18" s="29"/>
      <c r="G18" s="29"/>
      <c r="H18" s="29"/>
    </row>
    <row r="19" spans="1:8" x14ac:dyDescent="0.45">
      <c r="A19" s="2"/>
      <c r="E19" s="29"/>
      <c r="F19" s="29"/>
      <c r="G19" s="29"/>
      <c r="H19" s="29"/>
    </row>
    <row r="20" spans="1:8" x14ac:dyDescent="0.45">
      <c r="A20" s="2"/>
      <c r="E20" s="7"/>
      <c r="F20" s="7"/>
      <c r="G20" s="7"/>
      <c r="H20" s="7"/>
    </row>
    <row r="21" spans="1:8" x14ac:dyDescent="0.45">
      <c r="A21" s="2"/>
      <c r="E21" s="7"/>
      <c r="F21" s="7"/>
      <c r="G21" s="7"/>
      <c r="H21" s="7"/>
    </row>
    <row r="22" spans="1:8" x14ac:dyDescent="0.45">
      <c r="A22" s="2"/>
      <c r="E22" s="29"/>
      <c r="F22" s="29"/>
      <c r="G22" s="29"/>
      <c r="H22" s="29"/>
    </row>
    <row r="23" spans="1:8" x14ac:dyDescent="0.45">
      <c r="A23" s="2" t="s">
        <v>294</v>
      </c>
      <c r="E23" s="29">
        <f>E$17*(1+$D$7)</f>
        <v>226450</v>
      </c>
      <c r="F23" s="29">
        <f>F$17*(1+$D$7)</f>
        <v>346033.33327499998</v>
      </c>
      <c r="G23" s="29">
        <f>G$17*(1+$D$7)</f>
        <v>585200</v>
      </c>
      <c r="H23" s="29">
        <f>H$17*(1+$D$7)</f>
        <v>1063533.3332750001</v>
      </c>
    </row>
    <row r="24" spans="1:8" x14ac:dyDescent="0.45">
      <c r="A24" s="2"/>
      <c r="E24" s="29"/>
      <c r="F24" s="29"/>
      <c r="G24" s="29"/>
      <c r="H24" s="29"/>
    </row>
    <row r="25" spans="1:8" x14ac:dyDescent="0.45">
      <c r="A25" s="2" t="s">
        <v>373</v>
      </c>
      <c r="E25" s="7">
        <f>E$23 - MOD(E$23,1000)</f>
        <v>226000</v>
      </c>
      <c r="F25" s="7">
        <f>F$23 - MOD(F$23,1000)</f>
        <v>346000</v>
      </c>
      <c r="G25" s="7">
        <f>G$23 - MOD(G$23,1000)</f>
        <v>585000</v>
      </c>
      <c r="H25" s="7">
        <f>H$23 - MOD(H$23,1000)</f>
        <v>1063000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topLeftCell="A7" workbookViewId="0">
      <selection activeCell="E15" sqref="E15"/>
    </sheetView>
  </sheetViews>
  <sheetFormatPr defaultRowHeight="14.25" x14ac:dyDescent="0.45"/>
  <cols>
    <col min="1" max="1" width="22.3984375" bestFit="1" customWidth="1"/>
    <col min="2" max="2" width="14.86328125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ht="42.75" x14ac:dyDescent="0.45">
      <c r="A1" s="1" t="s">
        <v>374</v>
      </c>
      <c r="B1" s="2" t="s">
        <v>375</v>
      </c>
    </row>
    <row r="2" spans="1:10" x14ac:dyDescent="0.45">
      <c r="A2" t="s">
        <v>289</v>
      </c>
      <c r="B2" s="35">
        <v>43609</v>
      </c>
    </row>
    <row r="3" spans="1:10" x14ac:dyDescent="0.45">
      <c r="B3" t="s">
        <v>206</v>
      </c>
      <c r="C3" t="s">
        <v>277</v>
      </c>
    </row>
    <row r="4" spans="1:10" x14ac:dyDescent="0.45">
      <c r="A4" t="s">
        <v>276</v>
      </c>
      <c r="B4">
        <v>14.5</v>
      </c>
      <c r="C4">
        <v>10</v>
      </c>
      <c r="D4" t="s">
        <v>376</v>
      </c>
    </row>
    <row r="5" spans="1:10" ht="28.5" x14ac:dyDescent="0.45">
      <c r="A5" t="s">
        <v>274</v>
      </c>
      <c r="B5" s="1" t="s">
        <v>141</v>
      </c>
      <c r="E5" s="2" t="s">
        <v>299</v>
      </c>
    </row>
    <row r="6" spans="1:10" x14ac:dyDescent="0.45">
      <c r="A6" t="s">
        <v>287</v>
      </c>
      <c r="D6" s="1">
        <v>6</v>
      </c>
      <c r="E6">
        <v>2</v>
      </c>
    </row>
    <row r="7" spans="1:10" x14ac:dyDescent="0.45">
      <c r="A7" t="s">
        <v>203</v>
      </c>
      <c r="D7" s="37">
        <v>0.75</v>
      </c>
      <c r="E7" s="38" t="s">
        <v>301</v>
      </c>
    </row>
    <row r="8" spans="1:10" x14ac:dyDescent="0.45">
      <c r="B8" t="s">
        <v>283</v>
      </c>
      <c r="C8" t="s">
        <v>284</v>
      </c>
      <c r="D8" t="s">
        <v>286</v>
      </c>
      <c r="E8" t="s">
        <v>285</v>
      </c>
    </row>
    <row r="9" spans="1:10" x14ac:dyDescent="0.4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45">
      <c r="B10" t="s">
        <v>223</v>
      </c>
      <c r="C10" t="s">
        <v>216</v>
      </c>
      <c r="D10">
        <v>1272</v>
      </c>
      <c r="E10" s="7">
        <v>1272</v>
      </c>
    </row>
    <row r="12" spans="1:10" x14ac:dyDescent="0.4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28.5" x14ac:dyDescent="0.4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45">
      <c r="A15" s="2" t="s">
        <v>292</v>
      </c>
      <c r="E15" s="36">
        <f>PhiInKM4M_BHR60(E$14)</f>
        <v>73166.666599999997</v>
      </c>
      <c r="F15" s="36">
        <f t="shared" ref="F15:J15" si="2">PhiInKM4M_BHR60(F$14)</f>
        <v>85033.333299999998</v>
      </c>
      <c r="G15" s="36">
        <f t="shared" si="2"/>
        <v>96900</v>
      </c>
      <c r="H15" s="36">
        <f t="shared" si="2"/>
        <v>110250</v>
      </c>
      <c r="I15" s="36">
        <f t="shared" si="2"/>
        <v>122116.6666</v>
      </c>
      <c r="J15" s="36">
        <f t="shared" si="2"/>
        <v>133983.3333</v>
      </c>
    </row>
    <row r="16" spans="1:10" x14ac:dyDescent="0.45">
      <c r="A16" s="2" t="s">
        <v>300</v>
      </c>
      <c r="E16" s="36">
        <f>PhiInKM4M_BHR60(E$14*2)</f>
        <v>88000</v>
      </c>
      <c r="F16" s="36">
        <f t="shared" ref="F16:J16" si="3">PhiInKM4M_BHR60(F$14*2)</f>
        <v>111733.3333</v>
      </c>
      <c r="G16" s="36">
        <f t="shared" si="3"/>
        <v>135466.6666</v>
      </c>
      <c r="H16" s="36">
        <f t="shared" si="3"/>
        <v>162166.6666</v>
      </c>
      <c r="I16" s="36">
        <f t="shared" si="3"/>
        <v>185900</v>
      </c>
      <c r="J16" s="36">
        <f t="shared" si="3"/>
        <v>209633.3333</v>
      </c>
    </row>
    <row r="17" spans="1:10" x14ac:dyDescent="0.45">
      <c r="A17" s="2" t="s">
        <v>293</v>
      </c>
      <c r="E17" s="29">
        <f t="shared" ref="E17:J17" si="4">E$15*(1+$D$7)</f>
        <v>128041.66654999999</v>
      </c>
      <c r="F17" s="29">
        <f t="shared" si="4"/>
        <v>148808.33327499998</v>
      </c>
      <c r="G17" s="29">
        <f t="shared" si="4"/>
        <v>169575</v>
      </c>
      <c r="H17" s="29">
        <f t="shared" si="4"/>
        <v>192937.5</v>
      </c>
      <c r="I17" s="29">
        <f t="shared" si="4"/>
        <v>213704.16654999999</v>
      </c>
      <c r="J17" s="29">
        <f t="shared" si="4"/>
        <v>234470.83327499998</v>
      </c>
    </row>
    <row r="18" spans="1:10" x14ac:dyDescent="0.45">
      <c r="A18" s="2" t="s">
        <v>296</v>
      </c>
      <c r="E18" s="29">
        <f t="shared" ref="E18:J18" si="5">E$16*(1+$D$7)</f>
        <v>154000</v>
      </c>
      <c r="F18" s="29">
        <f t="shared" si="5"/>
        <v>195533.33327499998</v>
      </c>
      <c r="G18" s="29">
        <f t="shared" si="5"/>
        <v>237066.66654999999</v>
      </c>
      <c r="H18" s="29">
        <f t="shared" si="5"/>
        <v>283791.66654999997</v>
      </c>
      <c r="I18" s="29">
        <f t="shared" si="5"/>
        <v>325325</v>
      </c>
      <c r="J18" s="29">
        <f t="shared" si="5"/>
        <v>366858.33327499998</v>
      </c>
    </row>
    <row r="19" spans="1:10" x14ac:dyDescent="0.45">
      <c r="A19" s="2" t="s">
        <v>288</v>
      </c>
      <c r="E19" s="7">
        <f t="shared" ref="E19:J19" si="6">E$17/E$13</f>
        <v>12804.166654999999</v>
      </c>
      <c r="F19" s="7">
        <f t="shared" si="6"/>
        <v>8267.1296263888871</v>
      </c>
      <c r="G19" s="7">
        <f t="shared" si="6"/>
        <v>6522.1153846153848</v>
      </c>
      <c r="H19" s="7">
        <f t="shared" si="6"/>
        <v>5512.5</v>
      </c>
      <c r="I19" s="7">
        <f t="shared" si="6"/>
        <v>4969.8643383720928</v>
      </c>
      <c r="J19" s="7">
        <f t="shared" si="6"/>
        <v>4597.4673191176471</v>
      </c>
    </row>
    <row r="20" spans="1:10" x14ac:dyDescent="0.45">
      <c r="A20" s="2" t="s">
        <v>290</v>
      </c>
      <c r="E20" s="7">
        <f t="shared" ref="E20:J20" si="7">E$17/E$14</f>
        <v>6402.0833274999995</v>
      </c>
      <c r="F20" s="7">
        <f t="shared" si="7"/>
        <v>4133.5648131944436</v>
      </c>
      <c r="G20" s="7">
        <f t="shared" si="7"/>
        <v>3261.0576923076924</v>
      </c>
      <c r="H20" s="7">
        <f t="shared" si="7"/>
        <v>2756.25</v>
      </c>
      <c r="I20" s="7">
        <f t="shared" si="7"/>
        <v>2484.9321691860464</v>
      </c>
      <c r="J20" s="7">
        <f t="shared" si="7"/>
        <v>2298.7336595588235</v>
      </c>
    </row>
    <row r="21" spans="1:10" x14ac:dyDescent="0.4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4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45">
      <c r="A23" s="2"/>
      <c r="E23" s="29"/>
      <c r="F23" s="29"/>
      <c r="G23" s="29"/>
      <c r="H23" s="29"/>
      <c r="I23" s="29"/>
      <c r="J23" s="29"/>
    </row>
    <row r="24" spans="1:10" ht="28.5" x14ac:dyDescent="0.45">
      <c r="A24" s="2" t="s">
        <v>379</v>
      </c>
      <c r="E24" s="29">
        <f t="shared" ref="E24:J24" si="10">E$18+E$21</f>
        <v>164560</v>
      </c>
      <c r="F24" s="29">
        <f t="shared" si="10"/>
        <v>214541.33327499998</v>
      </c>
      <c r="G24" s="29">
        <f t="shared" si="10"/>
        <v>264522.66654999997</v>
      </c>
      <c r="H24" s="29">
        <f t="shared" si="10"/>
        <v>320751.66654999997</v>
      </c>
      <c r="I24" s="29">
        <f t="shared" si="10"/>
        <v>370733</v>
      </c>
      <c r="J24" s="29">
        <f t="shared" si="10"/>
        <v>420714.33327499998</v>
      </c>
    </row>
    <row r="25" spans="1:10" ht="28.5" x14ac:dyDescent="0.45">
      <c r="A25" s="2" t="s">
        <v>380</v>
      </c>
      <c r="E25" s="29">
        <f t="shared" ref="E25:J25" si="11">E$18+E$22</f>
        <v>166720</v>
      </c>
      <c r="F25" s="29">
        <f t="shared" si="11"/>
        <v>218429.33327499998</v>
      </c>
      <c r="G25" s="29">
        <f t="shared" si="11"/>
        <v>270138.66654999997</v>
      </c>
      <c r="H25" s="29">
        <f t="shared" si="11"/>
        <v>328311.66654999997</v>
      </c>
      <c r="I25" s="29">
        <f t="shared" si="11"/>
        <v>380021</v>
      </c>
      <c r="J25" s="29">
        <f t="shared" si="11"/>
        <v>431730.33327499998</v>
      </c>
    </row>
    <row r="26" spans="1:10" x14ac:dyDescent="0.45">
      <c r="A26" s="2"/>
      <c r="E26" s="7"/>
      <c r="F26" s="7"/>
      <c r="G26" s="7"/>
      <c r="H26" s="7"/>
      <c r="I26" s="7"/>
      <c r="J26" s="7"/>
    </row>
    <row r="27" spans="1:10" x14ac:dyDescent="0.45">
      <c r="A27" s="2" t="s">
        <v>381</v>
      </c>
      <c r="E27" s="7">
        <f t="shared" ref="E27:J27" si="12">E$24-MOD(E$24,1000)</f>
        <v>164000</v>
      </c>
      <c r="F27" s="7">
        <f t="shared" si="12"/>
        <v>214000</v>
      </c>
      <c r="G27" s="7">
        <f t="shared" si="12"/>
        <v>264000</v>
      </c>
      <c r="H27" s="7">
        <f t="shared" si="12"/>
        <v>320000</v>
      </c>
      <c r="I27" s="7">
        <f t="shared" si="12"/>
        <v>370000</v>
      </c>
      <c r="J27" s="7">
        <f t="shared" si="12"/>
        <v>420000</v>
      </c>
    </row>
    <row r="28" spans="1:10" x14ac:dyDescent="0.45">
      <c r="A28" s="2" t="s">
        <v>382</v>
      </c>
      <c r="E28" s="7">
        <f t="shared" ref="E28:J28" si="13">E$25-MOD(E$25,1000)</f>
        <v>166000</v>
      </c>
      <c r="F28" s="7">
        <f t="shared" si="13"/>
        <v>218000</v>
      </c>
      <c r="G28" s="7">
        <f t="shared" si="13"/>
        <v>270000</v>
      </c>
      <c r="H28" s="7">
        <f t="shared" si="13"/>
        <v>328000</v>
      </c>
      <c r="I28" s="7">
        <f t="shared" si="13"/>
        <v>380000</v>
      </c>
      <c r="J28" s="7">
        <f t="shared" si="13"/>
        <v>431000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I10" sqref="I10"/>
    </sheetView>
  </sheetViews>
  <sheetFormatPr defaultRowHeight="14.25" x14ac:dyDescent="0.45"/>
  <cols>
    <col min="1" max="1" width="22.3984375" bestFit="1" customWidth="1"/>
    <col min="2" max="2" width="14.86328125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ht="42.75" x14ac:dyDescent="0.45">
      <c r="A1" s="1" t="s">
        <v>374</v>
      </c>
      <c r="B1" s="2" t="s">
        <v>383</v>
      </c>
    </row>
    <row r="2" spans="1:10" x14ac:dyDescent="0.45">
      <c r="A2" t="s">
        <v>289</v>
      </c>
      <c r="B2" s="35">
        <v>43609</v>
      </c>
    </row>
    <row r="3" spans="1:10" x14ac:dyDescent="0.45">
      <c r="B3" t="s">
        <v>206</v>
      </c>
      <c r="C3" t="s">
        <v>277</v>
      </c>
    </row>
    <row r="4" spans="1:10" x14ac:dyDescent="0.45">
      <c r="A4" t="s">
        <v>276</v>
      </c>
      <c r="B4">
        <v>14.5</v>
      </c>
      <c r="C4">
        <v>10</v>
      </c>
      <c r="D4" t="s">
        <v>376</v>
      </c>
    </row>
    <row r="5" spans="1:10" ht="28.5" x14ac:dyDescent="0.45">
      <c r="A5" t="s">
        <v>274</v>
      </c>
      <c r="B5" s="1" t="s">
        <v>141</v>
      </c>
      <c r="E5" s="2" t="s">
        <v>299</v>
      </c>
    </row>
    <row r="6" spans="1:10" x14ac:dyDescent="0.45">
      <c r="A6" t="s">
        <v>287</v>
      </c>
      <c r="D6" s="41">
        <v>4</v>
      </c>
      <c r="E6">
        <v>2</v>
      </c>
    </row>
    <row r="7" spans="1:10" x14ac:dyDescent="0.45">
      <c r="A7" t="s">
        <v>203</v>
      </c>
      <c r="D7" s="37">
        <v>0.75</v>
      </c>
      <c r="E7" s="38" t="s">
        <v>301</v>
      </c>
    </row>
    <row r="8" spans="1:10" x14ac:dyDescent="0.45">
      <c r="B8" t="s">
        <v>283</v>
      </c>
      <c r="C8" t="s">
        <v>284</v>
      </c>
      <c r="D8" t="s">
        <v>286</v>
      </c>
      <c r="E8" t="s">
        <v>285</v>
      </c>
    </row>
    <row r="9" spans="1:10" x14ac:dyDescent="0.45">
      <c r="A9" t="s">
        <v>486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45">
      <c r="A10" t="s">
        <v>487</v>
      </c>
      <c r="B10" t="s">
        <v>223</v>
      </c>
      <c r="C10" t="s">
        <v>216</v>
      </c>
      <c r="D10">
        <v>1272</v>
      </c>
      <c r="E10" s="7">
        <v>1272</v>
      </c>
    </row>
    <row r="12" spans="1:10" x14ac:dyDescent="0.4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28.5" x14ac:dyDescent="0.4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45">
      <c r="A15" s="2"/>
      <c r="E15" s="36"/>
      <c r="F15" s="36"/>
      <c r="G15" s="36"/>
      <c r="H15" s="36"/>
      <c r="I15" s="36"/>
      <c r="J15" s="36"/>
    </row>
    <row r="16" spans="1:10" x14ac:dyDescent="0.45">
      <c r="A16" s="2" t="s">
        <v>300</v>
      </c>
      <c r="E16" s="36">
        <f>PhiInKM4M_BHR60(E$14*2)</f>
        <v>99866.666599999997</v>
      </c>
      <c r="F16" s="36">
        <f t="shared" ref="F16:J16" si="2">PhiInKM4M_BHR60(F$14*2)</f>
        <v>135466.6666</v>
      </c>
      <c r="G16" s="36">
        <f t="shared" si="2"/>
        <v>174033.3333</v>
      </c>
      <c r="H16" s="36">
        <f t="shared" si="2"/>
        <v>209633.3333</v>
      </c>
      <c r="I16" s="36">
        <f t="shared" si="2"/>
        <v>248200</v>
      </c>
      <c r="J16" s="36">
        <f t="shared" si="2"/>
        <v>283800</v>
      </c>
    </row>
    <row r="17" spans="1:10" ht="13.5" customHeight="1" x14ac:dyDescent="0.45">
      <c r="A17" s="2" t="s">
        <v>488</v>
      </c>
      <c r="E17" s="36">
        <f>E$13*$D$9</f>
        <v>14784</v>
      </c>
      <c r="F17" s="36">
        <f t="shared" ref="F17:J17" si="3">F$13*$D$9</f>
        <v>27456</v>
      </c>
      <c r="G17" s="36">
        <f t="shared" si="3"/>
        <v>41184</v>
      </c>
      <c r="H17" s="36">
        <f t="shared" si="3"/>
        <v>53856</v>
      </c>
      <c r="I17" s="36">
        <f t="shared" si="3"/>
        <v>67584</v>
      </c>
      <c r="J17" s="36">
        <f t="shared" si="3"/>
        <v>80256</v>
      </c>
    </row>
    <row r="18" spans="1:10" ht="13.5" customHeight="1" x14ac:dyDescent="0.45">
      <c r="A18" s="2" t="s">
        <v>489</v>
      </c>
      <c r="E18" s="36">
        <f>E$13*$D$10</f>
        <v>17808</v>
      </c>
      <c r="F18" s="36">
        <f t="shared" ref="F18:J18" si="4">F$13*$D$10</f>
        <v>33072</v>
      </c>
      <c r="G18" s="36">
        <f t="shared" si="4"/>
        <v>49608</v>
      </c>
      <c r="H18" s="36">
        <f t="shared" si="4"/>
        <v>64872</v>
      </c>
      <c r="I18" s="36">
        <f t="shared" si="4"/>
        <v>81408</v>
      </c>
      <c r="J18" s="36">
        <f t="shared" si="4"/>
        <v>96672</v>
      </c>
    </row>
    <row r="19" spans="1:10" x14ac:dyDescent="0.45">
      <c r="A19" s="2" t="s">
        <v>485</v>
      </c>
      <c r="E19" s="36">
        <f>PhiMayCanGap(E$12)</f>
        <v>64791.666700000002</v>
      </c>
      <c r="F19" s="36">
        <f t="shared" ref="F19:J19" si="5">PhiMayCanGap(F$12)</f>
        <v>67916.666700000002</v>
      </c>
      <c r="G19" s="36">
        <f t="shared" si="5"/>
        <v>71041.666700000002</v>
      </c>
      <c r="H19" s="36">
        <f t="shared" si="5"/>
        <v>74166.666700000002</v>
      </c>
      <c r="I19" s="36">
        <f t="shared" si="5"/>
        <v>77291.666700000002</v>
      </c>
      <c r="J19" s="36">
        <f t="shared" si="5"/>
        <v>80416.666700000002</v>
      </c>
    </row>
    <row r="20" spans="1:10" x14ac:dyDescent="0.45">
      <c r="A20" s="2"/>
      <c r="E20" s="29"/>
      <c r="F20" s="29"/>
      <c r="G20" s="29"/>
      <c r="H20" s="29"/>
      <c r="I20" s="29"/>
      <c r="J20" s="29"/>
    </row>
    <row r="21" spans="1:10" x14ac:dyDescent="0.45">
      <c r="A21" s="2" t="s">
        <v>490</v>
      </c>
      <c r="E21" s="29">
        <f>E$16+E$19</f>
        <v>164658.3333</v>
      </c>
      <c r="F21" s="29">
        <f t="shared" ref="F21:J21" si="6">F$16+F$19</f>
        <v>203383.3333</v>
      </c>
      <c r="G21" s="29">
        <f t="shared" si="6"/>
        <v>245075</v>
      </c>
      <c r="H21" s="29">
        <f t="shared" si="6"/>
        <v>283800</v>
      </c>
      <c r="I21" s="29">
        <f t="shared" si="6"/>
        <v>325491.6667</v>
      </c>
      <c r="J21" s="29">
        <f t="shared" si="6"/>
        <v>364216.6667</v>
      </c>
    </row>
    <row r="22" spans="1:10" x14ac:dyDescent="0.45">
      <c r="A22" s="2"/>
      <c r="E22" s="7"/>
      <c r="F22" s="7"/>
      <c r="G22" s="7"/>
      <c r="H22" s="7"/>
      <c r="I22" s="7"/>
      <c r="J22" s="7"/>
    </row>
    <row r="23" spans="1:10" x14ac:dyDescent="0.45">
      <c r="A23" s="2"/>
      <c r="E23" s="29"/>
      <c r="F23" s="29"/>
      <c r="G23" s="29"/>
      <c r="H23" s="29"/>
      <c r="I23" s="29"/>
      <c r="J23" s="29"/>
    </row>
    <row r="24" spans="1:10" x14ac:dyDescent="0.45">
      <c r="A24" s="2" t="s">
        <v>491</v>
      </c>
      <c r="E24" s="29">
        <f>(E$17+ E$21)*(1+$D$7)</f>
        <v>314024.08327499998</v>
      </c>
      <c r="F24" s="29">
        <f t="shared" ref="F24:J24" si="7">(F$17+ F$21)*(1+$D$7)</f>
        <v>403968.83327499998</v>
      </c>
      <c r="G24" s="29">
        <f t="shared" si="7"/>
        <v>500953.25</v>
      </c>
      <c r="H24" s="29">
        <f t="shared" si="7"/>
        <v>590898</v>
      </c>
      <c r="I24" s="29">
        <f t="shared" si="7"/>
        <v>687882.41672500002</v>
      </c>
      <c r="J24" s="29">
        <f t="shared" si="7"/>
        <v>777827.16672500002</v>
      </c>
    </row>
    <row r="25" spans="1:10" x14ac:dyDescent="0.45">
      <c r="A25" s="2" t="s">
        <v>491</v>
      </c>
      <c r="E25" s="29">
        <f>(E$18+ E$21)*(1+$D$7)</f>
        <v>319316.08327499998</v>
      </c>
      <c r="F25" s="29">
        <f t="shared" ref="F25:J25" si="8">(F$18+ F$21)*(1+$D$7)</f>
        <v>413796.83327499998</v>
      </c>
      <c r="G25" s="29">
        <f t="shared" si="8"/>
        <v>515695.25</v>
      </c>
      <c r="H25" s="29">
        <f t="shared" si="8"/>
        <v>610176</v>
      </c>
      <c r="I25" s="29">
        <f t="shared" si="8"/>
        <v>712074.41672500002</v>
      </c>
      <c r="J25" s="29">
        <f t="shared" si="8"/>
        <v>806555.16672500002</v>
      </c>
    </row>
    <row r="26" spans="1:10" x14ac:dyDescent="0.45">
      <c r="A26" s="2"/>
      <c r="E26" s="7"/>
      <c r="F26" s="7"/>
      <c r="G26" s="7"/>
      <c r="H26" s="7"/>
      <c r="I26" s="7"/>
      <c r="J26" s="7"/>
    </row>
    <row r="27" spans="1:10" ht="28.5" x14ac:dyDescent="0.45">
      <c r="A27" s="2" t="s">
        <v>492</v>
      </c>
      <c r="E27" s="7">
        <f>LamChanHangNgan(E$24)</f>
        <v>314000</v>
      </c>
      <c r="F27" s="7">
        <f t="shared" ref="F27:J27" si="9">LamChanHangNgan(F$24)</f>
        <v>403000</v>
      </c>
      <c r="G27" s="7">
        <f t="shared" si="9"/>
        <v>500000</v>
      </c>
      <c r="H27" s="7">
        <f t="shared" si="9"/>
        <v>590000</v>
      </c>
      <c r="I27" s="7">
        <f t="shared" si="9"/>
        <v>687000</v>
      </c>
      <c r="J27" s="7">
        <f t="shared" si="9"/>
        <v>777000</v>
      </c>
    </row>
    <row r="28" spans="1:10" ht="28.5" x14ac:dyDescent="0.45">
      <c r="A28" s="2" t="s">
        <v>493</v>
      </c>
      <c r="E28" s="7">
        <f>LamChanHangNgan(E$25)</f>
        <v>319000</v>
      </c>
      <c r="F28" s="7">
        <f t="shared" ref="F28:J28" si="10">LamChanHangNgan(F$25)</f>
        <v>413000</v>
      </c>
      <c r="G28" s="7">
        <f t="shared" si="10"/>
        <v>515000</v>
      </c>
      <c r="H28" s="7">
        <f t="shared" si="10"/>
        <v>610000</v>
      </c>
      <c r="I28" s="7">
        <f t="shared" si="10"/>
        <v>712000</v>
      </c>
      <c r="J28" s="7">
        <f t="shared" si="10"/>
        <v>806000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4.25" x14ac:dyDescent="0.45"/>
  <cols>
    <col min="3" max="3" width="10.59765625" bestFit="1" customWidth="1"/>
    <col min="4" max="4" width="7" bestFit="1" customWidth="1"/>
    <col min="6" max="6" width="12.1328125" bestFit="1" customWidth="1"/>
  </cols>
  <sheetData>
    <row r="2" spans="2:11" x14ac:dyDescent="0.45">
      <c r="B2">
        <f t="array" ref="B2:F5">DanhSachMayIn()</f>
        <v>0</v>
      </c>
      <c r="C2">
        <v>0</v>
      </c>
      <c r="D2">
        <v>0</v>
      </c>
      <c r="E2">
        <v>0</v>
      </c>
      <c r="F2">
        <v>0</v>
      </c>
    </row>
    <row r="3" spans="2:11" x14ac:dyDescent="0.45">
      <c r="B3">
        <v>0</v>
      </c>
      <c r="C3">
        <v>0</v>
      </c>
      <c r="D3">
        <v>0</v>
      </c>
      <c r="E3">
        <v>0</v>
      </c>
      <c r="F3">
        <v>0</v>
      </c>
    </row>
    <row r="4" spans="2:11" x14ac:dyDescent="0.45">
      <c r="B4">
        <v>0</v>
      </c>
      <c r="C4">
        <v>0</v>
      </c>
      <c r="D4">
        <v>0</v>
      </c>
      <c r="E4">
        <v>0</v>
      </c>
      <c r="F4">
        <v>0</v>
      </c>
    </row>
    <row r="5" spans="2:11" x14ac:dyDescent="0.45">
      <c r="B5">
        <v>0</v>
      </c>
      <c r="C5">
        <v>0</v>
      </c>
      <c r="D5">
        <v>0</v>
      </c>
      <c r="E5">
        <v>0</v>
      </c>
      <c r="F5">
        <v>0</v>
      </c>
    </row>
    <row r="7" spans="2:11" x14ac:dyDescent="0.45">
      <c r="G7" t="s">
        <v>324</v>
      </c>
    </row>
    <row r="8" spans="2:11" x14ac:dyDescent="0.4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4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4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4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F25" sqref="F25"/>
    </sheetView>
  </sheetViews>
  <sheetFormatPr defaultRowHeight="14.25" x14ac:dyDescent="0.45"/>
  <cols>
    <col min="1" max="1" width="20" bestFit="1" customWidth="1"/>
    <col min="2" max="2" width="13.1328125" bestFit="1" customWidth="1"/>
    <col min="3" max="3" width="14.265625" bestFit="1" customWidth="1"/>
    <col min="4" max="4" width="16.73046875" customWidth="1"/>
    <col min="5" max="5" width="18.265625" bestFit="1" customWidth="1"/>
    <col min="6" max="9" width="15" bestFit="1" customWidth="1"/>
  </cols>
  <sheetData>
    <row r="1" spans="1:6" x14ac:dyDescent="0.45">
      <c r="A1" s="1" t="s">
        <v>384</v>
      </c>
    </row>
    <row r="2" spans="1:6" x14ac:dyDescent="0.45">
      <c r="A2" t="s">
        <v>289</v>
      </c>
      <c r="B2" s="35">
        <v>43609</v>
      </c>
      <c r="D2" t="s">
        <v>388</v>
      </c>
    </row>
    <row r="3" spans="1:6" x14ac:dyDescent="0.45">
      <c r="B3" t="s">
        <v>206</v>
      </c>
      <c r="C3" t="s">
        <v>277</v>
      </c>
      <c r="E3" t="s">
        <v>392</v>
      </c>
    </row>
    <row r="4" spans="1:6" x14ac:dyDescent="0.45">
      <c r="A4" t="s">
        <v>385</v>
      </c>
      <c r="B4">
        <v>27</v>
      </c>
      <c r="C4">
        <v>26</v>
      </c>
    </row>
    <row r="5" spans="1:6" ht="57" x14ac:dyDescent="0.4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45">
      <c r="B6" s="1"/>
      <c r="C6" t="s">
        <v>312</v>
      </c>
      <c r="D6">
        <f>$C$5/100*$D$5/100</f>
        <v>8.6400000000000005E-2</v>
      </c>
      <c r="E6" s="2"/>
    </row>
    <row r="7" spans="1:6" x14ac:dyDescent="0.45">
      <c r="A7" t="s">
        <v>287</v>
      </c>
      <c r="D7" s="1">
        <v>1</v>
      </c>
      <c r="E7">
        <v>1</v>
      </c>
    </row>
    <row r="8" spans="1:6" x14ac:dyDescent="0.45">
      <c r="A8" t="s">
        <v>203</v>
      </c>
      <c r="D8" s="37">
        <v>0.75</v>
      </c>
      <c r="E8" s="38" t="s">
        <v>301</v>
      </c>
    </row>
    <row r="9" spans="1:6" x14ac:dyDescent="0.4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4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45">
      <c r="E11" s="7"/>
    </row>
    <row r="12" spans="1:6" x14ac:dyDescent="0.45">
      <c r="E12" s="7"/>
    </row>
    <row r="13" spans="1:6" x14ac:dyDescent="0.45">
      <c r="E13" s="7"/>
    </row>
    <row r="14" spans="1:6" x14ac:dyDescent="0.45">
      <c r="A14" t="s">
        <v>394</v>
      </c>
      <c r="E14" s="7">
        <f>120000+50000</f>
        <v>170000</v>
      </c>
    </row>
    <row r="15" spans="1:6" x14ac:dyDescent="0.45">
      <c r="E15" s="7"/>
    </row>
    <row r="17" spans="1:9" x14ac:dyDescent="0.4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28.5" x14ac:dyDescent="0.4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28.5" x14ac:dyDescent="0.4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4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4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45">
      <c r="A22" s="2"/>
      <c r="C22" s="36"/>
      <c r="D22" s="36"/>
      <c r="E22" s="36"/>
      <c r="F22" s="36"/>
      <c r="G22" s="36"/>
      <c r="H22" s="36"/>
      <c r="I22" s="36"/>
    </row>
    <row r="23" spans="1:9" x14ac:dyDescent="0.4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45">
      <c r="A24" s="2"/>
      <c r="C24" s="7"/>
      <c r="D24" s="7"/>
      <c r="E24" s="7"/>
      <c r="F24" s="7"/>
      <c r="G24" s="7"/>
      <c r="H24" s="7"/>
      <c r="I24" s="7"/>
    </row>
    <row r="25" spans="1:9" x14ac:dyDescent="0.4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28.5" x14ac:dyDescent="0.4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4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x14ac:dyDescent="0.4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4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45">
      <c r="A30" s="2"/>
      <c r="C30" s="29"/>
      <c r="D30" s="29"/>
      <c r="E30" s="29"/>
      <c r="F30" s="29"/>
      <c r="G30" s="29"/>
      <c r="H30" s="29"/>
      <c r="I30" s="29"/>
    </row>
    <row r="31" spans="1:9" ht="28.5" x14ac:dyDescent="0.4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4.25" x14ac:dyDescent="0.45"/>
  <cols>
    <col min="1" max="1" width="20" bestFit="1" customWidth="1"/>
    <col min="2" max="2" width="13.1328125" bestFit="1" customWidth="1"/>
    <col min="3" max="3" width="14.265625" bestFit="1" customWidth="1"/>
    <col min="4" max="4" width="16.73046875" customWidth="1"/>
    <col min="5" max="5" width="18.265625" bestFit="1" customWidth="1"/>
    <col min="6" max="9" width="15" bestFit="1" customWidth="1"/>
  </cols>
  <sheetData>
    <row r="1" spans="1:6" x14ac:dyDescent="0.45">
      <c r="A1" s="1" t="s">
        <v>405</v>
      </c>
    </row>
    <row r="2" spans="1:6" x14ac:dyDescent="0.45">
      <c r="A2" t="s">
        <v>289</v>
      </c>
      <c r="B2" s="35">
        <v>43609</v>
      </c>
      <c r="D2" t="s">
        <v>388</v>
      </c>
    </row>
    <row r="3" spans="1:6" x14ac:dyDescent="0.45">
      <c r="B3" t="s">
        <v>206</v>
      </c>
      <c r="C3" t="s">
        <v>277</v>
      </c>
      <c r="E3" t="s">
        <v>392</v>
      </c>
    </row>
    <row r="4" spans="1:6" x14ac:dyDescent="0.45">
      <c r="A4" t="s">
        <v>385</v>
      </c>
      <c r="B4">
        <v>27</v>
      </c>
      <c r="C4">
        <v>26</v>
      </c>
    </row>
    <row r="5" spans="1:6" ht="57" x14ac:dyDescent="0.4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45">
      <c r="B6" s="1"/>
      <c r="C6" t="s">
        <v>312</v>
      </c>
      <c r="D6">
        <f>$C$5/100*$D$5/100</f>
        <v>7.0199999999999999E-2</v>
      </c>
      <c r="E6" s="2"/>
    </row>
    <row r="7" spans="1:6" x14ac:dyDescent="0.45">
      <c r="A7" t="s">
        <v>287</v>
      </c>
      <c r="D7" s="1">
        <v>1</v>
      </c>
      <c r="E7">
        <v>1</v>
      </c>
    </row>
    <row r="8" spans="1:6" x14ac:dyDescent="0.45">
      <c r="A8" t="s">
        <v>203</v>
      </c>
      <c r="D8" s="37">
        <v>0.75</v>
      </c>
      <c r="E8" s="38" t="s">
        <v>301</v>
      </c>
    </row>
    <row r="9" spans="1:6" x14ac:dyDescent="0.4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4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45">
      <c r="E11" s="7"/>
    </row>
    <row r="12" spans="1:6" x14ac:dyDescent="0.45">
      <c r="E12" s="7"/>
    </row>
    <row r="13" spans="1:6" x14ac:dyDescent="0.45">
      <c r="E13" s="7"/>
    </row>
    <row r="14" spans="1:6" x14ac:dyDescent="0.45">
      <c r="A14" t="s">
        <v>394</v>
      </c>
      <c r="E14" s="7">
        <f>120000+50000</f>
        <v>170000</v>
      </c>
    </row>
    <row r="15" spans="1:6" x14ac:dyDescent="0.45">
      <c r="E15" s="7"/>
    </row>
    <row r="17" spans="1:9" x14ac:dyDescent="0.4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28.5" x14ac:dyDescent="0.4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28.5" x14ac:dyDescent="0.4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4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4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45">
      <c r="A22" s="2"/>
      <c r="C22" s="36"/>
      <c r="D22" s="36"/>
      <c r="E22" s="36"/>
      <c r="F22" s="36"/>
      <c r="G22" s="36"/>
      <c r="H22" s="36"/>
      <c r="I22" s="36"/>
    </row>
    <row r="23" spans="1:9" x14ac:dyDescent="0.4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45">
      <c r="A24" s="2"/>
      <c r="C24" s="7"/>
      <c r="D24" s="7"/>
      <c r="E24" s="7"/>
      <c r="F24" s="7"/>
      <c r="G24" s="7"/>
      <c r="H24" s="7"/>
      <c r="I24" s="7"/>
    </row>
    <row r="25" spans="1:9" x14ac:dyDescent="0.4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28.5" x14ac:dyDescent="0.4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4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x14ac:dyDescent="0.4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4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45">
      <c r="A30" s="2"/>
      <c r="C30" s="29"/>
      <c r="D30" s="29"/>
      <c r="E30" s="29"/>
      <c r="F30" s="29"/>
      <c r="G30" s="29"/>
      <c r="H30" s="29"/>
      <c r="I30" s="29"/>
    </row>
    <row r="31" spans="1:9" ht="28.5" x14ac:dyDescent="0.4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4.25" x14ac:dyDescent="0.45"/>
  <cols>
    <col min="1" max="1" width="20" bestFit="1" customWidth="1"/>
    <col min="2" max="2" width="13.1328125" bestFit="1" customWidth="1"/>
    <col min="3" max="3" width="14.265625" bestFit="1" customWidth="1"/>
    <col min="4" max="4" width="16.73046875" customWidth="1"/>
    <col min="5" max="5" width="18.265625" bestFit="1" customWidth="1"/>
    <col min="6" max="9" width="15" bestFit="1" customWidth="1"/>
  </cols>
  <sheetData>
    <row r="1" spans="1:6" x14ac:dyDescent="0.45">
      <c r="A1" s="1" t="s">
        <v>404</v>
      </c>
    </row>
    <row r="2" spans="1:6" x14ac:dyDescent="0.45">
      <c r="A2" t="s">
        <v>289</v>
      </c>
      <c r="B2" s="35">
        <v>43609</v>
      </c>
      <c r="D2" t="s">
        <v>388</v>
      </c>
    </row>
    <row r="3" spans="1:6" x14ac:dyDescent="0.45">
      <c r="B3" t="s">
        <v>206</v>
      </c>
      <c r="C3" t="s">
        <v>277</v>
      </c>
      <c r="E3" t="s">
        <v>392</v>
      </c>
    </row>
    <row r="4" spans="1:6" x14ac:dyDescent="0.45">
      <c r="A4" t="s">
        <v>385</v>
      </c>
      <c r="B4">
        <v>27</v>
      </c>
      <c r="C4">
        <v>26</v>
      </c>
    </row>
    <row r="5" spans="1:6" ht="57" x14ac:dyDescent="0.4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45">
      <c r="B6" s="1"/>
      <c r="C6" t="s">
        <v>312</v>
      </c>
      <c r="D6">
        <f>$C$5/100*$D$5/100</f>
        <v>7.0199999999999999E-2</v>
      </c>
      <c r="E6" s="2"/>
    </row>
    <row r="7" spans="1:6" x14ac:dyDescent="0.45">
      <c r="A7" t="s">
        <v>287</v>
      </c>
      <c r="D7" s="1">
        <v>1</v>
      </c>
      <c r="E7">
        <v>1</v>
      </c>
    </row>
    <row r="8" spans="1:6" x14ac:dyDescent="0.45">
      <c r="A8" t="s">
        <v>203</v>
      </c>
      <c r="D8" s="37">
        <v>0.75</v>
      </c>
      <c r="E8" s="38" t="s">
        <v>301</v>
      </c>
    </row>
    <row r="9" spans="1:6" x14ac:dyDescent="0.4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4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45">
      <c r="E11" s="7"/>
    </row>
    <row r="12" spans="1:6" x14ac:dyDescent="0.45">
      <c r="E12" s="7"/>
    </row>
    <row r="13" spans="1:6" x14ac:dyDescent="0.45">
      <c r="E13" s="7"/>
    </row>
    <row r="14" spans="1:6" x14ac:dyDescent="0.45">
      <c r="A14" t="s">
        <v>394</v>
      </c>
      <c r="E14" s="7">
        <f>120000+50000</f>
        <v>170000</v>
      </c>
    </row>
    <row r="15" spans="1:6" x14ac:dyDescent="0.45">
      <c r="E15" s="7"/>
    </row>
    <row r="17" spans="1:9" x14ac:dyDescent="0.4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28.5" x14ac:dyDescent="0.4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28.5" x14ac:dyDescent="0.4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4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4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45">
      <c r="A22" s="2"/>
      <c r="C22" s="36"/>
      <c r="D22" s="36"/>
      <c r="E22" s="36"/>
      <c r="F22" s="36"/>
      <c r="G22" s="36"/>
      <c r="H22" s="36"/>
      <c r="I22" s="36"/>
    </row>
    <row r="23" spans="1:9" x14ac:dyDescent="0.4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45">
      <c r="A24" s="2"/>
      <c r="C24" s="7"/>
      <c r="D24" s="7"/>
      <c r="E24" s="7"/>
      <c r="F24" s="7"/>
      <c r="G24" s="7"/>
      <c r="H24" s="7"/>
      <c r="I24" s="7"/>
    </row>
    <row r="25" spans="1:9" x14ac:dyDescent="0.4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28.5" x14ac:dyDescent="0.4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45">
      <c r="A27" s="2" t="s">
        <v>397</v>
      </c>
      <c r="C27" s="29">
        <f>SUM(C$21:C$26)</f>
        <v>398231.66653333331</v>
      </c>
      <c r="D27" s="29">
        <f t="shared" ref="D27:I27" si="7">SUM(D$21:D$26)</f>
        <v>468481.66666666669</v>
      </c>
      <c r="E27" s="29">
        <f t="shared" si="7"/>
        <v>539148.33320000011</v>
      </c>
      <c r="F27" s="29">
        <f t="shared" si="7"/>
        <v>609815.00003333332</v>
      </c>
      <c r="G27" s="29">
        <f t="shared" si="7"/>
        <v>680064.99966666673</v>
      </c>
      <c r="H27" s="29">
        <f t="shared" si="7"/>
        <v>750731.66650000005</v>
      </c>
      <c r="I27" s="29">
        <f t="shared" si="7"/>
        <v>1032981.6659333333</v>
      </c>
    </row>
    <row r="28" spans="1:9" x14ac:dyDescent="0.45">
      <c r="A28" s="2" t="s">
        <v>398</v>
      </c>
      <c r="C28" s="29">
        <f>C$27*(1+$D$8)</f>
        <v>696905.4164333333</v>
      </c>
      <c r="D28" s="29">
        <f t="shared" ref="D28:I28" si="8">D$27*(1+$D$8)</f>
        <v>819842.91666666674</v>
      </c>
      <c r="E28" s="29">
        <f t="shared" si="8"/>
        <v>943509.58310000016</v>
      </c>
      <c r="F28" s="29">
        <f t="shared" si="8"/>
        <v>1067176.2500583334</v>
      </c>
      <c r="G28" s="29">
        <f t="shared" si="8"/>
        <v>1190113.7494166668</v>
      </c>
      <c r="H28" s="29">
        <f t="shared" si="8"/>
        <v>1313780.416375</v>
      </c>
      <c r="I28" s="29">
        <f t="shared" si="8"/>
        <v>1807717.9153833333</v>
      </c>
    </row>
    <row r="29" spans="1:9" x14ac:dyDescent="0.45">
      <c r="A29" s="2" t="s">
        <v>395</v>
      </c>
      <c r="C29" s="7">
        <f t="shared" ref="C29:I29" si="9">C$27/C$17</f>
        <v>7964.6333306666666</v>
      </c>
      <c r="D29" s="7">
        <f t="shared" si="9"/>
        <v>4684.8166666666666</v>
      </c>
      <c r="E29" s="7">
        <f t="shared" si="9"/>
        <v>3594.3222213333343</v>
      </c>
      <c r="F29" s="7">
        <f t="shared" si="9"/>
        <v>3049.0750001666665</v>
      </c>
      <c r="G29" s="7">
        <f t="shared" si="9"/>
        <v>2720.2599986666669</v>
      </c>
      <c r="H29" s="7">
        <f t="shared" si="9"/>
        <v>2502.4388883333336</v>
      </c>
      <c r="I29" s="7">
        <f t="shared" si="9"/>
        <v>2065.9633318666665</v>
      </c>
    </row>
    <row r="30" spans="1:9" x14ac:dyDescent="0.45">
      <c r="A30" s="2"/>
      <c r="C30" s="29"/>
      <c r="D30" s="29"/>
      <c r="E30" s="29"/>
      <c r="F30" s="29"/>
      <c r="G30" s="29"/>
      <c r="H30" s="29"/>
      <c r="I30" s="29"/>
    </row>
    <row r="31" spans="1:9" ht="28.5" x14ac:dyDescent="0.45">
      <c r="A31" s="2" t="s">
        <v>403</v>
      </c>
      <c r="C31" s="7">
        <f>C$28-MOD(C$28,1000)</f>
        <v>696000</v>
      </c>
      <c r="D31" s="7">
        <f t="shared" ref="D31:I31" si="10">D$28-MOD(D$28,1000)</f>
        <v>819000</v>
      </c>
      <c r="E31" s="7">
        <f t="shared" si="10"/>
        <v>943000</v>
      </c>
      <c r="F31" s="7">
        <f t="shared" si="10"/>
        <v>1067000</v>
      </c>
      <c r="G31" s="7">
        <f t="shared" si="10"/>
        <v>1190000</v>
      </c>
      <c r="H31" s="7">
        <f t="shared" si="10"/>
        <v>1313000</v>
      </c>
      <c r="I31" s="7">
        <f t="shared" si="10"/>
        <v>1807000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4.25" x14ac:dyDescent="0.45"/>
  <cols>
    <col min="1" max="1" width="20" bestFit="1" customWidth="1"/>
    <col min="2" max="2" width="13.1328125" bestFit="1" customWidth="1"/>
    <col min="3" max="3" width="15.59765625" bestFit="1" customWidth="1"/>
    <col min="4" max="4" width="16.73046875" customWidth="1"/>
    <col min="5" max="5" width="18.265625" bestFit="1" customWidth="1"/>
    <col min="6" max="9" width="15" bestFit="1" customWidth="1"/>
  </cols>
  <sheetData>
    <row r="1" spans="1:6" x14ac:dyDescent="0.45">
      <c r="A1" s="1" t="s">
        <v>407</v>
      </c>
    </row>
    <row r="2" spans="1:6" x14ac:dyDescent="0.45">
      <c r="A2" t="s">
        <v>289</v>
      </c>
      <c r="B2" s="35">
        <v>43609</v>
      </c>
      <c r="D2" t="s">
        <v>388</v>
      </c>
    </row>
    <row r="3" spans="1:6" x14ac:dyDescent="0.45">
      <c r="B3" t="s">
        <v>206</v>
      </c>
      <c r="C3" t="s">
        <v>277</v>
      </c>
      <c r="E3" t="s">
        <v>392</v>
      </c>
    </row>
    <row r="4" spans="1:6" x14ac:dyDescent="0.45">
      <c r="A4" t="s">
        <v>385</v>
      </c>
      <c r="B4">
        <v>27</v>
      </c>
      <c r="C4">
        <v>26</v>
      </c>
    </row>
    <row r="5" spans="1:6" ht="57" x14ac:dyDescent="0.4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45">
      <c r="B6" s="1"/>
      <c r="C6" t="s">
        <v>312</v>
      </c>
      <c r="D6">
        <f>$C$5/100*$D$5/100</f>
        <v>0.24</v>
      </c>
      <c r="E6" s="2"/>
    </row>
    <row r="7" spans="1:6" x14ac:dyDescent="0.45">
      <c r="A7" t="s">
        <v>287</v>
      </c>
      <c r="D7" s="1">
        <v>1</v>
      </c>
      <c r="E7">
        <v>4</v>
      </c>
    </row>
    <row r="8" spans="1:6" x14ac:dyDescent="0.45">
      <c r="A8" t="s">
        <v>203</v>
      </c>
      <c r="D8" s="37">
        <v>0.75</v>
      </c>
      <c r="E8" s="38" t="s">
        <v>301</v>
      </c>
    </row>
    <row r="9" spans="1:6" x14ac:dyDescent="0.4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4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45">
      <c r="E11" s="7"/>
    </row>
    <row r="12" spans="1:6" x14ac:dyDescent="0.45">
      <c r="E12" s="7"/>
    </row>
    <row r="13" spans="1:6" x14ac:dyDescent="0.45">
      <c r="E13" s="7"/>
    </row>
    <row r="14" spans="1:6" x14ac:dyDescent="0.45">
      <c r="A14" t="s">
        <v>394</v>
      </c>
      <c r="E14" s="7">
        <f>120000+50000</f>
        <v>170000</v>
      </c>
    </row>
    <row r="15" spans="1:6" x14ac:dyDescent="0.45">
      <c r="E15" s="7"/>
    </row>
    <row r="17" spans="1:9" x14ac:dyDescent="0.4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28.5" x14ac:dyDescent="0.4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28.5" x14ac:dyDescent="0.4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4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45">
      <c r="A21" s="2" t="s">
        <v>292</v>
      </c>
      <c r="C21" s="36">
        <f t="shared" ref="C21:I21" si="3">PhiMayInToner4M(C$19)</f>
        <v>215566.6666</v>
      </c>
      <c r="D21" s="36">
        <f t="shared" si="3"/>
        <v>363900</v>
      </c>
      <c r="E21" s="36">
        <f t="shared" si="3"/>
        <v>512233.3333</v>
      </c>
      <c r="F21" s="36">
        <f t="shared" si="3"/>
        <v>660566.6666</v>
      </c>
      <c r="G21" s="36">
        <f t="shared" si="3"/>
        <v>808900</v>
      </c>
      <c r="H21" s="36">
        <f t="shared" si="3"/>
        <v>957233.33330000006</v>
      </c>
      <c r="I21" s="36">
        <f t="shared" si="3"/>
        <v>1550566.6666000001</v>
      </c>
    </row>
    <row r="22" spans="1:9" x14ac:dyDescent="0.45">
      <c r="A22" s="2"/>
      <c r="C22" s="36"/>
      <c r="D22" s="36"/>
      <c r="E22" s="36"/>
      <c r="F22" s="36"/>
      <c r="G22" s="36"/>
      <c r="H22" s="36"/>
      <c r="I22" s="36"/>
    </row>
    <row r="23" spans="1:9" x14ac:dyDescent="0.4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45">
      <c r="A24" s="2"/>
      <c r="C24" s="7"/>
      <c r="D24" s="7"/>
      <c r="E24" s="7"/>
      <c r="F24" s="7"/>
      <c r="G24" s="7"/>
      <c r="H24" s="7"/>
      <c r="I24" s="7"/>
    </row>
    <row r="25" spans="1:9" x14ac:dyDescent="0.4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28.5" x14ac:dyDescent="0.4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45">
      <c r="A27" s="2" t="s">
        <v>397</v>
      </c>
      <c r="C27" s="29">
        <f>SUM(C$21:C$26)</f>
        <v>552196.66653333337</v>
      </c>
      <c r="D27" s="29">
        <f t="shared" ref="D27:I27" si="7">SUM(D$21:D$26)</f>
        <v>767696.66666666674</v>
      </c>
      <c r="E27" s="29">
        <f t="shared" si="7"/>
        <v>983613.33320000011</v>
      </c>
      <c r="F27" s="29">
        <f t="shared" si="7"/>
        <v>1199530.0000333334</v>
      </c>
      <c r="G27" s="29">
        <f t="shared" si="7"/>
        <v>1415029.9996666668</v>
      </c>
      <c r="H27" s="29">
        <f t="shared" si="7"/>
        <v>1630946.6665000001</v>
      </c>
      <c r="I27" s="29">
        <f t="shared" si="7"/>
        <v>2494196.6659333338</v>
      </c>
    </row>
    <row r="28" spans="1:9" x14ac:dyDescent="0.45">
      <c r="A28" s="2" t="s">
        <v>398</v>
      </c>
      <c r="C28" s="29">
        <f>C$27*(1+$D$8)</f>
        <v>966344.16643333342</v>
      </c>
      <c r="D28" s="29">
        <f t="shared" ref="D28:I28" si="8">D$27*(1+$D$8)</f>
        <v>1343469.1666666667</v>
      </c>
      <c r="E28" s="29">
        <f t="shared" si="8"/>
        <v>1721323.3331000002</v>
      </c>
      <c r="F28" s="29">
        <f t="shared" si="8"/>
        <v>2099177.5000583334</v>
      </c>
      <c r="G28" s="29">
        <f t="shared" si="8"/>
        <v>2476302.499416667</v>
      </c>
      <c r="H28" s="29">
        <f t="shared" si="8"/>
        <v>2854156.666375</v>
      </c>
      <c r="I28" s="29">
        <f t="shared" si="8"/>
        <v>4364844.1653833343</v>
      </c>
    </row>
    <row r="29" spans="1:9" x14ac:dyDescent="0.45">
      <c r="A29" s="2" t="s">
        <v>395</v>
      </c>
      <c r="C29" s="7">
        <f t="shared" ref="C29:I29" si="9">C$27/C$17</f>
        <v>11043.933330666667</v>
      </c>
      <c r="D29" s="7">
        <f t="shared" si="9"/>
        <v>7676.9666666666672</v>
      </c>
      <c r="E29" s="7">
        <f t="shared" si="9"/>
        <v>6557.4222213333342</v>
      </c>
      <c r="F29" s="7">
        <f t="shared" si="9"/>
        <v>5997.6500001666673</v>
      </c>
      <c r="G29" s="7">
        <f t="shared" si="9"/>
        <v>5660.119998666667</v>
      </c>
      <c r="H29" s="7">
        <f t="shared" si="9"/>
        <v>5436.4888883333333</v>
      </c>
      <c r="I29" s="7">
        <f t="shared" si="9"/>
        <v>4988.3933318666677</v>
      </c>
    </row>
    <row r="30" spans="1:9" x14ac:dyDescent="0.45">
      <c r="A30" s="2"/>
      <c r="C30" s="29"/>
      <c r="D30" s="29"/>
      <c r="E30" s="29"/>
      <c r="F30" s="29"/>
      <c r="G30" s="29"/>
      <c r="H30" s="29"/>
      <c r="I30" s="29"/>
    </row>
    <row r="31" spans="1:9" ht="28.5" x14ac:dyDescent="0.45">
      <c r="A31" s="2" t="s">
        <v>403</v>
      </c>
      <c r="C31" s="7">
        <f>C$28-MOD(C$28,1000)</f>
        <v>966000</v>
      </c>
      <c r="D31" s="7">
        <f t="shared" ref="D31:I31" si="10">D$28-MOD(D$28,1000)</f>
        <v>1343000</v>
      </c>
      <c r="E31" s="7">
        <f t="shared" si="10"/>
        <v>1721000</v>
      </c>
      <c r="F31" s="7">
        <f t="shared" si="10"/>
        <v>2099000</v>
      </c>
      <c r="G31" s="7">
        <f t="shared" si="10"/>
        <v>2476000</v>
      </c>
      <c r="H31" s="7">
        <f t="shared" si="10"/>
        <v>2854000</v>
      </c>
      <c r="I31" s="7">
        <f t="shared" si="10"/>
        <v>4364000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8" x14ac:dyDescent="0.45">
      <c r="A1" s="1" t="s">
        <v>411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207</v>
      </c>
    </row>
    <row r="4" spans="1:8" x14ac:dyDescent="0.45">
      <c r="A4" t="s">
        <v>276</v>
      </c>
      <c r="B4">
        <v>18</v>
      </c>
      <c r="C4">
        <v>7</v>
      </c>
    </row>
    <row r="5" spans="1:8" ht="28.5" x14ac:dyDescent="0.45">
      <c r="A5" t="s">
        <v>274</v>
      </c>
      <c r="B5" s="1" t="s">
        <v>275</v>
      </c>
      <c r="E5" s="2" t="s">
        <v>299</v>
      </c>
    </row>
    <row r="6" spans="1:8" x14ac:dyDescent="0.45">
      <c r="A6" t="s">
        <v>287</v>
      </c>
      <c r="D6" s="1">
        <v>8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</row>
    <row r="9" spans="1:8" x14ac:dyDescent="0.4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45">
      <c r="E10" s="7"/>
    </row>
    <row r="12" spans="1:8" x14ac:dyDescent="0.4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28.5" x14ac:dyDescent="0.4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28.5" x14ac:dyDescent="0.4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4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4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4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x14ac:dyDescent="0.4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x14ac:dyDescent="0.4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4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4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4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x14ac:dyDescent="0.45">
      <c r="A23" s="2" t="s">
        <v>294</v>
      </c>
      <c r="C23" s="29">
        <f t="shared" ref="C23:H23" si="10">C$18+C$22</f>
        <v>137270</v>
      </c>
      <c r="D23" s="29">
        <f t="shared" si="10"/>
        <v>163660</v>
      </c>
      <c r="E23" s="29">
        <f t="shared" si="10"/>
        <v>190050</v>
      </c>
      <c r="F23" s="29">
        <f t="shared" si="10"/>
        <v>216440</v>
      </c>
      <c r="G23" s="29">
        <f t="shared" si="10"/>
        <v>247228.33327499998</v>
      </c>
      <c r="H23" s="29">
        <f t="shared" si="10"/>
        <v>273618.33327499998</v>
      </c>
    </row>
    <row r="24" spans="1:8" x14ac:dyDescent="0.45">
      <c r="A24" s="2" t="s">
        <v>295</v>
      </c>
      <c r="C24" s="29">
        <f t="shared" ref="C24:H24" si="11">C$19+C$22</f>
        <v>158036.66654999999</v>
      </c>
      <c r="D24" s="29">
        <f t="shared" si="11"/>
        <v>200001.66654999999</v>
      </c>
      <c r="E24" s="29">
        <f t="shared" si="11"/>
        <v>241966.66654999999</v>
      </c>
      <c r="F24" s="29">
        <f t="shared" si="11"/>
        <v>283931.66654999997</v>
      </c>
      <c r="G24" s="29">
        <f t="shared" si="11"/>
        <v>332890.83327499998</v>
      </c>
      <c r="H24" s="29">
        <f t="shared" si="11"/>
        <v>374855.83327499998</v>
      </c>
    </row>
    <row r="25" spans="1:8" x14ac:dyDescent="0.45">
      <c r="A25" s="2"/>
    </row>
    <row r="26" spans="1:8" x14ac:dyDescent="0.45">
      <c r="A26" s="2" t="s">
        <v>364</v>
      </c>
      <c r="C26" s="7">
        <f t="shared" ref="C26:H26" si="12">C$23-MOD(C$23,1000)</f>
        <v>137000</v>
      </c>
      <c r="D26" s="7">
        <f t="shared" si="12"/>
        <v>163000</v>
      </c>
      <c r="E26" s="7">
        <f t="shared" si="12"/>
        <v>190000</v>
      </c>
      <c r="F26" s="7">
        <f t="shared" si="12"/>
        <v>216000</v>
      </c>
      <c r="G26" s="7">
        <f t="shared" si="12"/>
        <v>247000</v>
      </c>
      <c r="H26" s="7">
        <f t="shared" si="12"/>
        <v>273000</v>
      </c>
    </row>
    <row r="27" spans="1:8" x14ac:dyDescent="0.45">
      <c r="A27" s="2" t="s">
        <v>365</v>
      </c>
      <c r="C27" s="7">
        <f t="shared" ref="C27:H27" si="13">C$24-MOD(C$24,1000)</f>
        <v>158000</v>
      </c>
      <c r="D27" s="7">
        <f t="shared" si="13"/>
        <v>200000</v>
      </c>
      <c r="E27" s="7">
        <f t="shared" si="13"/>
        <v>241000</v>
      </c>
      <c r="F27" s="7">
        <f t="shared" si="13"/>
        <v>283000</v>
      </c>
      <c r="G27" s="7">
        <f t="shared" si="13"/>
        <v>332000</v>
      </c>
      <c r="H27" s="7">
        <f t="shared" si="13"/>
        <v>374000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K14" sqref="K14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8" x14ac:dyDescent="0.45">
      <c r="A1" s="1" t="s">
        <v>414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207</v>
      </c>
    </row>
    <row r="4" spans="1:8" x14ac:dyDescent="0.45">
      <c r="A4" t="s">
        <v>276</v>
      </c>
      <c r="B4">
        <v>21</v>
      </c>
      <c r="C4">
        <v>9</v>
      </c>
    </row>
    <row r="5" spans="1:8" ht="28.5" x14ac:dyDescent="0.45">
      <c r="A5" t="s">
        <v>274</v>
      </c>
      <c r="B5" s="1" t="s">
        <v>275</v>
      </c>
      <c r="E5" s="2" t="s">
        <v>299</v>
      </c>
    </row>
    <row r="6" spans="1:8" x14ac:dyDescent="0.45">
      <c r="A6" t="s">
        <v>287</v>
      </c>
      <c r="D6" s="1">
        <v>6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</row>
    <row r="9" spans="1:8" x14ac:dyDescent="0.4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45">
      <c r="E10" s="7"/>
    </row>
    <row r="12" spans="1:8" x14ac:dyDescent="0.4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28.5" x14ac:dyDescent="0.4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28.5" x14ac:dyDescent="0.4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45">
      <c r="A15" s="2" t="s">
        <v>292</v>
      </c>
      <c r="C15" s="36">
        <f t="shared" ref="C15:H15" si="2">PhiMayInToner4M(C$14)</f>
        <v>73166.666599999997</v>
      </c>
      <c r="D15" s="36">
        <f t="shared" si="2"/>
        <v>85033.333299999998</v>
      </c>
      <c r="E15" s="36">
        <f t="shared" si="2"/>
        <v>96900</v>
      </c>
      <c r="F15" s="36">
        <f t="shared" si="2"/>
        <v>110250</v>
      </c>
      <c r="G15" s="36">
        <f t="shared" si="2"/>
        <v>122116.6666</v>
      </c>
      <c r="H15" s="36">
        <f t="shared" si="2"/>
        <v>133983.3333</v>
      </c>
    </row>
    <row r="16" spans="1:8" x14ac:dyDescent="0.45">
      <c r="A16" s="2" t="s">
        <v>300</v>
      </c>
      <c r="C16" s="36">
        <f>PhiMayInToner4M(C$14*2)</f>
        <v>88000</v>
      </c>
      <c r="D16" s="36">
        <f t="shared" ref="D16:H16" si="3">PhiMayInToner4M(D$14*2)</f>
        <v>111733.3333</v>
      </c>
      <c r="E16" s="36">
        <f t="shared" si="3"/>
        <v>135466.6666</v>
      </c>
      <c r="F16" s="36">
        <f t="shared" si="3"/>
        <v>162166.6666</v>
      </c>
      <c r="G16" s="36">
        <f t="shared" si="3"/>
        <v>185900</v>
      </c>
      <c r="H16" s="36">
        <f t="shared" si="3"/>
        <v>209633.3333</v>
      </c>
    </row>
    <row r="17" spans="1:8" x14ac:dyDescent="0.4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x14ac:dyDescent="0.45">
      <c r="A18" s="2" t="s">
        <v>412</v>
      </c>
      <c r="C18" s="29">
        <f t="shared" ref="C18:H18" si="5">(C$15)*(1+$D$7)</f>
        <v>128041.66654999999</v>
      </c>
      <c r="D18" s="29">
        <f t="shared" si="5"/>
        <v>148808.33327499998</v>
      </c>
      <c r="E18" s="29">
        <f t="shared" si="5"/>
        <v>169575</v>
      </c>
      <c r="F18" s="29">
        <f t="shared" si="5"/>
        <v>192937.5</v>
      </c>
      <c r="G18" s="29">
        <f t="shared" si="5"/>
        <v>213704.16654999999</v>
      </c>
      <c r="H18" s="29">
        <f t="shared" si="5"/>
        <v>234470.83327499998</v>
      </c>
    </row>
    <row r="19" spans="1:8" x14ac:dyDescent="0.45">
      <c r="A19" s="2" t="s">
        <v>413</v>
      </c>
      <c r="C19" s="29">
        <f t="shared" ref="C19:H19" si="6">(C$16)*(1+$D$7)</f>
        <v>154000</v>
      </c>
      <c r="D19" s="29">
        <f t="shared" si="6"/>
        <v>195533.33327499998</v>
      </c>
      <c r="E19" s="29">
        <f t="shared" si="6"/>
        <v>237066.66654999999</v>
      </c>
      <c r="F19" s="29">
        <f t="shared" si="6"/>
        <v>283791.66654999997</v>
      </c>
      <c r="G19" s="29">
        <f t="shared" si="6"/>
        <v>325325</v>
      </c>
      <c r="H19" s="29">
        <f t="shared" si="6"/>
        <v>366858.33327499998</v>
      </c>
    </row>
    <row r="20" spans="1:8" x14ac:dyDescent="0.45">
      <c r="A20" s="2" t="s">
        <v>288</v>
      </c>
      <c r="C20" s="7">
        <f t="shared" ref="C20:H20" si="7">C$18/C$13</f>
        <v>12804.166654999999</v>
      </c>
      <c r="D20" s="7">
        <f t="shared" si="7"/>
        <v>8267.1296263888871</v>
      </c>
      <c r="E20" s="7">
        <f t="shared" si="7"/>
        <v>6522.1153846153848</v>
      </c>
      <c r="F20" s="7">
        <f t="shared" si="7"/>
        <v>5512.5</v>
      </c>
      <c r="G20" s="7">
        <f t="shared" si="7"/>
        <v>4969.8643383720928</v>
      </c>
      <c r="H20" s="7">
        <f t="shared" si="7"/>
        <v>4597.4673191176471</v>
      </c>
    </row>
    <row r="21" spans="1:8" x14ac:dyDescent="0.45">
      <c r="A21" s="2" t="s">
        <v>290</v>
      </c>
      <c r="C21" s="7">
        <f t="shared" ref="C21:H21" si="8">C$18/C$14</f>
        <v>6402.0833274999995</v>
      </c>
      <c r="D21" s="7">
        <f t="shared" si="8"/>
        <v>4133.5648131944436</v>
      </c>
      <c r="E21" s="7">
        <f t="shared" si="8"/>
        <v>3261.0576923076924</v>
      </c>
      <c r="F21" s="7">
        <f t="shared" si="8"/>
        <v>2756.25</v>
      </c>
      <c r="G21" s="7">
        <f t="shared" si="8"/>
        <v>2484.9321691860464</v>
      </c>
      <c r="H21" s="7">
        <f t="shared" si="8"/>
        <v>2298.7336595588235</v>
      </c>
    </row>
    <row r="22" spans="1:8" x14ac:dyDescent="0.4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x14ac:dyDescent="0.45">
      <c r="A23" s="2" t="s">
        <v>294</v>
      </c>
      <c r="C23" s="29">
        <f t="shared" ref="C23:H23" si="10">C$18+C$22</f>
        <v>146066.66654999999</v>
      </c>
      <c r="D23" s="29">
        <f t="shared" si="10"/>
        <v>181253.33327499998</v>
      </c>
      <c r="E23" s="29">
        <f t="shared" si="10"/>
        <v>216440</v>
      </c>
      <c r="F23" s="29">
        <f t="shared" si="10"/>
        <v>256025</v>
      </c>
      <c r="G23" s="29">
        <f t="shared" si="10"/>
        <v>291211.66654999997</v>
      </c>
      <c r="H23" s="29">
        <f t="shared" si="10"/>
        <v>326398.33327499998</v>
      </c>
    </row>
    <row r="24" spans="1:8" x14ac:dyDescent="0.45">
      <c r="A24" s="2" t="s">
        <v>295</v>
      </c>
      <c r="C24" s="29">
        <f t="shared" ref="C24:H24" si="11">C$19+C$22</f>
        <v>172025</v>
      </c>
      <c r="D24" s="29">
        <f t="shared" si="11"/>
        <v>227978.33327499998</v>
      </c>
      <c r="E24" s="29">
        <f t="shared" si="11"/>
        <v>283931.66654999997</v>
      </c>
      <c r="F24" s="29">
        <f t="shared" si="11"/>
        <v>346879.16654999997</v>
      </c>
      <c r="G24" s="29">
        <f t="shared" si="11"/>
        <v>402832.5</v>
      </c>
      <c r="H24" s="29">
        <f t="shared" si="11"/>
        <v>458785.83327499998</v>
      </c>
    </row>
    <row r="25" spans="1:8" x14ac:dyDescent="0.45">
      <c r="A25" s="2"/>
    </row>
    <row r="26" spans="1:8" x14ac:dyDescent="0.45">
      <c r="A26" s="2" t="s">
        <v>364</v>
      </c>
      <c r="C26" s="7">
        <f t="shared" ref="C26:H26" si="12">C$23-MOD(C$23,1000)</f>
        <v>146000</v>
      </c>
      <c r="D26" s="7">
        <f t="shared" si="12"/>
        <v>181000</v>
      </c>
      <c r="E26" s="7">
        <f t="shared" si="12"/>
        <v>216000</v>
      </c>
      <c r="F26" s="7">
        <f t="shared" si="12"/>
        <v>256000</v>
      </c>
      <c r="G26" s="7">
        <f t="shared" si="12"/>
        <v>291000</v>
      </c>
      <c r="H26" s="7">
        <f t="shared" si="12"/>
        <v>326000</v>
      </c>
    </row>
    <row r="27" spans="1:8" x14ac:dyDescent="0.45">
      <c r="A27" s="2" t="s">
        <v>365</v>
      </c>
      <c r="C27" s="7">
        <f t="shared" ref="C27:H27" si="13">C$24-MOD(C$24,1000)</f>
        <v>172000</v>
      </c>
      <c r="D27" s="7">
        <f t="shared" si="13"/>
        <v>227000</v>
      </c>
      <c r="E27" s="7">
        <f t="shared" si="13"/>
        <v>283000</v>
      </c>
      <c r="F27" s="7">
        <f t="shared" si="13"/>
        <v>346000</v>
      </c>
      <c r="G27" s="7">
        <f t="shared" si="13"/>
        <v>402000</v>
      </c>
      <c r="H27" s="7">
        <f t="shared" si="13"/>
        <v>458000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sqref="A1:XFD1048576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8" x14ac:dyDescent="0.45">
      <c r="A1" s="1" t="s">
        <v>415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207</v>
      </c>
    </row>
    <row r="4" spans="1:8" x14ac:dyDescent="0.45">
      <c r="A4" t="s">
        <v>276</v>
      </c>
      <c r="B4">
        <v>18</v>
      </c>
      <c r="C4">
        <v>7</v>
      </c>
    </row>
    <row r="5" spans="1:8" ht="28.5" x14ac:dyDescent="0.45">
      <c r="A5" t="s">
        <v>274</v>
      </c>
      <c r="B5" s="1" t="s">
        <v>275</v>
      </c>
      <c r="E5" s="2" t="s">
        <v>299</v>
      </c>
    </row>
    <row r="6" spans="1:8" x14ac:dyDescent="0.45">
      <c r="A6" t="s">
        <v>287</v>
      </c>
      <c r="D6" s="1">
        <v>8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</row>
    <row r="9" spans="1:8" x14ac:dyDescent="0.4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45">
      <c r="E10" s="7"/>
    </row>
    <row r="12" spans="1:8" x14ac:dyDescent="0.4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28.5" x14ac:dyDescent="0.4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28.5" x14ac:dyDescent="0.4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4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4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4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x14ac:dyDescent="0.4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x14ac:dyDescent="0.4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4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4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45">
      <c r="A22" s="2" t="s">
        <v>291</v>
      </c>
      <c r="C22" s="29">
        <f t="shared" ref="C22:H22" si="9">C$17*(1+$D$7)</f>
        <v>20384</v>
      </c>
      <c r="D22" s="29">
        <f t="shared" si="9"/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x14ac:dyDescent="0.45">
      <c r="A23" s="2" t="s">
        <v>294</v>
      </c>
      <c r="C23" s="29">
        <f t="shared" ref="C23:H23" si="10">C$18+C$22</f>
        <v>143234</v>
      </c>
      <c r="D23" s="29">
        <f t="shared" si="10"/>
        <v>174097</v>
      </c>
      <c r="E23" s="29">
        <f t="shared" si="10"/>
        <v>204960</v>
      </c>
      <c r="F23" s="29">
        <f t="shared" si="10"/>
        <v>235823</v>
      </c>
      <c r="G23" s="29">
        <f t="shared" si="10"/>
        <v>271829.83327499998</v>
      </c>
      <c r="H23" s="29">
        <f t="shared" si="10"/>
        <v>302692.83327499998</v>
      </c>
    </row>
    <row r="24" spans="1:8" x14ac:dyDescent="0.45">
      <c r="A24" s="2" t="s">
        <v>295</v>
      </c>
      <c r="C24" s="29">
        <f t="shared" ref="C24:H24" si="11">C$19+C$22</f>
        <v>164000.66654999999</v>
      </c>
      <c r="D24" s="29">
        <f t="shared" si="11"/>
        <v>210438.66654999999</v>
      </c>
      <c r="E24" s="29">
        <f t="shared" si="11"/>
        <v>256876.66654999999</v>
      </c>
      <c r="F24" s="29">
        <f t="shared" si="11"/>
        <v>303314.66654999997</v>
      </c>
      <c r="G24" s="29">
        <f t="shared" si="11"/>
        <v>357492.33327499998</v>
      </c>
      <c r="H24" s="29">
        <f t="shared" si="11"/>
        <v>403930.33327499998</v>
      </c>
    </row>
    <row r="25" spans="1:8" x14ac:dyDescent="0.45">
      <c r="A25" s="2"/>
    </row>
    <row r="26" spans="1:8" x14ac:dyDescent="0.45">
      <c r="A26" s="2" t="s">
        <v>364</v>
      </c>
      <c r="C26" s="7">
        <f t="shared" ref="C26:H26" si="12">C$23-MOD(C$23,1000)</f>
        <v>143000</v>
      </c>
      <c r="D26" s="7">
        <f t="shared" si="12"/>
        <v>174000</v>
      </c>
      <c r="E26" s="7">
        <f t="shared" si="12"/>
        <v>204000</v>
      </c>
      <c r="F26" s="7">
        <f t="shared" si="12"/>
        <v>235000</v>
      </c>
      <c r="G26" s="7">
        <f t="shared" si="12"/>
        <v>271000</v>
      </c>
      <c r="H26" s="7">
        <f t="shared" si="12"/>
        <v>302000</v>
      </c>
    </row>
    <row r="27" spans="1:8" x14ac:dyDescent="0.45">
      <c r="A27" s="2" t="s">
        <v>365</v>
      </c>
      <c r="C27" s="7">
        <f t="shared" ref="C27:H27" si="13">C$24-MOD(C$24,1000)</f>
        <v>164000</v>
      </c>
      <c r="D27" s="7">
        <f t="shared" si="13"/>
        <v>210000</v>
      </c>
      <c r="E27" s="7">
        <f t="shared" si="13"/>
        <v>256000</v>
      </c>
      <c r="F27" s="7">
        <f t="shared" si="13"/>
        <v>303000</v>
      </c>
      <c r="G27" s="7">
        <f t="shared" si="13"/>
        <v>357000</v>
      </c>
      <c r="H27" s="7">
        <f t="shared" si="13"/>
        <v>403000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2941-7461-484A-A5B8-99A343DABCD4}">
  <dimension ref="A1:H27"/>
  <sheetViews>
    <sheetView tabSelected="1" topLeftCell="A4" workbookViewId="0">
      <selection activeCell="G8" sqref="G8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8" x14ac:dyDescent="0.45">
      <c r="A1" s="1" t="s">
        <v>495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207</v>
      </c>
    </row>
    <row r="4" spans="1:8" x14ac:dyDescent="0.45">
      <c r="A4" t="s">
        <v>276</v>
      </c>
      <c r="B4">
        <v>9</v>
      </c>
      <c r="C4">
        <v>5.5</v>
      </c>
    </row>
    <row r="5" spans="1:8" ht="28.5" x14ac:dyDescent="0.45">
      <c r="A5" t="s">
        <v>274</v>
      </c>
      <c r="B5" s="1" t="s">
        <v>275</v>
      </c>
      <c r="E5" s="2" t="s">
        <v>299</v>
      </c>
    </row>
    <row r="6" spans="1:8" x14ac:dyDescent="0.45">
      <c r="A6" t="s">
        <v>287</v>
      </c>
      <c r="D6" s="1">
        <f>SoConTrenToLon(32,47,$B$4,$C$4)</f>
        <v>25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</row>
    <row r="9" spans="1:8" x14ac:dyDescent="0.4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45">
      <c r="E10" s="7"/>
    </row>
    <row r="12" spans="1:8" x14ac:dyDescent="0.4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28.5" x14ac:dyDescent="0.45">
      <c r="A13" s="2" t="s">
        <v>297</v>
      </c>
      <c r="C13">
        <f t="shared" ref="C13:H13" si="0">ROUNDUP(C$12/$D$6 +1,0)</f>
        <v>5</v>
      </c>
      <c r="D13">
        <f t="shared" si="0"/>
        <v>9</v>
      </c>
      <c r="E13">
        <f t="shared" si="0"/>
        <v>13</v>
      </c>
      <c r="F13">
        <f t="shared" si="0"/>
        <v>17</v>
      </c>
      <c r="G13">
        <f t="shared" si="0"/>
        <v>21</v>
      </c>
      <c r="H13">
        <f t="shared" si="0"/>
        <v>41</v>
      </c>
    </row>
    <row r="14" spans="1:8" ht="28.5" x14ac:dyDescent="0.45">
      <c r="A14" s="2" t="s">
        <v>298</v>
      </c>
      <c r="C14">
        <f t="shared" ref="C14:H14" si="1">C$13*$E$6</f>
        <v>10</v>
      </c>
      <c r="D14">
        <f t="shared" si="1"/>
        <v>18</v>
      </c>
      <c r="E14">
        <f t="shared" si="1"/>
        <v>26</v>
      </c>
      <c r="F14">
        <f t="shared" si="1"/>
        <v>34</v>
      </c>
      <c r="G14">
        <f t="shared" si="1"/>
        <v>42</v>
      </c>
      <c r="H14">
        <f t="shared" si="1"/>
        <v>82</v>
      </c>
    </row>
    <row r="15" spans="1:8" x14ac:dyDescent="0.45">
      <c r="A15" s="2" t="s">
        <v>292</v>
      </c>
      <c r="C15" s="36">
        <f t="shared" ref="C15:H15" si="2">PhiMayInToner4M(C$14)</f>
        <v>65750</v>
      </c>
      <c r="D15" s="36">
        <f t="shared" si="2"/>
        <v>71683.333299999998</v>
      </c>
      <c r="E15" s="36">
        <f t="shared" si="2"/>
        <v>77616.666599999997</v>
      </c>
      <c r="F15" s="36">
        <f t="shared" si="2"/>
        <v>83550</v>
      </c>
      <c r="G15" s="36">
        <f t="shared" si="2"/>
        <v>89483.333299999998</v>
      </c>
      <c r="H15" s="36">
        <f t="shared" si="2"/>
        <v>119150</v>
      </c>
    </row>
    <row r="16" spans="1:8" x14ac:dyDescent="0.45">
      <c r="A16" s="2" t="s">
        <v>300</v>
      </c>
      <c r="C16" s="36">
        <f>PhiMayInToner4M(C$14*2)</f>
        <v>73166.666599999997</v>
      </c>
      <c r="D16" s="36">
        <f t="shared" ref="D16:H16" si="3">PhiMayInToner4M(D$14*2)</f>
        <v>85033.333299999998</v>
      </c>
      <c r="E16" s="36">
        <f t="shared" si="3"/>
        <v>96900</v>
      </c>
      <c r="F16" s="36">
        <f t="shared" si="3"/>
        <v>108766.6666</v>
      </c>
      <c r="G16" s="36">
        <f t="shared" si="3"/>
        <v>120633.3333</v>
      </c>
      <c r="H16" s="36">
        <f t="shared" si="3"/>
        <v>179966.6666</v>
      </c>
    </row>
    <row r="17" spans="1:8" x14ac:dyDescent="0.45">
      <c r="A17" s="2" t="s">
        <v>351</v>
      </c>
      <c r="C17" s="36">
        <f t="shared" ref="C17:H17" si="4">C$13*$D$9</f>
        <v>7280</v>
      </c>
      <c r="D17" s="36">
        <f t="shared" si="4"/>
        <v>13104</v>
      </c>
      <c r="E17" s="36">
        <f t="shared" si="4"/>
        <v>18928</v>
      </c>
      <c r="F17" s="36">
        <f t="shared" si="4"/>
        <v>24752</v>
      </c>
      <c r="G17" s="36">
        <f t="shared" si="4"/>
        <v>30576</v>
      </c>
      <c r="H17" s="36">
        <f t="shared" si="4"/>
        <v>59696</v>
      </c>
    </row>
    <row r="18" spans="1:8" x14ac:dyDescent="0.45">
      <c r="A18" s="2" t="s">
        <v>412</v>
      </c>
      <c r="C18" s="29">
        <f t="shared" ref="C18:H18" si="5">(C$15)*(1+$D$7)</f>
        <v>115062.5</v>
      </c>
      <c r="D18" s="29">
        <f t="shared" si="5"/>
        <v>125445.833275</v>
      </c>
      <c r="E18" s="29">
        <f t="shared" si="5"/>
        <v>135829.16654999999</v>
      </c>
      <c r="F18" s="29">
        <f t="shared" si="5"/>
        <v>146212.5</v>
      </c>
      <c r="G18" s="29">
        <f t="shared" si="5"/>
        <v>156595.83327499998</v>
      </c>
      <c r="H18" s="29">
        <f t="shared" si="5"/>
        <v>208512.5</v>
      </c>
    </row>
    <row r="19" spans="1:8" x14ac:dyDescent="0.45">
      <c r="A19" s="2" t="s">
        <v>413</v>
      </c>
      <c r="C19" s="29">
        <f t="shared" ref="C19:H19" si="6">(C$16)*(1+$D$7)</f>
        <v>128041.66654999999</v>
      </c>
      <c r="D19" s="29">
        <f t="shared" si="6"/>
        <v>148808.33327499998</v>
      </c>
      <c r="E19" s="29">
        <f t="shared" si="6"/>
        <v>169575</v>
      </c>
      <c r="F19" s="29">
        <f t="shared" si="6"/>
        <v>190341.66654999999</v>
      </c>
      <c r="G19" s="29">
        <f t="shared" si="6"/>
        <v>211108.33327499998</v>
      </c>
      <c r="H19" s="29">
        <f t="shared" si="6"/>
        <v>314941.66654999997</v>
      </c>
    </row>
    <row r="20" spans="1:8" x14ac:dyDescent="0.45">
      <c r="A20" s="2" t="s">
        <v>288</v>
      </c>
      <c r="C20" s="7">
        <f t="shared" ref="C20:H20" si="7">C$18/C$13</f>
        <v>23012.5</v>
      </c>
      <c r="D20" s="7">
        <f t="shared" si="7"/>
        <v>13938.425919444444</v>
      </c>
      <c r="E20" s="7">
        <f t="shared" si="7"/>
        <v>10448.397426923077</v>
      </c>
      <c r="F20" s="7">
        <f t="shared" si="7"/>
        <v>8600.7352941176468</v>
      </c>
      <c r="G20" s="7">
        <f t="shared" si="7"/>
        <v>7456.9444416666656</v>
      </c>
      <c r="H20" s="7">
        <f t="shared" si="7"/>
        <v>5085.6707317073169</v>
      </c>
    </row>
    <row r="21" spans="1:8" x14ac:dyDescent="0.45">
      <c r="A21" s="2" t="s">
        <v>290</v>
      </c>
      <c r="C21" s="7">
        <f t="shared" ref="C21:H21" si="8">C$18/C$14</f>
        <v>11506.25</v>
      </c>
      <c r="D21" s="7">
        <f t="shared" si="8"/>
        <v>6969.212959722222</v>
      </c>
      <c r="E21" s="7">
        <f t="shared" si="8"/>
        <v>5224.1987134615383</v>
      </c>
      <c r="F21" s="7">
        <f t="shared" si="8"/>
        <v>4300.3676470588234</v>
      </c>
      <c r="G21" s="7">
        <f t="shared" si="8"/>
        <v>3728.4722208333328</v>
      </c>
      <c r="H21" s="7">
        <f t="shared" si="8"/>
        <v>2542.8353658536585</v>
      </c>
    </row>
    <row r="22" spans="1:8" x14ac:dyDescent="0.45">
      <c r="A22" s="2" t="s">
        <v>291</v>
      </c>
      <c r="C22" s="29">
        <f t="shared" ref="C22:H22" si="9">C$17*(1+$D$7)</f>
        <v>12740</v>
      </c>
      <c r="D22" s="29">
        <f t="shared" si="9"/>
        <v>22932</v>
      </c>
      <c r="E22" s="29">
        <f t="shared" si="9"/>
        <v>33124</v>
      </c>
      <c r="F22" s="29">
        <f t="shared" si="9"/>
        <v>43316</v>
      </c>
      <c r="G22" s="29">
        <f t="shared" si="9"/>
        <v>53508</v>
      </c>
      <c r="H22" s="29">
        <f t="shared" si="9"/>
        <v>104468</v>
      </c>
    </row>
    <row r="23" spans="1:8" x14ac:dyDescent="0.45">
      <c r="A23" s="2" t="s">
        <v>294</v>
      </c>
      <c r="C23" s="29">
        <f t="shared" ref="C23:H23" si="10">C$18+C$22</f>
        <v>127802.5</v>
      </c>
      <c r="D23" s="29">
        <f t="shared" si="10"/>
        <v>148377.83327499998</v>
      </c>
      <c r="E23" s="29">
        <f t="shared" si="10"/>
        <v>168953.16654999999</v>
      </c>
      <c r="F23" s="29">
        <f t="shared" si="10"/>
        <v>189528.5</v>
      </c>
      <c r="G23" s="29">
        <f t="shared" si="10"/>
        <v>210103.83327499998</v>
      </c>
      <c r="H23" s="29">
        <f t="shared" si="10"/>
        <v>312980.5</v>
      </c>
    </row>
    <row r="24" spans="1:8" x14ac:dyDescent="0.45">
      <c r="A24" s="2" t="s">
        <v>295</v>
      </c>
      <c r="C24" s="29">
        <f t="shared" ref="C24:H24" si="11">C$19+C$22</f>
        <v>140781.66654999999</v>
      </c>
      <c r="D24" s="29">
        <f t="shared" si="11"/>
        <v>171740.33327499998</v>
      </c>
      <c r="E24" s="29">
        <f t="shared" si="11"/>
        <v>202699</v>
      </c>
      <c r="F24" s="29">
        <f t="shared" si="11"/>
        <v>233657.66654999999</v>
      </c>
      <c r="G24" s="29">
        <f t="shared" si="11"/>
        <v>264616.33327499998</v>
      </c>
      <c r="H24" s="29">
        <f t="shared" si="11"/>
        <v>419409.66654999997</v>
      </c>
    </row>
    <row r="25" spans="1:8" x14ac:dyDescent="0.45">
      <c r="A25" s="2"/>
    </row>
    <row r="26" spans="1:8" x14ac:dyDescent="0.45">
      <c r="A26" s="2" t="s">
        <v>364</v>
      </c>
      <c r="C26" s="7">
        <f t="shared" ref="C26:H26" si="12">C$23-MOD(C$23,1000)</f>
        <v>127000</v>
      </c>
      <c r="D26" s="7">
        <f t="shared" si="12"/>
        <v>148000</v>
      </c>
      <c r="E26" s="7">
        <f t="shared" si="12"/>
        <v>168000</v>
      </c>
      <c r="F26" s="7">
        <f t="shared" si="12"/>
        <v>189000</v>
      </c>
      <c r="G26" s="7">
        <f t="shared" si="12"/>
        <v>210000</v>
      </c>
      <c r="H26" s="7">
        <f t="shared" si="12"/>
        <v>312000</v>
      </c>
    </row>
    <row r="27" spans="1:8" x14ac:dyDescent="0.45">
      <c r="A27" s="2" t="s">
        <v>365</v>
      </c>
      <c r="C27" s="7">
        <f t="shared" ref="C27:H27" si="13">C$24-MOD(C$24,1000)</f>
        <v>140000</v>
      </c>
      <c r="D27" s="7">
        <f t="shared" si="13"/>
        <v>171000</v>
      </c>
      <c r="E27" s="7">
        <f t="shared" si="13"/>
        <v>202000</v>
      </c>
      <c r="F27" s="7">
        <f t="shared" si="13"/>
        <v>233000</v>
      </c>
      <c r="G27" s="7">
        <f t="shared" si="13"/>
        <v>264000</v>
      </c>
      <c r="H27" s="7">
        <f t="shared" si="13"/>
        <v>419000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7CF554DE-2C47-4B88-B3EB-B2B746DF9917}">
      <formula1>OFFSET(GIA_GIAY_CO_BAN,1,0,,1)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J18" sqref="J18"/>
    </sheetView>
  </sheetViews>
  <sheetFormatPr defaultRowHeight="14.25" x14ac:dyDescent="0.45"/>
  <cols>
    <col min="1" max="1" width="20" bestFit="1" customWidth="1"/>
    <col min="2" max="2" width="17.59765625" customWidth="1"/>
    <col min="3" max="3" width="14.86328125" bestFit="1" customWidth="1"/>
    <col min="4" max="4" width="15.86328125" bestFit="1" customWidth="1"/>
    <col min="5" max="5" width="18.265625" bestFit="1" customWidth="1"/>
    <col min="6" max="6" width="15" bestFit="1" customWidth="1"/>
    <col min="7" max="8" width="15.86328125" bestFit="1" customWidth="1"/>
    <col min="9" max="10" width="15" bestFit="1" customWidth="1"/>
    <col min="14" max="14" width="13.265625" bestFit="1" customWidth="1"/>
  </cols>
  <sheetData>
    <row r="1" spans="1:14" x14ac:dyDescent="0.45">
      <c r="A1" s="1" t="s">
        <v>423</v>
      </c>
    </row>
    <row r="2" spans="1:14" x14ac:dyDescent="0.45">
      <c r="A2" t="s">
        <v>289</v>
      </c>
      <c r="B2" s="35">
        <v>43609</v>
      </c>
    </row>
    <row r="3" spans="1:14" x14ac:dyDescent="0.45">
      <c r="B3" t="s">
        <v>206</v>
      </c>
      <c r="C3" t="s">
        <v>207</v>
      </c>
    </row>
    <row r="4" spans="1:14" x14ac:dyDescent="0.45">
      <c r="A4" t="s">
        <v>276</v>
      </c>
      <c r="B4">
        <v>21</v>
      </c>
      <c r="C4">
        <v>29.7</v>
      </c>
    </row>
    <row r="5" spans="1:14" ht="28.5" x14ac:dyDescent="0.45">
      <c r="A5" t="s">
        <v>274</v>
      </c>
      <c r="B5" s="1" t="s">
        <v>275</v>
      </c>
      <c r="E5" s="2" t="s">
        <v>299</v>
      </c>
    </row>
    <row r="6" spans="1:14" x14ac:dyDescent="0.45">
      <c r="A6" t="s">
        <v>287</v>
      </c>
      <c r="D6" s="1">
        <v>2</v>
      </c>
      <c r="E6">
        <v>2</v>
      </c>
    </row>
    <row r="7" spans="1:14" x14ac:dyDescent="0.45">
      <c r="A7" t="s">
        <v>203</v>
      </c>
      <c r="D7" s="37">
        <v>0.5</v>
      </c>
      <c r="E7" s="38" t="s">
        <v>481</v>
      </c>
    </row>
    <row r="8" spans="1:14" x14ac:dyDescent="0.45">
      <c r="B8" t="s">
        <v>283</v>
      </c>
      <c r="C8" t="s">
        <v>284</v>
      </c>
      <c r="D8" t="s">
        <v>286</v>
      </c>
      <c r="E8" t="s">
        <v>285</v>
      </c>
    </row>
    <row r="9" spans="1:14" x14ac:dyDescent="0.4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45">
      <c r="E10" s="7"/>
      <c r="J10" t="s">
        <v>494</v>
      </c>
    </row>
    <row r="11" spans="1:14" x14ac:dyDescent="0.45">
      <c r="J11" s="44">
        <f>$E$9/2</f>
        <v>386.25</v>
      </c>
    </row>
    <row r="12" spans="1:14" ht="42.75" x14ac:dyDescent="0.4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480</v>
      </c>
    </row>
    <row r="13" spans="1:14" x14ac:dyDescent="0.45">
      <c r="A13" s="2">
        <v>8</v>
      </c>
      <c r="B13">
        <f>$A13*C$12</f>
        <v>80</v>
      </c>
      <c r="C13" s="7">
        <f>PhiMayInToner4M_Max($A13*C$12)*(1+$D$7)/($A13*C$12)</f>
        <v>1834.37500125</v>
      </c>
      <c r="D13" s="7">
        <f t="shared" ref="D13:H25" si="0">PhiMayInToner4M_Max($A13*D$12)*(1+$D$7)/($A13*D$12)</f>
        <v>1420.3125</v>
      </c>
      <c r="E13" s="7">
        <f t="shared" si="0"/>
        <v>1171.875</v>
      </c>
      <c r="F13" s="7">
        <f t="shared" si="0"/>
        <v>1089.062500125</v>
      </c>
      <c r="G13" s="7">
        <f t="shared" si="0"/>
        <v>1061.4583333749999</v>
      </c>
      <c r="H13" s="7">
        <f t="shared" si="0"/>
        <v>1047.65625</v>
      </c>
      <c r="N13" s="7">
        <f>PhiMayInToner4M_Max(80)</f>
        <v>97833.333400000003</v>
      </c>
    </row>
    <row r="14" spans="1:14" x14ac:dyDescent="0.4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1558.3333337500001</v>
      </c>
      <c r="D14" s="7">
        <f t="shared" si="0"/>
        <v>1282.2916668750001</v>
      </c>
      <c r="E14" s="7">
        <f t="shared" si="0"/>
        <v>1116.6666667500001</v>
      </c>
      <c r="F14" s="7">
        <f t="shared" si="0"/>
        <v>1061.4583333749999</v>
      </c>
      <c r="G14" s="7">
        <f t="shared" si="0"/>
        <v>1043.0555555833332</v>
      </c>
      <c r="H14" s="7">
        <f t="shared" si="0"/>
        <v>1033.8541666874999</v>
      </c>
      <c r="N14">
        <f>80*60*0.8</f>
        <v>3840</v>
      </c>
    </row>
    <row r="15" spans="1:14" x14ac:dyDescent="0.45">
      <c r="A15" s="2">
        <f t="shared" ref="A15:A36" si="3">A14+4</f>
        <v>16</v>
      </c>
      <c r="B15">
        <f t="shared" si="1"/>
        <v>160</v>
      </c>
      <c r="C15" s="7">
        <f t="shared" si="2"/>
        <v>1420.3125</v>
      </c>
      <c r="D15" s="7">
        <f t="shared" si="0"/>
        <v>1213.2812503125001</v>
      </c>
      <c r="E15" s="7">
        <f t="shared" si="0"/>
        <v>1089.062500125</v>
      </c>
      <c r="F15" s="7">
        <f t="shared" si="0"/>
        <v>1047.65625</v>
      </c>
      <c r="G15" s="7">
        <f t="shared" si="0"/>
        <v>1033.8541666874999</v>
      </c>
      <c r="H15" s="7">
        <f t="shared" si="0"/>
        <v>1026.95312503125</v>
      </c>
    </row>
    <row r="16" spans="1:14" x14ac:dyDescent="0.45">
      <c r="A16" s="2">
        <f t="shared" si="3"/>
        <v>20</v>
      </c>
      <c r="B16">
        <f t="shared" si="1"/>
        <v>200</v>
      </c>
      <c r="C16" s="7">
        <f t="shared" si="2"/>
        <v>1337.5000004999999</v>
      </c>
      <c r="D16" s="7">
        <f t="shared" si="0"/>
        <v>1171.875</v>
      </c>
      <c r="E16" s="7">
        <f t="shared" si="0"/>
        <v>1072.5</v>
      </c>
      <c r="F16" s="7">
        <f t="shared" si="0"/>
        <v>1039.3750000499999</v>
      </c>
      <c r="G16" s="7">
        <f t="shared" si="0"/>
        <v>1028.33333335</v>
      </c>
      <c r="H16" s="7">
        <f t="shared" si="0"/>
        <v>1022.8125</v>
      </c>
    </row>
    <row r="17" spans="1:8" x14ac:dyDescent="0.45">
      <c r="A17" s="2">
        <f t="shared" si="3"/>
        <v>24</v>
      </c>
      <c r="B17">
        <f t="shared" si="1"/>
        <v>240</v>
      </c>
      <c r="C17" s="7">
        <f t="shared" si="2"/>
        <v>1282.2916668750001</v>
      </c>
      <c r="D17" s="7">
        <f t="shared" si="0"/>
        <v>1144.2708334375</v>
      </c>
      <c r="E17" s="7">
        <f t="shared" si="0"/>
        <v>1061.4583333749999</v>
      </c>
      <c r="F17" s="7">
        <f t="shared" si="0"/>
        <v>1033.8541666874999</v>
      </c>
      <c r="G17" s="7">
        <f t="shared" si="0"/>
        <v>1024.6527777916667</v>
      </c>
      <c r="H17" s="7">
        <f t="shared" si="0"/>
        <v>1020.0520833437499</v>
      </c>
    </row>
    <row r="18" spans="1:8" x14ac:dyDescent="0.45">
      <c r="A18" s="2">
        <f t="shared" si="3"/>
        <v>28</v>
      </c>
      <c r="B18">
        <f t="shared" si="1"/>
        <v>280</v>
      </c>
      <c r="C18" s="7">
        <f t="shared" si="2"/>
        <v>1242.8571428571429</v>
      </c>
      <c r="D18" s="7">
        <f t="shared" si="0"/>
        <v>1124.5535716071429</v>
      </c>
      <c r="E18" s="7">
        <f t="shared" si="0"/>
        <v>1053.5714286428572</v>
      </c>
      <c r="F18" s="7">
        <f t="shared" si="0"/>
        <v>1029.9107142857142</v>
      </c>
      <c r="G18" s="7">
        <f t="shared" si="0"/>
        <v>1022.0238095357142</v>
      </c>
      <c r="H18" s="7">
        <f t="shared" si="0"/>
        <v>1018.0803571607142</v>
      </c>
    </row>
    <row r="19" spans="1:8" x14ac:dyDescent="0.45">
      <c r="A19" s="2">
        <f t="shared" si="3"/>
        <v>32</v>
      </c>
      <c r="B19">
        <f t="shared" si="1"/>
        <v>320</v>
      </c>
      <c r="C19" s="7">
        <f t="shared" si="2"/>
        <v>1213.2812503125001</v>
      </c>
      <c r="D19" s="7">
        <f t="shared" si="0"/>
        <v>1109.765625</v>
      </c>
      <c r="E19" s="7">
        <f t="shared" si="0"/>
        <v>1047.65625</v>
      </c>
      <c r="F19" s="7">
        <f t="shared" si="0"/>
        <v>1026.95312503125</v>
      </c>
      <c r="G19" s="7">
        <f t="shared" si="0"/>
        <v>1020.0520833437499</v>
      </c>
      <c r="H19" s="7">
        <f t="shared" si="0"/>
        <v>1016.6015625</v>
      </c>
    </row>
    <row r="20" spans="1:8" x14ac:dyDescent="0.45">
      <c r="A20" s="2">
        <f t="shared" si="3"/>
        <v>36</v>
      </c>
      <c r="B20">
        <f t="shared" si="1"/>
        <v>360</v>
      </c>
      <c r="C20" s="7">
        <f t="shared" si="2"/>
        <v>1190.2777779166668</v>
      </c>
      <c r="D20" s="7">
        <f t="shared" si="0"/>
        <v>1098.2638889583332</v>
      </c>
      <c r="E20" s="7">
        <f t="shared" si="0"/>
        <v>1043.0555555833332</v>
      </c>
      <c r="F20" s="7">
        <f t="shared" si="0"/>
        <v>1024.6527777916667</v>
      </c>
      <c r="G20" s="7">
        <f t="shared" si="0"/>
        <v>1018.5185185277778</v>
      </c>
      <c r="H20" s="7">
        <f t="shared" si="0"/>
        <v>1015.4513888958334</v>
      </c>
    </row>
    <row r="21" spans="1:8" x14ac:dyDescent="0.45">
      <c r="A21" s="2">
        <f t="shared" si="3"/>
        <v>40</v>
      </c>
      <c r="B21">
        <f t="shared" si="1"/>
        <v>400</v>
      </c>
      <c r="C21" s="7">
        <f t="shared" si="2"/>
        <v>1171.875</v>
      </c>
      <c r="D21" s="7">
        <f t="shared" si="0"/>
        <v>1089.062500125</v>
      </c>
      <c r="E21" s="7">
        <f t="shared" si="0"/>
        <v>1039.3750000499999</v>
      </c>
      <c r="F21" s="7">
        <f t="shared" si="0"/>
        <v>1022.8125</v>
      </c>
      <c r="G21" s="7">
        <f t="shared" si="0"/>
        <v>1017.291666675</v>
      </c>
      <c r="H21" s="7">
        <f t="shared" si="0"/>
        <v>1014.5312500125</v>
      </c>
    </row>
    <row r="22" spans="1:8" x14ac:dyDescent="0.45">
      <c r="A22" s="2">
        <f t="shared" si="3"/>
        <v>44</v>
      </c>
      <c r="C22" s="7">
        <f t="shared" si="2"/>
        <v>1156.8181820454545</v>
      </c>
      <c r="D22" s="7">
        <f t="shared" si="0"/>
        <v>1081.534090909091</v>
      </c>
      <c r="E22" s="7">
        <f t="shared" si="0"/>
        <v>1036.3636363636363</v>
      </c>
      <c r="F22" s="7">
        <f t="shared" si="0"/>
        <v>1021.3068182045454</v>
      </c>
      <c r="G22" s="7">
        <f t="shared" si="0"/>
        <v>1016.2878787954545</v>
      </c>
      <c r="H22" s="7">
        <f t="shared" si="0"/>
        <v>1013.7784090909091</v>
      </c>
    </row>
    <row r="23" spans="1:8" x14ac:dyDescent="0.45">
      <c r="A23" s="2">
        <f t="shared" si="3"/>
        <v>48</v>
      </c>
      <c r="C23" s="7">
        <f t="shared" si="2"/>
        <v>1144.2708334375</v>
      </c>
      <c r="D23" s="7">
        <f t="shared" si="0"/>
        <v>1075.2604167187499</v>
      </c>
      <c r="E23" s="7">
        <f t="shared" si="0"/>
        <v>1033.8541666874999</v>
      </c>
      <c r="F23" s="7">
        <f t="shared" si="0"/>
        <v>1020.0520833437499</v>
      </c>
      <c r="G23" s="7">
        <f t="shared" si="0"/>
        <v>1015.4513888958334</v>
      </c>
      <c r="H23" s="7">
        <f t="shared" si="0"/>
        <v>1013.1510416718751</v>
      </c>
    </row>
    <row r="24" spans="1:8" x14ac:dyDescent="0.45">
      <c r="A24" s="2">
        <f t="shared" si="3"/>
        <v>52</v>
      </c>
      <c r="C24" s="7">
        <f t="shared" si="2"/>
        <v>1133.6538461538462</v>
      </c>
      <c r="D24" s="7">
        <f t="shared" si="0"/>
        <v>1069.9519231730769</v>
      </c>
      <c r="E24" s="7">
        <f t="shared" si="0"/>
        <v>1031.7307692692307</v>
      </c>
      <c r="F24" s="7">
        <f t="shared" si="0"/>
        <v>1018.9903846153846</v>
      </c>
      <c r="G24" s="7">
        <f t="shared" si="0"/>
        <v>1014.74358975</v>
      </c>
      <c r="H24" s="7">
        <f t="shared" si="0"/>
        <v>1012.6201923173077</v>
      </c>
    </row>
    <row r="25" spans="1:8" x14ac:dyDescent="0.45">
      <c r="A25" s="2">
        <f t="shared" si="3"/>
        <v>56</v>
      </c>
      <c r="C25" s="7">
        <f t="shared" si="2"/>
        <v>1124.5535716071429</v>
      </c>
      <c r="D25" s="7">
        <f t="shared" si="0"/>
        <v>1065.4017857142858</v>
      </c>
      <c r="E25" s="7">
        <f t="shared" si="0"/>
        <v>1029.9107142857142</v>
      </c>
      <c r="F25" s="7">
        <f t="shared" si="0"/>
        <v>1018.0803571607142</v>
      </c>
      <c r="G25" s="7">
        <f t="shared" si="0"/>
        <v>1014.1369047678572</v>
      </c>
      <c r="H25" s="7">
        <f t="shared" si="0"/>
        <v>1012.1651785714286</v>
      </c>
    </row>
    <row r="26" spans="1:8" x14ac:dyDescent="0.4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4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45">
      <c r="A28" s="2">
        <f t="shared" si="3"/>
        <v>68</v>
      </c>
    </row>
    <row r="29" spans="1:8" x14ac:dyDescent="0.45">
      <c r="A29" s="2">
        <f t="shared" si="3"/>
        <v>72</v>
      </c>
    </row>
    <row r="30" spans="1:8" x14ac:dyDescent="0.45">
      <c r="A30" s="2">
        <f t="shared" si="3"/>
        <v>76</v>
      </c>
    </row>
    <row r="31" spans="1:8" x14ac:dyDescent="0.45">
      <c r="A31" s="2">
        <f t="shared" si="3"/>
        <v>80</v>
      </c>
    </row>
    <row r="32" spans="1:8" x14ac:dyDescent="0.45">
      <c r="A32" s="2">
        <f t="shared" si="3"/>
        <v>84</v>
      </c>
    </row>
    <row r="33" spans="1:1" x14ac:dyDescent="0.45">
      <c r="A33" s="2">
        <f t="shared" si="3"/>
        <v>88</v>
      </c>
    </row>
    <row r="34" spans="1:1" x14ac:dyDescent="0.45">
      <c r="A34" s="2">
        <f t="shared" si="3"/>
        <v>92</v>
      </c>
    </row>
    <row r="35" spans="1:1" x14ac:dyDescent="0.45">
      <c r="A35" s="2">
        <f t="shared" si="3"/>
        <v>96</v>
      </c>
    </row>
    <row r="36" spans="1:1" x14ac:dyDescent="0.45">
      <c r="A36" s="2">
        <f t="shared" si="3"/>
        <v>100</v>
      </c>
    </row>
    <row r="37" spans="1:1" x14ac:dyDescent="0.45">
      <c r="A37" s="2"/>
    </row>
    <row r="38" spans="1:1" x14ac:dyDescent="0.45">
      <c r="A38" s="2"/>
    </row>
    <row r="39" spans="1:1" x14ac:dyDescent="0.45">
      <c r="A39" s="2"/>
    </row>
    <row r="40" spans="1:1" x14ac:dyDescent="0.45">
      <c r="A40" s="2"/>
    </row>
    <row r="41" spans="1:1" x14ac:dyDescent="0.45">
      <c r="A41" s="2"/>
    </row>
    <row r="42" spans="1:1" x14ac:dyDescent="0.45">
      <c r="A42" s="2"/>
    </row>
    <row r="43" spans="1:1" x14ac:dyDescent="0.45">
      <c r="A43" s="2"/>
    </row>
    <row r="44" spans="1:1" x14ac:dyDescent="0.45">
      <c r="A44" s="2"/>
    </row>
    <row r="45" spans="1:1" x14ac:dyDescent="0.45">
      <c r="A45" s="2"/>
    </row>
    <row r="46" spans="1:1" x14ac:dyDescent="0.45">
      <c r="A46" s="2"/>
    </row>
    <row r="47" spans="1:1" x14ac:dyDescent="0.45">
      <c r="A47" s="2"/>
    </row>
    <row r="48" spans="1:1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6" width="16.73046875" bestFit="1" customWidth="1"/>
    <col min="7" max="10" width="15" bestFit="1" customWidth="1"/>
  </cols>
  <sheetData>
    <row r="1" spans="1:8" x14ac:dyDescent="0.45">
      <c r="A1" s="1" t="s">
        <v>416</v>
      </c>
      <c r="B1" t="s">
        <v>424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207</v>
      </c>
    </row>
    <row r="4" spans="1:8" x14ac:dyDescent="0.45">
      <c r="A4" t="s">
        <v>276</v>
      </c>
      <c r="B4">
        <v>30</v>
      </c>
      <c r="C4">
        <v>42</v>
      </c>
    </row>
    <row r="5" spans="1:8" ht="28.5" x14ac:dyDescent="0.4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45">
      <c r="A6" t="s">
        <v>287</v>
      </c>
      <c r="D6" s="1">
        <v>1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4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4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45">
      <c r="E11" s="7"/>
    </row>
    <row r="12" spans="1:8" x14ac:dyDescent="0.45">
      <c r="E12" s="7"/>
    </row>
    <row r="14" spans="1:8" x14ac:dyDescent="0.4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28.5" x14ac:dyDescent="0.4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28.5" x14ac:dyDescent="0.4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28.5" x14ac:dyDescent="0.4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x14ac:dyDescent="0.4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28.5" x14ac:dyDescent="0.4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4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4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45">
      <c r="A22" s="2"/>
      <c r="C22" s="29"/>
      <c r="D22" s="29"/>
      <c r="E22" s="29"/>
      <c r="F22" s="29"/>
      <c r="G22" s="29"/>
      <c r="H22" s="29"/>
    </row>
    <row r="23" spans="1:8" ht="28.5" x14ac:dyDescent="0.45">
      <c r="A23" s="2" t="s">
        <v>431</v>
      </c>
      <c r="C23" s="29">
        <f t="shared" ref="C23:H23" si="7" xml:space="preserve"> (C$17+C$18+C$20)*(1+$D$7)</f>
        <v>285721.53925000003</v>
      </c>
      <c r="D23" s="29">
        <f t="shared" si="7"/>
        <v>335751.63737499999</v>
      </c>
      <c r="E23" s="29">
        <f t="shared" si="7"/>
        <v>486294.87252500001</v>
      </c>
      <c r="F23" s="29">
        <f t="shared" si="7"/>
        <v>736898.30410000007</v>
      </c>
      <c r="G23" s="29">
        <f t="shared" si="7"/>
        <v>987954.67645000003</v>
      </c>
      <c r="H23" s="29">
        <f t="shared" si="7"/>
        <v>1238558.10785</v>
      </c>
    </row>
    <row r="24" spans="1:8" ht="28.5" x14ac:dyDescent="0.4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45">
      <c r="A25" s="2"/>
    </row>
    <row r="26" spans="1:8" x14ac:dyDescent="0.4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4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45">
      <c r="A28" s="2"/>
      <c r="C28" s="7"/>
      <c r="D28" s="7"/>
      <c r="E28" s="7"/>
      <c r="F28" s="7"/>
      <c r="G28" s="7"/>
      <c r="H28" s="7"/>
    </row>
    <row r="29" spans="1:8" ht="28.5" x14ac:dyDescent="0.45">
      <c r="A29" s="2" t="s">
        <v>433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45">
      <c r="A30" s="2" t="s">
        <v>434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45">
      <c r="A33" s="2" t="s">
        <v>428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28.5" x14ac:dyDescent="0.45">
      <c r="A34" s="2" t="s">
        <v>435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H47" sqref="H47"/>
    </sheetView>
  </sheetViews>
  <sheetFormatPr defaultRowHeight="14.25" x14ac:dyDescent="0.45"/>
  <cols>
    <col min="1" max="1" width="22.3984375" bestFit="1" customWidth="1"/>
    <col min="2" max="2" width="15.265625" customWidth="1"/>
    <col min="3" max="3" width="14.265625" bestFit="1" customWidth="1"/>
    <col min="4" max="4" width="15.86328125" bestFit="1" customWidth="1"/>
    <col min="5" max="5" width="18.265625" bestFit="1" customWidth="1"/>
    <col min="6" max="6" width="16.73046875" bestFit="1" customWidth="1"/>
    <col min="7" max="10" width="15" bestFit="1" customWidth="1"/>
  </cols>
  <sheetData>
    <row r="1" spans="1:8" x14ac:dyDescent="0.45">
      <c r="A1" s="1" t="s">
        <v>436</v>
      </c>
      <c r="B1" t="s">
        <v>153</v>
      </c>
    </row>
    <row r="2" spans="1:8" x14ac:dyDescent="0.45">
      <c r="A2" t="s">
        <v>289</v>
      </c>
      <c r="B2" s="35">
        <v>43609</v>
      </c>
    </row>
    <row r="3" spans="1:8" x14ac:dyDescent="0.45">
      <c r="B3" t="s">
        <v>206</v>
      </c>
      <c r="C3" t="s">
        <v>207</v>
      </c>
    </row>
    <row r="4" spans="1:8" x14ac:dyDescent="0.45">
      <c r="A4" t="s">
        <v>276</v>
      </c>
      <c r="B4">
        <v>30</v>
      </c>
      <c r="C4">
        <v>42</v>
      </c>
    </row>
    <row r="5" spans="1:8" ht="28.5" x14ac:dyDescent="0.4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45">
      <c r="A6" t="s">
        <v>287</v>
      </c>
      <c r="D6" s="1">
        <v>1</v>
      </c>
      <c r="E6">
        <v>2</v>
      </c>
    </row>
    <row r="7" spans="1:8" x14ac:dyDescent="0.45">
      <c r="A7" t="s">
        <v>203</v>
      </c>
      <c r="D7" s="37">
        <v>0.75</v>
      </c>
      <c r="E7" s="38" t="s">
        <v>301</v>
      </c>
    </row>
    <row r="8" spans="1:8" x14ac:dyDescent="0.4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4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4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45">
      <c r="E11" s="7"/>
    </row>
    <row r="12" spans="1:8" x14ac:dyDescent="0.45">
      <c r="E12" s="7"/>
    </row>
    <row r="14" spans="1:8" x14ac:dyDescent="0.4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28.5" x14ac:dyDescent="0.4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28.5" x14ac:dyDescent="0.4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28.5" x14ac:dyDescent="0.4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x14ac:dyDescent="0.4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28.5" x14ac:dyDescent="0.4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4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4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45">
      <c r="A22" s="2"/>
      <c r="C22" s="29"/>
      <c r="D22" s="29"/>
      <c r="E22" s="29"/>
      <c r="F22" s="29"/>
      <c r="G22" s="29"/>
      <c r="H22" s="29"/>
    </row>
    <row r="23" spans="1:8" ht="28.5" x14ac:dyDescent="0.45">
      <c r="A23" s="2" t="s">
        <v>439</v>
      </c>
      <c r="C23" s="29">
        <f t="shared" ref="C23:H23" si="7" xml:space="preserve"> (C$17+C$20)*(1+$D$7)</f>
        <v>150965.5</v>
      </c>
      <c r="D23" s="29">
        <f t="shared" si="7"/>
        <v>195403.83327499998</v>
      </c>
      <c r="E23" s="29">
        <f t="shared" si="7"/>
        <v>328718.83327499998</v>
      </c>
      <c r="F23" s="29">
        <f t="shared" si="7"/>
        <v>550910.5</v>
      </c>
      <c r="G23" s="29">
        <f t="shared" si="7"/>
        <v>773102.16654999997</v>
      </c>
      <c r="H23" s="29">
        <f t="shared" si="7"/>
        <v>995293.8332750001</v>
      </c>
    </row>
    <row r="24" spans="1:8" x14ac:dyDescent="0.45">
      <c r="A24" s="2"/>
      <c r="C24" s="29"/>
      <c r="D24" s="29"/>
      <c r="E24" s="29"/>
      <c r="F24" s="29"/>
      <c r="G24" s="29"/>
      <c r="H24" s="29"/>
    </row>
    <row r="25" spans="1:8" x14ac:dyDescent="0.45">
      <c r="A25" s="2"/>
    </row>
    <row r="26" spans="1:8" x14ac:dyDescent="0.45">
      <c r="A26" s="2" t="s">
        <v>437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45">
      <c r="A27" s="2" t="s">
        <v>438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45">
      <c r="A28" s="2"/>
      <c r="C28" s="7"/>
      <c r="D28" s="7"/>
      <c r="E28" s="7"/>
      <c r="F28" s="7"/>
      <c r="G28" s="7"/>
      <c r="H28" s="7"/>
    </row>
    <row r="29" spans="1:8" ht="28.5" x14ac:dyDescent="0.45">
      <c r="A29" s="2" t="s">
        <v>433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45">
      <c r="A30" s="2"/>
      <c r="C30" s="7"/>
      <c r="D30" s="7"/>
      <c r="E30" s="7"/>
      <c r="F30" s="7"/>
      <c r="G30" s="7"/>
      <c r="H30" s="7"/>
    </row>
    <row r="33" spans="1:8" x14ac:dyDescent="0.45">
      <c r="A33" s="2"/>
      <c r="C33" s="7"/>
      <c r="D33" s="7"/>
      <c r="E33" s="7"/>
      <c r="F33" s="7"/>
      <c r="G33" s="7"/>
      <c r="H33" s="7"/>
    </row>
    <row r="34" spans="1:8" ht="28.5" x14ac:dyDescent="0.45">
      <c r="A34" s="2" t="s">
        <v>435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workbookViewId="0">
      <pane xSplit="6" topLeftCell="P1" activePane="topRight" state="frozen"/>
      <selection pane="topRight" activeCell="P9" sqref="P9"/>
    </sheetView>
  </sheetViews>
  <sheetFormatPr defaultRowHeight="14.25" x14ac:dyDescent="0.45"/>
  <cols>
    <col min="1" max="1" width="23.86328125" bestFit="1" customWidth="1"/>
    <col min="2" max="2" width="16.86328125" customWidth="1"/>
    <col min="3" max="3" width="17" customWidth="1"/>
    <col min="4" max="4" width="15.86328125" bestFit="1" customWidth="1"/>
    <col min="5" max="5" width="18.265625" bestFit="1" customWidth="1"/>
    <col min="6" max="6" width="10.86328125" customWidth="1"/>
    <col min="7" max="9" width="15" bestFit="1" customWidth="1"/>
    <col min="10" max="11" width="14.86328125" bestFit="1" customWidth="1"/>
    <col min="12" max="23" width="13.265625" bestFit="1" customWidth="1"/>
    <col min="24" max="25" width="14.86328125" bestFit="1" customWidth="1"/>
  </cols>
  <sheetData>
    <row r="1" spans="1:25" x14ac:dyDescent="0.45">
      <c r="A1" s="1" t="s">
        <v>440</v>
      </c>
      <c r="B1" t="s">
        <v>458</v>
      </c>
    </row>
    <row r="2" spans="1:25" x14ac:dyDescent="0.45">
      <c r="A2" t="s">
        <v>289</v>
      </c>
      <c r="B2" s="35">
        <v>43609</v>
      </c>
    </row>
    <row r="3" spans="1:25" x14ac:dyDescent="0.45">
      <c r="B3" t="s">
        <v>206</v>
      </c>
      <c r="C3" t="s">
        <v>207</v>
      </c>
    </row>
    <row r="4" spans="1:25" x14ac:dyDescent="0.45">
      <c r="A4" t="s">
        <v>276</v>
      </c>
      <c r="B4">
        <v>32</v>
      </c>
      <c r="C4">
        <v>39</v>
      </c>
    </row>
    <row r="5" spans="1:25" ht="28.5" x14ac:dyDescent="0.4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45">
      <c r="A6" t="s">
        <v>287</v>
      </c>
      <c r="D6" s="1">
        <v>1</v>
      </c>
      <c r="E6">
        <v>1</v>
      </c>
    </row>
    <row r="7" spans="1:25" x14ac:dyDescent="0.45">
      <c r="A7" t="s">
        <v>203</v>
      </c>
      <c r="D7" s="37">
        <v>0.75</v>
      </c>
      <c r="E7" s="38" t="s">
        <v>301</v>
      </c>
    </row>
    <row r="8" spans="1:25" x14ac:dyDescent="0.45">
      <c r="B8" t="s">
        <v>283</v>
      </c>
      <c r="C8" t="s">
        <v>284</v>
      </c>
      <c r="D8" t="s">
        <v>286</v>
      </c>
      <c r="E8" t="s">
        <v>285</v>
      </c>
    </row>
    <row r="9" spans="1:25" x14ac:dyDescent="0.4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4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45">
      <c r="A11" t="s">
        <v>455</v>
      </c>
      <c r="B11" t="s">
        <v>456</v>
      </c>
      <c r="D11">
        <v>1250</v>
      </c>
      <c r="E11" s="7"/>
    </row>
    <row r="12" spans="1:25" x14ac:dyDescent="0.45">
      <c r="E12" s="7"/>
    </row>
    <row r="13" spans="1:25" x14ac:dyDescent="0.4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2.75" x14ac:dyDescent="0.4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45">
      <c r="A15" t="s">
        <v>448</v>
      </c>
      <c r="C15" t="str">
        <f>$D15&amp;" x "&amp;$E15&amp;" cm"</f>
        <v>3 x 3 cm</v>
      </c>
      <c r="D15">
        <v>3</v>
      </c>
      <c r="E15">
        <v>3</v>
      </c>
      <c r="F15" s="43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131000</v>
      </c>
      <c r="I15" s="7">
        <f>LamChanHangNgan((PhiMayCatDecalVuong(I$14,$D15,$E15)+ PhiMayInToner4M(ROUNDUP(I$14/$F15,0)*$E$6)+ (ROUNDUP(I$14/$F15,0)*$D$11))*(1+$D$7))</f>
        <v>135000</v>
      </c>
      <c r="J15" s="7">
        <f>LamChanHangNgan((PhiMayCatDecalVuong(J$14,$D15,$E15)+ PhiMayInToner4M(ROUNDUP(J$14/$F15,0)*$E$6)+ (ROUNDUP(J$14/$F15,0)*$D$11))*(1+$D$7))</f>
        <v>139000</v>
      </c>
      <c r="K15" s="7">
        <f>LamChanHangNgan((PhiMayCatDecalVuong(K$14,$D15,$E15)+ PhiMayInToner4M(ROUNDUP(K$14/$F15,0)*$E$6)+ (ROUNDUP(K$14/$F15,0)*$D$11))*(1+$D$7))</f>
        <v>139000</v>
      </c>
      <c r="L15" s="7">
        <f>LamChanHangNgan((PhiMayCatDecalVuong(L$14,$D15,$E15)+ PhiMayInToner4M(ROUNDUP(L$14/$F15,0)*$E$6)+ (ROUNDUP(L$14/$F15,0)*$D$11))*(1+$D$7))</f>
        <v>143000</v>
      </c>
      <c r="M15" s="7">
        <f>LamChanHangNgan((PhiMayCatDecalVuong(M$14,$D15,$E15)+ PhiMayInToner4M(ROUNDUP(M$14/$F15,0)*$E$6)+ (ROUNDUP(M$14/$F15,0)*$D$11))*(1+$D$7))</f>
        <v>146000</v>
      </c>
      <c r="N15" s="7">
        <f>LamChanHangNgan((PhiMayCatDecalVuong(N$14,$D15,$E15)+ PhiMayInToner4M(ROUNDUP(N$14/$F15,0)*$E$6)+ (ROUNDUP(N$14/$F15,0)*$D$11))*(1+$D$7))</f>
        <v>150000</v>
      </c>
      <c r="O15" s="7">
        <f>LamChanHangNgan((PhiMayCatDecalVuong(O$14,$D15,$E15)+ PhiMayInToner4M(ROUNDUP(O$14/$F15,0)*$E$6)+ (ROUNDUP(O$14/$F15,0)*$D$11))*(1+$D$7))</f>
        <v>150000</v>
      </c>
      <c r="P15" s="7">
        <f>LamChanHangNgan((PhiMayCatDecalVuong(P$14,$D15,$E15)+PhiMayInToner4M_Recoh(ROUNDUP(P$14/$F15,0)*$E$6)+ (ROUNDUP(P$14/$F15,0)*$D$11))*(1+$D$7))</f>
        <v>125000</v>
      </c>
      <c r="Q15" s="7">
        <f>LamChanHangNgan((PhiMayCatDecalVuong(Q$14,$D15,$E15)+PhiMayInToner4M_Recoh(ROUNDUP(Q$14/$F15,0)*$E$6)+ (ROUNDUP(Q$14/$F15,0)*$D$11))*(1+$D$7))</f>
        <v>140000</v>
      </c>
      <c r="R15" s="7">
        <f>LamChanHangNgan((PhiMayCatDecalVuong(R$14,$D15,$E15)+PhiMayInToner4M_Recoh(ROUNDUP(R$14/$F15,0)*$E$6)+ (ROUNDUP(R$14/$F15,0)*$D$11))*(1+$D$7))</f>
        <v>156000</v>
      </c>
      <c r="S15" s="7">
        <f>LamChanHangNgan((PhiMayCatDecalVuong(S$14,$D15,$E15)+PhiMayInToner4M_Recoh(ROUNDUP(S$14/$F15,0)*$E$6)+ (ROUNDUP(S$14/$F15,0)*$D$11))*(1+$D$7))</f>
        <v>171000</v>
      </c>
      <c r="T15" s="7">
        <f>LamChanHangNgan((PhiMayCatDecalVuong(T$14,$D15,$E15)+PhiMayInToner4M_Recoh(ROUNDUP(T$14/$F15,0)*$E$6)+ (ROUNDUP(T$14/$F15,0)*$D$11))*(1+$D$7))</f>
        <v>187000</v>
      </c>
      <c r="U15" s="7">
        <f>LamChanHangNgan((PhiMayCatDecalVuong(U$14,$D15,$E15)+PhiMayInToner4M_Recoh(ROUNDUP(U$14/$F15,0)*$E$6)+ (ROUNDUP(U$14/$F15,0)*$D$11))*(1+$D$7))</f>
        <v>198000</v>
      </c>
      <c r="V15" s="7">
        <f>LamChanHangNgan((PhiMayCatDecalVuong(V$14,$D15,$E15)+PhiMayInToner4M_Recoh(ROUNDUP(V$14/$F15,0)*$E$6)+ (ROUNDUP(V$14/$F15,0)*$D$11))*(1+$D$7))</f>
        <v>214000</v>
      </c>
      <c r="W15" s="7">
        <f>LamChanHangNgan((PhiMayCatDecalVuong(W$14,$D15,$E15)+PhiMayInToner4M_Recoh(ROUNDUP(W$14/$F15,0)*$E$6)+ (ROUNDUP(W$14/$F15,0)*$D$11))*(1+$D$7))</f>
        <v>229000</v>
      </c>
      <c r="X15" s="7">
        <f>LamChanHangNgan((PhiMayCatDecalVuong(X$14,$D15,$E15)+PhiMayInToner4M_Recoh(ROUNDUP(X$14/$F15,0)*$E$6)+ (ROUNDUP(X$14/$F15,0)*$D$11))*(1+$D$7))</f>
        <v>244000</v>
      </c>
      <c r="Y15" s="7">
        <f>LamChanHangNgan((PhiMayCatDecalVuong(Y$14,$D15,$E15)+PhiMayInToner4M_Recoh(ROUNDUP(Y$14/$F15,0)*$E$6)+ (ROUNDUP(Y$14/$F15,0)*$D$11))*(1+$D$7))</f>
        <v>391000</v>
      </c>
    </row>
    <row r="16" spans="1:25" x14ac:dyDescent="0.45">
      <c r="C16" t="str">
        <f t="shared" ref="C16:C23" si="3">$D16&amp;" x "&amp;$E16&amp;" cm"</f>
        <v>3.5 x 3.5 cm</v>
      </c>
      <c r="D16">
        <v>3.5</v>
      </c>
      <c r="E16">
        <v>3.5</v>
      </c>
      <c r="F16" s="43">
        <f t="shared" si="2"/>
        <v>99</v>
      </c>
      <c r="G16" s="7">
        <f>LamChanHangNgan((PhiMayCatDecalVuong(G$14,$D16,$E16)+ PhiMayInToner4M(ROUNDUP(G$14/$F16,0)*$E$6)+ (ROUNDUP(G$14/$F16,0)*$D$11))*(1+$D$7))</f>
        <v>131000</v>
      </c>
      <c r="H16" s="7">
        <f>LamChanHangNgan((PhiMayCatDecalVuong(H$14,$D16,$E16)+ PhiMayInToner4M(ROUNDUP(H$14/$F16,0)*$E$6)+ (ROUNDUP(H$14/$F16,0)*$D$11))*(1+$D$7))</f>
        <v>135000</v>
      </c>
      <c r="I16" s="7">
        <f>LamChanHangNgan((PhiMayCatDecalVuong(I$14,$D16,$E16)+ PhiMayInToner4M(ROUNDUP(I$14/$F16,0)*$E$6)+ (ROUNDUP(I$14/$F16,0)*$D$11))*(1+$D$7))</f>
        <v>138000</v>
      </c>
      <c r="J16" s="7">
        <f>LamChanHangNgan((PhiMayCatDecalVuong(J$14,$D16,$E16)+ PhiMayInToner4M(ROUNDUP(J$14/$F16,0)*$E$6)+ (ROUNDUP(J$14/$F16,0)*$D$11))*(1+$D$7))</f>
        <v>142000</v>
      </c>
      <c r="K16" s="7">
        <f>LamChanHangNgan((PhiMayCatDecalVuong(K$14,$D16,$E16)+ PhiMayInToner4M(ROUNDUP(K$14/$F16,0)*$E$6)+ (ROUNDUP(K$14/$F16,0)*$D$11))*(1+$D$7))</f>
        <v>146000</v>
      </c>
      <c r="L16" s="7">
        <f>LamChanHangNgan((PhiMayCatDecalVuong(L$14,$D16,$E16)+ PhiMayInToner4M(ROUNDUP(L$14/$F16,0)*$E$6)+ (ROUNDUP(L$14/$F16,0)*$D$11))*(1+$D$7))</f>
        <v>150000</v>
      </c>
      <c r="M16" s="7">
        <f>LamChanHangNgan((PhiMayCatDecalVuong(M$14,$D16,$E16)+ PhiMayInToner4M(ROUNDUP(M$14/$F16,0)*$E$6)+ (ROUNDUP(M$14/$F16,0)*$D$11))*(1+$D$7))</f>
        <v>154000</v>
      </c>
      <c r="N16" s="7">
        <f>LamChanHangNgan((PhiMayCatDecalVuong(N$14,$D16,$E16)+ PhiMayInToner4M(ROUNDUP(N$14/$F16,0)*$E$6)+ (ROUNDUP(N$14/$F16,0)*$D$11))*(1+$D$7))</f>
        <v>157000</v>
      </c>
      <c r="O16" s="7">
        <f>LamChanHangNgan((PhiMayCatDecalVuong(O$14,$D16,$E16)+ PhiMayInToner4M(ROUNDUP(O$14/$F16,0)*$E$6)+ (ROUNDUP(O$14/$F16,0)*$D$11))*(1+$D$7))</f>
        <v>161000</v>
      </c>
      <c r="P16" s="7">
        <f>LamChanHangNgan((PhiMayCatDecalVuong(P$14,$D16,$E16)+PhiMayInToner4M_Recoh(ROUNDUP(P$14/$F16,0)*$E$6)+ (ROUNDUP(P$14/$F16,0)*$D$11))*(1+$D$7))</f>
        <v>136000</v>
      </c>
      <c r="Q16" s="7">
        <f>LamChanHangNgan((PhiMayCatDecalVuong(Q$14,$D16,$E16)+PhiMayInToner4M_Recoh(ROUNDUP(Q$14/$F16,0)*$E$6)+ (ROUNDUP(Q$14/$F16,0)*$D$11))*(1+$D$7))</f>
        <v>155000</v>
      </c>
      <c r="R16" s="7">
        <f>LamChanHangNgan((PhiMayCatDecalVuong(R$14,$D16,$E16)+PhiMayInToner4M_Recoh(ROUNDUP(R$14/$F16,0)*$E$6)+ (ROUNDUP(R$14/$F16,0)*$D$11))*(1+$D$7))</f>
        <v>174000</v>
      </c>
      <c r="S16" s="7">
        <f>LamChanHangNgan((PhiMayCatDecalVuong(S$14,$D16,$E16)+PhiMayInToner4M_Recoh(ROUNDUP(S$14/$F16,0)*$E$6)+ (ROUNDUP(S$14/$F16,0)*$D$11))*(1+$D$7))</f>
        <v>193000</v>
      </c>
      <c r="T16" s="7">
        <f>LamChanHangNgan((PhiMayCatDecalVuong(T$14,$D16,$E16)+PhiMayInToner4M_Recoh(ROUNDUP(T$14/$F16,0)*$E$6)+ (ROUNDUP(T$14/$F16,0)*$D$11))*(1+$D$7))</f>
        <v>212000</v>
      </c>
      <c r="U16" s="7">
        <f>LamChanHangNgan((PhiMayCatDecalVuong(U$14,$D16,$E16)+PhiMayInToner4M_Recoh(ROUNDUP(U$14/$F16,0)*$E$6)+ (ROUNDUP(U$14/$F16,0)*$D$11))*(1+$D$7))</f>
        <v>231000</v>
      </c>
      <c r="V16" s="7">
        <f>LamChanHangNgan((PhiMayCatDecalVuong(V$14,$D16,$E16)+PhiMayInToner4M_Recoh(ROUNDUP(V$14/$F16,0)*$E$6)+ (ROUNDUP(V$14/$F16,0)*$D$11))*(1+$D$7))</f>
        <v>251000</v>
      </c>
      <c r="W16" s="7">
        <f>LamChanHangNgan((PhiMayCatDecalVuong(W$14,$D16,$E16)+PhiMayInToner4M_Recoh(ROUNDUP(W$14/$F16,0)*$E$6)+ (ROUNDUP(W$14/$F16,0)*$D$11))*(1+$D$7))</f>
        <v>270000</v>
      </c>
      <c r="X16" s="7">
        <f>LamChanHangNgan((PhiMayCatDecalVuong(X$14,$D16,$E16)+PhiMayInToner4M_Recoh(ROUNDUP(X$14/$F16,0)*$E$6)+ (ROUNDUP(X$14/$F16,0)*$D$11))*(1+$D$7))</f>
        <v>289000</v>
      </c>
      <c r="Y16" s="7">
        <f>LamChanHangNgan((PhiMayCatDecalVuong(Y$14,$D16,$E16)+PhiMayInToner4M_Recoh(ROUNDUP(Y$14/$F16,0)*$E$6)+ (ROUNDUP(Y$14/$F16,0)*$D$11))*(1+$D$7))</f>
        <v>483000</v>
      </c>
    </row>
    <row r="17" spans="1:25" x14ac:dyDescent="0.45">
      <c r="C17" t="str">
        <f t="shared" si="3"/>
        <v>4 x 4 cm</v>
      </c>
      <c r="D17">
        <v>4</v>
      </c>
      <c r="E17">
        <v>4</v>
      </c>
      <c r="F17" s="43">
        <f t="shared" si="2"/>
        <v>72</v>
      </c>
      <c r="G17" s="7">
        <f>LamChanHangNgan((PhiMayCatDecalVuong(G$14,$D17,$E17)+ PhiMayInToner4M(ROUNDUP(G$14/$F17,0)*$E$6)+ (ROUNDUP(G$14/$F17,0)*$D$11))*(1+$D$7))</f>
        <v>131000</v>
      </c>
      <c r="H17" s="7">
        <f>LamChanHangNgan((PhiMayCatDecalVuong(H$14,$D17,$E17)+ PhiMayInToner4M(ROUNDUP(H$14/$F17,0)*$E$6)+ (ROUNDUP(H$14/$F17,0)*$D$11))*(1+$D$7))</f>
        <v>135000</v>
      </c>
      <c r="I17" s="7">
        <f>LamChanHangNgan((PhiMayCatDecalVuong(I$14,$D17,$E17)+ PhiMayInToner4M(ROUNDUP(I$14/$F17,0)*$E$6)+ (ROUNDUP(I$14/$F17,0)*$D$11))*(1+$D$7))</f>
        <v>142000</v>
      </c>
      <c r="J17" s="7">
        <f>LamChanHangNgan((PhiMayCatDecalVuong(J$14,$D17,$E17)+ PhiMayInToner4M(ROUNDUP(J$14/$F17,0)*$E$6)+ (ROUNDUP(J$14/$F17,0)*$D$11))*(1+$D$7))</f>
        <v>146000</v>
      </c>
      <c r="K17" s="7">
        <f>LamChanHangNgan((PhiMayCatDecalVuong(K$14,$D17,$E17)+ PhiMayInToner4M(ROUNDUP(K$14/$F17,0)*$E$6)+ (ROUNDUP(K$14/$F17,0)*$D$11))*(1+$D$7))</f>
        <v>150000</v>
      </c>
      <c r="L17" s="7">
        <f>LamChanHangNgan((PhiMayCatDecalVuong(L$14,$D17,$E17)+ PhiMayInToner4M(ROUNDUP(L$14/$F17,0)*$E$6)+ (ROUNDUP(L$14/$F17,0)*$D$11))*(1+$D$7))</f>
        <v>157000</v>
      </c>
      <c r="M17" s="7">
        <f>LamChanHangNgan((PhiMayCatDecalVuong(M$14,$D17,$E17)+ PhiMayInToner4M(ROUNDUP(M$14/$F17,0)*$E$6)+ (ROUNDUP(M$14/$F17,0)*$D$11))*(1+$D$7))</f>
        <v>161000</v>
      </c>
      <c r="N17" s="7">
        <f>LamChanHangNgan((PhiMayCatDecalVuong(N$14,$D17,$E17)+ PhiMayInToner4M(ROUNDUP(N$14/$F17,0)*$E$6)+ (ROUNDUP(N$14/$F17,0)*$D$11))*(1+$D$7))</f>
        <v>168000</v>
      </c>
      <c r="O17" s="7">
        <f>LamChanHangNgan((PhiMayCatDecalVuong(O$14,$D17,$E17)+ PhiMayInToner4M(ROUNDUP(O$14/$F17,0)*$E$6)+ (ROUNDUP(O$14/$F17,0)*$D$11))*(1+$D$7))</f>
        <v>172000</v>
      </c>
      <c r="P17" s="7">
        <f>LamChanHangNgan((PhiMayCatDecalVuong(P$14,$D17,$E17)+PhiMayInToner4M_Recoh(ROUNDUP(P$14/$F17,0)*$E$6)+ (ROUNDUP(P$14/$F17,0)*$D$11))*(1+$D$7))</f>
        <v>147000</v>
      </c>
      <c r="Q17" s="7">
        <f>LamChanHangNgan((PhiMayCatDecalVuong(Q$14,$D17,$E17)+PhiMayInToner4M_Recoh(ROUNDUP(Q$14/$F17,0)*$E$6)+ (ROUNDUP(Q$14/$F17,0)*$D$11))*(1+$D$7))</f>
        <v>173000</v>
      </c>
      <c r="R17" s="7">
        <f>LamChanHangNgan((PhiMayCatDecalVuong(R$14,$D17,$E17)+PhiMayInToner4M_Recoh(ROUNDUP(R$14/$F17,0)*$E$6)+ (ROUNDUP(R$14/$F17,0)*$D$11))*(1+$D$7))</f>
        <v>200000</v>
      </c>
      <c r="S17" s="7">
        <f>LamChanHangNgan((PhiMayCatDecalVuong(S$14,$D17,$E17)+PhiMayInToner4M_Recoh(ROUNDUP(S$14/$F17,0)*$E$6)+ (ROUNDUP(S$14/$F17,0)*$D$11))*(1+$D$7))</f>
        <v>226000</v>
      </c>
      <c r="T17" s="7">
        <f>LamChanHangNgan((PhiMayCatDecalVuong(T$14,$D17,$E17)+PhiMayInToner4M_Recoh(ROUNDUP(T$14/$F17,0)*$E$6)+ (ROUNDUP(T$14/$F17,0)*$D$11))*(1+$D$7))</f>
        <v>252000</v>
      </c>
      <c r="U17" s="7">
        <f>LamChanHangNgan((PhiMayCatDecalVuong(U$14,$D17,$E17)+PhiMayInToner4M_Recoh(ROUNDUP(U$14/$F17,0)*$E$6)+ (ROUNDUP(U$14/$F17,0)*$D$11))*(1+$D$7))</f>
        <v>278000</v>
      </c>
      <c r="V17" s="7">
        <f>LamChanHangNgan((PhiMayCatDecalVuong(V$14,$D17,$E17)+PhiMayInToner4M_Recoh(ROUNDUP(V$14/$F17,0)*$E$6)+ (ROUNDUP(V$14/$F17,0)*$D$11))*(1+$D$7))</f>
        <v>305000</v>
      </c>
      <c r="W17" s="7">
        <f>LamChanHangNgan((PhiMayCatDecalVuong(W$14,$D17,$E17)+PhiMayInToner4M_Recoh(ROUNDUP(W$14/$F17,0)*$E$6)+ (ROUNDUP(W$14/$F17,0)*$D$11))*(1+$D$7))</f>
        <v>331000</v>
      </c>
      <c r="X17" s="7">
        <f>LamChanHangNgan((PhiMayCatDecalVuong(X$14,$D17,$E17)+PhiMayInToner4M_Recoh(ROUNDUP(X$14/$F17,0)*$E$6)+ (ROUNDUP(X$14/$F17,0)*$D$11))*(1+$D$7))</f>
        <v>357000</v>
      </c>
      <c r="Y17" s="7">
        <f>LamChanHangNgan((PhiMayCatDecalVuong(Y$14,$D17,$E17)+PhiMayInToner4M_Recoh(ROUNDUP(Y$14/$F17,0)*$E$6)+ (ROUNDUP(Y$14/$F17,0)*$D$11))*(1+$D$7))</f>
        <v>617000</v>
      </c>
    </row>
    <row r="18" spans="1:25" x14ac:dyDescent="0.45">
      <c r="A18" s="1" t="s">
        <v>449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3">
        <f t="shared" si="2"/>
        <v>56</v>
      </c>
      <c r="G18" s="7">
        <f>LamChanHangNgan((PhiMayCatDecalVuong(G$14,$D18,$E18)+ PhiMayInToner4M(ROUNDUP(G$14/$F18,0)*$E$6)+ (ROUNDUP(G$14/$F18,0)*$D$11))*(1+$D$7))</f>
        <v>131000</v>
      </c>
      <c r="H18" s="7">
        <f>LamChanHangNgan((PhiMayCatDecalVuong(H$14,$D18,$E18)+ PhiMayInToner4M(ROUNDUP(H$14/$F18,0)*$E$6)+ (ROUNDUP(H$14/$F18,0)*$D$11))*(1+$D$7))</f>
        <v>138000</v>
      </c>
      <c r="I18" s="7">
        <f>LamChanHangNgan((PhiMayCatDecalVuong(I$14,$D18,$E18)+ PhiMayInToner4M(ROUNDUP(I$14/$F18,0)*$E$6)+ (ROUNDUP(I$14/$F18,0)*$D$11))*(1+$D$7))</f>
        <v>146000</v>
      </c>
      <c r="J18" s="7">
        <f>LamChanHangNgan((PhiMayCatDecalVuong(J$14,$D18,$E18)+ PhiMayInToner4M(ROUNDUP(J$14/$F18,0)*$E$6)+ (ROUNDUP(J$14/$F18,0)*$D$11))*(1+$D$7))</f>
        <v>153000</v>
      </c>
      <c r="K18" s="7">
        <f>LamChanHangNgan((PhiMayCatDecalVuong(K$14,$D18,$E18)+ PhiMayInToner4M(ROUNDUP(K$14/$F18,0)*$E$6)+ (ROUNDUP(K$14/$F18,0)*$D$11))*(1+$D$7))</f>
        <v>157000</v>
      </c>
      <c r="L18" s="7">
        <f>LamChanHangNgan((PhiMayCatDecalVuong(L$14,$D18,$E18)+ PhiMayInToner4M(ROUNDUP(L$14/$F18,0)*$E$6)+ (ROUNDUP(L$14/$F18,0)*$D$11))*(1+$D$7))</f>
        <v>164000</v>
      </c>
      <c r="M18" s="7">
        <f>LamChanHangNgan((PhiMayCatDecalVuong(M$14,$D18,$E18)+ PhiMayInToner4M(ROUNDUP(M$14/$F18,0)*$E$6)+ (ROUNDUP(M$14/$F18,0)*$D$11))*(1+$D$7))</f>
        <v>172000</v>
      </c>
      <c r="N18" s="7">
        <f>LamChanHangNgan((PhiMayCatDecalVuong(N$14,$D18,$E18)+ PhiMayInToner4M(ROUNDUP(N$14/$F18,0)*$E$6)+ (ROUNDUP(N$14/$F18,0)*$D$11))*(1+$D$7))</f>
        <v>179000</v>
      </c>
      <c r="O18" s="7">
        <f>LamChanHangNgan((PhiMayCatDecalVuong(O$14,$D18,$E18)+ PhiMayInToner4M(ROUNDUP(O$14/$F18,0)*$E$6)+ (ROUNDUP(O$14/$F18,0)*$D$11))*(1+$D$7))</f>
        <v>187000</v>
      </c>
      <c r="P18" s="7">
        <f>LamChanHangNgan((PhiMayCatDecalVuong(P$14,$D18,$E18)+PhiMayInToner4M_Recoh(ROUNDUP(P$14/$F18,0)*$E$6)+ (ROUNDUP(P$14/$F18,0)*$D$11))*(1+$D$7))</f>
        <v>161000</v>
      </c>
      <c r="Q18" s="7">
        <f>LamChanHangNgan((PhiMayCatDecalVuong(Q$14,$D18,$E18)+PhiMayInToner4M_Recoh(ROUNDUP(Q$14/$F18,0)*$E$6)+ (ROUNDUP(Q$14/$F18,0)*$D$11))*(1+$D$7))</f>
        <v>195000</v>
      </c>
      <c r="R18" s="7">
        <f>LamChanHangNgan((PhiMayCatDecalVuong(R$14,$D18,$E18)+PhiMayInToner4M_Recoh(ROUNDUP(R$14/$F18,0)*$E$6)+ (ROUNDUP(R$14/$F18,0)*$D$11))*(1+$D$7))</f>
        <v>228000</v>
      </c>
      <c r="S18" s="7">
        <f>LamChanHangNgan((PhiMayCatDecalVuong(S$14,$D18,$E18)+PhiMayInToner4M_Recoh(ROUNDUP(S$14/$F18,0)*$E$6)+ (ROUNDUP(S$14/$F18,0)*$D$11))*(1+$D$7))</f>
        <v>262000</v>
      </c>
      <c r="T18" s="7">
        <f>LamChanHangNgan((PhiMayCatDecalVuong(T$14,$D18,$E18)+PhiMayInToner4M_Recoh(ROUNDUP(T$14/$F18,0)*$E$6)+ (ROUNDUP(T$14/$F18,0)*$D$11))*(1+$D$7))</f>
        <v>295000</v>
      </c>
      <c r="U18" s="7">
        <f>LamChanHangNgan((PhiMayCatDecalVuong(U$14,$D18,$E18)+PhiMayInToner4M_Recoh(ROUNDUP(U$14/$F18,0)*$E$6)+ (ROUNDUP(U$14/$F18,0)*$D$11))*(1+$D$7))</f>
        <v>329000</v>
      </c>
      <c r="V18" s="7">
        <f>LamChanHangNgan((PhiMayCatDecalVuong(V$14,$D18,$E18)+PhiMayInToner4M_Recoh(ROUNDUP(V$14/$F18,0)*$E$6)+ (ROUNDUP(V$14/$F18,0)*$D$11))*(1+$D$7))</f>
        <v>362000</v>
      </c>
      <c r="W18" s="7">
        <f>LamChanHangNgan((PhiMayCatDecalVuong(W$14,$D18,$E18)+PhiMayInToner4M_Recoh(ROUNDUP(W$14/$F18,0)*$E$6)+ (ROUNDUP(W$14/$F18,0)*$D$11))*(1+$D$7))</f>
        <v>396000</v>
      </c>
      <c r="X18" s="7">
        <f>LamChanHangNgan((PhiMayCatDecalVuong(X$14,$D18,$E18)+PhiMayInToner4M_Recoh(ROUNDUP(X$14/$F18,0)*$E$6)+ (ROUNDUP(X$14/$F18,0)*$D$11))*(1+$D$7))</f>
        <v>430000</v>
      </c>
      <c r="Y18" s="7">
        <f>LamChanHangNgan((PhiMayCatDecalVuong(Y$14,$D18,$E18)+PhiMayInToner4M_Recoh(ROUNDUP(Y$14/$F18,0)*$E$6)+ (ROUNDUP(Y$14/$F18,0)*$D$11))*(1+$D$7))</f>
        <v>761000</v>
      </c>
    </row>
    <row r="19" spans="1:25" ht="28.5" x14ac:dyDescent="0.45">
      <c r="A19" s="2" t="s">
        <v>450</v>
      </c>
      <c r="B19" s="42" t="s">
        <v>454</v>
      </c>
      <c r="C19" t="str">
        <f t="shared" si="3"/>
        <v>5 x 5 cm</v>
      </c>
      <c r="D19">
        <v>5</v>
      </c>
      <c r="E19">
        <v>5</v>
      </c>
      <c r="F19" s="43">
        <f t="shared" si="2"/>
        <v>42</v>
      </c>
      <c r="G19" s="7">
        <f>LamChanHangNgan((PhiMayCatDecalVuong(G$14,$D19,$E19)+ PhiMayInToner4M(ROUNDUP(G$14/$F19,0)*$E$6)+ (ROUNDUP(G$14/$F19,0)*$D$11))*(1+$D$7))</f>
        <v>134000</v>
      </c>
      <c r="H19" s="7">
        <f>LamChanHangNgan((PhiMayCatDecalVuong(H$14,$D19,$E19)+ PhiMayInToner4M(ROUNDUP(H$14/$F19,0)*$E$6)+ (ROUNDUP(H$14/$F19,0)*$D$11))*(1+$D$7))</f>
        <v>142000</v>
      </c>
      <c r="I19" s="7">
        <f>LamChanHangNgan((PhiMayCatDecalVuong(I$14,$D19,$E19)+ PhiMayInToner4M(ROUNDUP(I$14/$F19,0)*$E$6)+ (ROUNDUP(I$14/$F19,0)*$D$11))*(1+$D$7))</f>
        <v>153000</v>
      </c>
      <c r="J19" s="7">
        <f>LamChanHangNgan((PhiMayCatDecalVuong(J$14,$D19,$E19)+ PhiMayInToner4M(ROUNDUP(J$14/$F19,0)*$E$6)+ (ROUNDUP(J$14/$F19,0)*$D$11))*(1+$D$7))</f>
        <v>160000</v>
      </c>
      <c r="K19" s="7">
        <f>LamChanHangNgan((PhiMayCatDecalVuong(K$14,$D19,$E19)+ PhiMayInToner4M(ROUNDUP(K$14/$F19,0)*$E$6)+ (ROUNDUP(K$14/$F19,0)*$D$11))*(1+$D$7))</f>
        <v>168000</v>
      </c>
      <c r="L19" s="7">
        <f>LamChanHangNgan((PhiMayCatDecalVuong(L$14,$D19,$E19)+ PhiMayInToner4M(ROUNDUP(L$14/$F19,0)*$E$6)+ (ROUNDUP(L$14/$F19,0)*$D$11))*(1+$D$7))</f>
        <v>179000</v>
      </c>
      <c r="M19" s="7">
        <f>LamChanHangNgan((PhiMayCatDecalVuong(M$14,$D19,$E19)+ PhiMayInToner4M(ROUNDUP(M$14/$F19,0)*$E$6)+ (ROUNDUP(M$14/$F19,0)*$D$11))*(1+$D$7))</f>
        <v>186000</v>
      </c>
      <c r="N19" s="7">
        <f>LamChanHangNgan((PhiMayCatDecalVuong(N$14,$D19,$E19)+ PhiMayInToner4M(ROUNDUP(N$14/$F19,0)*$E$6)+ (ROUNDUP(N$14/$F19,0)*$D$11))*(1+$D$7))</f>
        <v>197000</v>
      </c>
      <c r="O19" s="7">
        <f>LamChanHangNgan((PhiMayCatDecalVuong(O$14,$D19,$E19)+ PhiMayInToner4M(ROUNDUP(O$14/$F19,0)*$E$6)+ (ROUNDUP(O$14/$F19,0)*$D$11))*(1+$D$7))</f>
        <v>204000</v>
      </c>
      <c r="P19" s="7">
        <f>LamChanHangNgan((PhiMayCatDecalVuong(P$14,$D19,$E19)+PhiMayInToner4M_Recoh(ROUNDUP(P$14/$F19,0)*$E$6)+ (ROUNDUP(P$14/$F19,0)*$D$11))*(1+$D$7))</f>
        <v>183000</v>
      </c>
      <c r="Q19" s="7">
        <f>LamChanHangNgan((PhiMayCatDecalVuong(Q$14,$D19,$E19)+PhiMayInToner4M_Recoh(ROUNDUP(Q$14/$F19,0)*$E$6)+ (ROUNDUP(Q$14/$F19,0)*$D$11))*(1+$D$7))</f>
        <v>227000</v>
      </c>
      <c r="R19" s="7">
        <f>LamChanHangNgan((PhiMayCatDecalVuong(R$14,$D19,$E19)+PhiMayInToner4M_Recoh(ROUNDUP(R$14/$F19,0)*$E$6)+ (ROUNDUP(R$14/$F19,0)*$D$11))*(1+$D$7))</f>
        <v>271000</v>
      </c>
      <c r="S19" s="7">
        <f>LamChanHangNgan((PhiMayCatDecalVuong(S$14,$D19,$E19)+PhiMayInToner4M_Recoh(ROUNDUP(S$14/$F19,0)*$E$6)+ (ROUNDUP(S$14/$F19,0)*$D$11))*(1+$D$7))</f>
        <v>315000</v>
      </c>
      <c r="T19" s="7">
        <f>LamChanHangNgan((PhiMayCatDecalVuong(T$14,$D19,$E19)+PhiMayInToner4M_Recoh(ROUNDUP(T$14/$F19,0)*$E$6)+ (ROUNDUP(T$14/$F19,0)*$D$11))*(1+$D$7))</f>
        <v>360000</v>
      </c>
      <c r="U19" s="7">
        <f>LamChanHangNgan((PhiMayCatDecalVuong(U$14,$D19,$E19)+PhiMayInToner4M_Recoh(ROUNDUP(U$14/$F19,0)*$E$6)+ (ROUNDUP(U$14/$F19,0)*$D$11))*(1+$D$7))</f>
        <v>404000</v>
      </c>
      <c r="V19" s="7">
        <f>LamChanHangNgan((PhiMayCatDecalVuong(V$14,$D19,$E19)+PhiMayInToner4M_Recoh(ROUNDUP(V$14/$F19,0)*$E$6)+ (ROUNDUP(V$14/$F19,0)*$D$11))*(1+$D$7))</f>
        <v>448000</v>
      </c>
      <c r="W19" s="7">
        <f>LamChanHangNgan((PhiMayCatDecalVuong(W$14,$D19,$E19)+PhiMayInToner4M_Recoh(ROUNDUP(W$14/$F19,0)*$E$6)+ (ROUNDUP(W$14/$F19,0)*$D$11))*(1+$D$7))</f>
        <v>492000</v>
      </c>
      <c r="X19" s="7">
        <f>LamChanHangNgan((PhiMayCatDecalVuong(X$14,$D19,$E19)+PhiMayInToner4M_Recoh(ROUNDUP(X$14/$F19,0)*$E$6)+ (ROUNDUP(X$14/$F19,0)*$D$11))*(1+$D$7))</f>
        <v>537000</v>
      </c>
      <c r="Y19" s="7">
        <f>LamChanHangNgan((PhiMayCatDecalVuong(Y$14,$D19,$E19)+PhiMayInToner4M_Recoh(ROUNDUP(Y$14/$F19,0)*$E$6)+ (ROUNDUP(Y$14/$F19,0)*$D$11))*(1+$D$7))</f>
        <v>975000</v>
      </c>
    </row>
    <row r="20" spans="1:25" x14ac:dyDescent="0.45">
      <c r="A20" s="2" t="s">
        <v>451</v>
      </c>
      <c r="B20">
        <f xml:space="preserve"> PhiMayInToner4M(ROUNDUP($G18/H$16,0)*$E$6)</f>
        <v>59075</v>
      </c>
      <c r="C20" t="str">
        <f t="shared" si="3"/>
        <v>5.5 x 5.5 cm</v>
      </c>
      <c r="D20">
        <v>5.5</v>
      </c>
      <c r="E20">
        <v>5.5</v>
      </c>
      <c r="F20" s="43">
        <f t="shared" si="2"/>
        <v>35</v>
      </c>
      <c r="G20" s="7">
        <f>LamChanHangNgan((PhiMayCatDecalVuong(G$14,$D20,$E20)+ PhiMayInToner4M(ROUNDUP(G$14/$F20,0)*$E$6)+ (ROUNDUP(G$14/$F20,0)*$D$11))*(1+$D$7))</f>
        <v>134000</v>
      </c>
      <c r="H20" s="7">
        <f>LamChanHangNgan((PhiMayCatDecalVuong(H$14,$D20,$E20)+ PhiMayInToner4M(ROUNDUP(H$14/$F20,0)*$E$6)+ (ROUNDUP(H$14/$F20,0)*$D$11))*(1+$D$7))</f>
        <v>145000</v>
      </c>
      <c r="I20" s="7">
        <f>LamChanHangNgan((PhiMayCatDecalVuong(I$14,$D20,$E20)+ PhiMayInToner4M(ROUNDUP(I$14/$F20,0)*$E$6)+ (ROUNDUP(I$14/$F20,0)*$D$11))*(1+$D$7))</f>
        <v>156000</v>
      </c>
      <c r="J20" s="7">
        <f>LamChanHangNgan((PhiMayCatDecalVuong(J$14,$D20,$E20)+ PhiMayInToner4M(ROUNDUP(J$14/$F20,0)*$E$6)+ (ROUNDUP(J$14/$F20,0)*$D$11))*(1+$D$7))</f>
        <v>167000</v>
      </c>
      <c r="K20" s="7">
        <f>LamChanHangNgan((PhiMayCatDecalVuong(K$14,$D20,$E20)+ PhiMayInToner4M(ROUNDUP(K$14/$F20,0)*$E$6)+ (ROUNDUP(K$14/$F20,0)*$D$11))*(1+$D$7))</f>
        <v>178000</v>
      </c>
      <c r="L20" s="7">
        <f>LamChanHangNgan((PhiMayCatDecalVuong(L$14,$D20,$E20)+ PhiMayInToner4M(ROUNDUP(L$14/$F20,0)*$E$6)+ (ROUNDUP(L$14/$F20,0)*$D$11))*(1+$D$7))</f>
        <v>189000</v>
      </c>
      <c r="M20" s="7">
        <f>LamChanHangNgan((PhiMayCatDecalVuong(M$14,$D20,$E20)+ PhiMayInToner4M(ROUNDUP(M$14/$F20,0)*$E$6)+ (ROUNDUP(M$14/$F20,0)*$D$11))*(1+$D$7))</f>
        <v>197000</v>
      </c>
      <c r="N20" s="7">
        <f>LamChanHangNgan((PhiMayCatDecalVuong(N$14,$D20,$E20)+ PhiMayInToner4M(ROUNDUP(N$14/$F20,0)*$E$6)+ (ROUNDUP(N$14/$F20,0)*$D$11))*(1+$D$7))</f>
        <v>208000</v>
      </c>
      <c r="O20" s="7">
        <f>LamChanHangNgan((PhiMayCatDecalVuong(O$14,$D20,$E20)+ PhiMayInToner4M(ROUNDUP(O$14/$F20,0)*$E$6)+ (ROUNDUP(O$14/$F20,0)*$D$11))*(1+$D$7))</f>
        <v>219000</v>
      </c>
      <c r="P20" s="7">
        <f>LamChanHangNgan((PhiMayCatDecalVuong(P$14,$D20,$E20)+PhiMayInToner4M_Recoh(ROUNDUP(P$14/$F20,0)*$E$6)+ (ROUNDUP(P$14/$F20,0)*$D$11))*(1+$D$7))</f>
        <v>201000</v>
      </c>
      <c r="Q20" s="7">
        <f>LamChanHangNgan((PhiMayCatDecalVuong(Q$14,$D20,$E20)+PhiMayInToner4M_Recoh(ROUNDUP(Q$14/$F20,0)*$E$6)+ (ROUNDUP(Q$14/$F20,0)*$D$11))*(1+$D$7))</f>
        <v>252000</v>
      </c>
      <c r="R20" s="7">
        <f>LamChanHangNgan((PhiMayCatDecalVuong(R$14,$D20,$E20)+PhiMayInToner4M_Recoh(ROUNDUP(R$14/$F20,0)*$E$6)+ (ROUNDUP(R$14/$F20,0)*$D$11))*(1+$D$7))</f>
        <v>307000</v>
      </c>
      <c r="S20" s="7">
        <f>LamChanHangNgan((PhiMayCatDecalVuong(S$14,$D20,$E20)+PhiMayInToner4M_Recoh(ROUNDUP(S$14/$F20,0)*$E$6)+ (ROUNDUP(S$14/$F20,0)*$D$11))*(1+$D$7))</f>
        <v>358000</v>
      </c>
      <c r="T20" s="7">
        <f>LamChanHangNgan((PhiMayCatDecalVuong(T$14,$D20,$E20)+PhiMayInToner4M_Recoh(ROUNDUP(T$14/$F20,0)*$E$6)+ (ROUNDUP(T$14/$F20,0)*$D$11))*(1+$D$7))</f>
        <v>410000</v>
      </c>
      <c r="U20" s="7">
        <f>LamChanHangNgan((PhiMayCatDecalVuong(U$14,$D20,$E20)+PhiMayInToner4M_Recoh(ROUNDUP(U$14/$F20,0)*$E$6)+ (ROUNDUP(U$14/$F20,0)*$D$11))*(1+$D$7))</f>
        <v>461000</v>
      </c>
      <c r="V20" s="7">
        <f>LamChanHangNgan((PhiMayCatDecalVuong(V$14,$D20,$E20)+PhiMayInToner4M_Recoh(ROUNDUP(V$14/$F20,0)*$E$6)+ (ROUNDUP(V$14/$F20,0)*$D$11))*(1+$D$7))</f>
        <v>516000</v>
      </c>
      <c r="W20" s="7">
        <f>LamChanHangNgan((PhiMayCatDecalVuong(W$14,$D20,$E20)+PhiMayInToner4M_Recoh(ROUNDUP(W$14/$F20,0)*$E$6)+ (ROUNDUP(W$14/$F20,0)*$D$11))*(1+$D$7))</f>
        <v>568000</v>
      </c>
      <c r="X20" s="7">
        <f>LamChanHangNgan((PhiMayCatDecalVuong(X$14,$D20,$E20)+PhiMayInToner4M_Recoh(ROUNDUP(X$14/$F20,0)*$E$6)+ (ROUNDUP(X$14/$F20,0)*$D$11))*(1+$D$7))</f>
        <v>619000</v>
      </c>
      <c r="Y20" s="7">
        <f>LamChanHangNgan((PhiMayCatDecalVuong(Y$14,$D20,$E20)+PhiMayInToner4M_Recoh(ROUNDUP(Y$14/$F20,0)*$E$6)+ (ROUNDUP(Y$14/$F20,0)*$D$11))*(1+$D$7))</f>
        <v>1144000</v>
      </c>
    </row>
    <row r="21" spans="1:25" x14ac:dyDescent="0.45">
      <c r="A21" s="2" t="s">
        <v>452</v>
      </c>
      <c r="C21" t="str">
        <f t="shared" si="3"/>
        <v>6 x 6 cm</v>
      </c>
      <c r="D21">
        <v>6</v>
      </c>
      <c r="E21">
        <v>6</v>
      </c>
      <c r="F21" s="43">
        <f t="shared" si="2"/>
        <v>30</v>
      </c>
      <c r="G21" s="7">
        <f>LamChanHangNgan((PhiMayCatDecalVuong(G$14,$D21,$E21)+ PhiMayInToner4M(ROUNDUP(G$14/$F21,0)*$E$6)+ (ROUNDUP(G$14/$F21,0)*$D$11))*(1+$D$7))</f>
        <v>138000</v>
      </c>
      <c r="H21" s="7">
        <f>LamChanHangNgan((PhiMayCatDecalVuong(H$14,$D21,$E21)+ PhiMayInToner4M(ROUNDUP(H$14/$F21,0)*$E$6)+ (ROUNDUP(H$14/$F21,0)*$D$11))*(1+$D$7))</f>
        <v>149000</v>
      </c>
      <c r="I21" s="7">
        <f>LamChanHangNgan((PhiMayCatDecalVuong(I$14,$D21,$E21)+ PhiMayInToner4M(ROUNDUP(I$14/$F21,0)*$E$6)+ (ROUNDUP(I$14/$F21,0)*$D$11))*(1+$D$7))</f>
        <v>160000</v>
      </c>
      <c r="J21" s="7">
        <f>LamChanHangNgan((PhiMayCatDecalVuong(J$14,$D21,$E21)+ PhiMayInToner4M(ROUNDUP(J$14/$F21,0)*$E$6)+ (ROUNDUP(J$14/$F21,0)*$D$11))*(1+$D$7))</f>
        <v>175000</v>
      </c>
      <c r="K21" s="7">
        <f>LamChanHangNgan((PhiMayCatDecalVuong(K$14,$D21,$E21)+ PhiMayInToner4M(ROUNDUP(K$14/$F21,0)*$E$6)+ (ROUNDUP(K$14/$F21,0)*$D$11))*(1+$D$7))</f>
        <v>186000</v>
      </c>
      <c r="L21" s="7">
        <f>LamChanHangNgan((PhiMayCatDecalVuong(L$14,$D21,$E21)+ PhiMayInToner4M(ROUNDUP(L$14/$F21,0)*$E$6)+ (ROUNDUP(L$14/$F21,0)*$D$11))*(1+$D$7))</f>
        <v>197000</v>
      </c>
      <c r="M21" s="7">
        <f>LamChanHangNgan((PhiMayCatDecalVuong(M$14,$D21,$E21)+ PhiMayInToner4M(ROUNDUP(M$14/$F21,0)*$E$6)+ (ROUNDUP(M$14/$F21,0)*$D$11))*(1+$D$7))</f>
        <v>211000</v>
      </c>
      <c r="N21" s="7">
        <f>LamChanHangNgan((PhiMayCatDecalVuong(N$14,$D21,$E21)+ PhiMayInToner4M(ROUNDUP(N$14/$F21,0)*$E$6)+ (ROUNDUP(N$14/$F21,0)*$D$11))*(1+$D$7))</f>
        <v>222000</v>
      </c>
      <c r="O21" s="7">
        <f>LamChanHangNgan((PhiMayCatDecalVuong(O$14,$D21,$E21)+ PhiMayInToner4M(ROUNDUP(O$14/$F21,0)*$E$6)+ (ROUNDUP(O$14/$F21,0)*$D$11))*(1+$D$7))</f>
        <v>233000</v>
      </c>
      <c r="P21" s="7">
        <f>LamChanHangNgan((PhiMayCatDecalVuong(P$14,$D21,$E21)+PhiMayInToner4M_Recoh(ROUNDUP(P$14/$F21,0)*$E$6)+ (ROUNDUP(P$14/$F21,0)*$D$11))*(1+$D$7))</f>
        <v>219000</v>
      </c>
      <c r="Q21" s="7">
        <f>LamChanHangNgan((PhiMayCatDecalVuong(Q$14,$D21,$E21)+PhiMayInToner4M_Recoh(ROUNDUP(Q$14/$F21,0)*$E$6)+ (ROUNDUP(Q$14/$F21,0)*$D$11))*(1+$D$7))</f>
        <v>277000</v>
      </c>
      <c r="R21" s="7">
        <f>LamChanHangNgan((PhiMayCatDecalVuong(R$14,$D21,$E21)+PhiMayInToner4M_Recoh(ROUNDUP(R$14/$F21,0)*$E$6)+ (ROUNDUP(R$14/$F21,0)*$D$11))*(1+$D$7))</f>
        <v>339000</v>
      </c>
      <c r="S21" s="7">
        <f>LamChanHangNgan((PhiMayCatDecalVuong(S$14,$D21,$E21)+PhiMayInToner4M_Recoh(ROUNDUP(S$14/$F21,0)*$E$6)+ (ROUNDUP(S$14/$F21,0)*$D$11))*(1+$D$7))</f>
        <v>402000</v>
      </c>
      <c r="T21" s="7">
        <f>LamChanHangNgan((PhiMayCatDecalVuong(T$14,$D21,$E21)+PhiMayInToner4M_Recoh(ROUNDUP(T$14/$F21,0)*$E$6)+ (ROUNDUP(T$14/$F21,0)*$D$11))*(1+$D$7))</f>
        <v>460000</v>
      </c>
      <c r="U21" s="7">
        <f>LamChanHangNgan((PhiMayCatDecalVuong(U$14,$D21,$E21)+PhiMayInToner4M_Recoh(ROUNDUP(U$14/$F21,0)*$E$6)+ (ROUNDUP(U$14/$F21,0)*$D$11))*(1+$D$7))</f>
        <v>522000</v>
      </c>
      <c r="V21" s="7">
        <f>LamChanHangNgan((PhiMayCatDecalVuong(V$14,$D21,$E21)+PhiMayInToner4M_Recoh(ROUNDUP(V$14/$F21,0)*$E$6)+ (ROUNDUP(V$14/$F21,0)*$D$11))*(1+$D$7))</f>
        <v>584000</v>
      </c>
      <c r="W21" s="7">
        <f>LamChanHangNgan((PhiMayCatDecalVuong(W$14,$D21,$E21)+PhiMayInToner4M_Recoh(ROUNDUP(W$14/$F21,0)*$E$6)+ (ROUNDUP(W$14/$F21,0)*$D$11))*(1+$D$7))</f>
        <v>643000</v>
      </c>
      <c r="X21" s="7">
        <f>LamChanHangNgan((PhiMayCatDecalVuong(X$14,$D21,$E21)+PhiMayInToner4M_Recoh(ROUNDUP(X$14/$F21,0)*$E$6)+ (ROUNDUP(X$14/$F21,0)*$D$11))*(1+$D$7))</f>
        <v>705000</v>
      </c>
      <c r="Y21" s="7">
        <f>LamChanHangNgan((PhiMayCatDecalVuong(Y$14,$D21,$E21)+PhiMayInToner4M_Recoh(ROUNDUP(Y$14/$F21,0)*$E$6)+ (ROUNDUP(Y$14/$F21,0)*$D$11))*(1+$D$7))</f>
        <v>1316000</v>
      </c>
    </row>
    <row r="22" spans="1:25" x14ac:dyDescent="0.45">
      <c r="A22" s="2" t="s">
        <v>453</v>
      </c>
      <c r="C22" t="str">
        <f t="shared" si="3"/>
        <v>6.5 x 6.5 cm</v>
      </c>
      <c r="D22">
        <v>6.5</v>
      </c>
      <c r="E22">
        <v>6.5</v>
      </c>
      <c r="F22" s="43">
        <f t="shared" si="2"/>
        <v>24</v>
      </c>
      <c r="G22" s="7">
        <f>LamChanHangNgan((PhiMayCatDecalVuong(G$14,$D22,$E22)+ PhiMayInToner4M(ROUNDUP(G$14/$F22,0)*$E$6)+ (ROUNDUP(G$14/$F22,0)*$D$11))*(1+$D$7))</f>
        <v>141000</v>
      </c>
      <c r="H22" s="7">
        <f>LamChanHangNgan((PhiMayCatDecalVuong(H$14,$D22,$E22)+ PhiMayInToner4M(ROUNDUP(H$14/$F22,0)*$E$6)+ (ROUNDUP(H$14/$F22,0)*$D$11))*(1+$D$7))</f>
        <v>156000</v>
      </c>
      <c r="I22" s="7">
        <f>LamChanHangNgan((PhiMayCatDecalVuong(I$14,$D22,$E22)+ PhiMayInToner4M(ROUNDUP(I$14/$F22,0)*$E$6)+ (ROUNDUP(I$14/$F22,0)*$D$11))*(1+$D$7))</f>
        <v>171000</v>
      </c>
      <c r="J22" s="7">
        <f>LamChanHangNgan((PhiMayCatDecalVuong(J$14,$D22,$E22)+ PhiMayInToner4M(ROUNDUP(J$14/$F22,0)*$E$6)+ (ROUNDUP(J$14/$F22,0)*$D$11))*(1+$D$7))</f>
        <v>185000</v>
      </c>
      <c r="K22" s="7">
        <f>LamChanHangNgan((PhiMayCatDecalVuong(K$14,$D22,$E22)+ PhiMayInToner4M(ROUNDUP(K$14/$F22,0)*$E$6)+ (ROUNDUP(K$14/$F22,0)*$D$11))*(1+$D$7))</f>
        <v>200000</v>
      </c>
      <c r="L22" s="7">
        <f>LamChanHangNgan((PhiMayCatDecalVuong(L$14,$D22,$E22)+ PhiMayInToner4M(ROUNDUP(L$14/$F22,0)*$E$6)+ (ROUNDUP(L$14/$F22,0)*$D$11))*(1+$D$7))</f>
        <v>214000</v>
      </c>
      <c r="M22" s="7">
        <f>LamChanHangNgan((PhiMayCatDecalVuong(M$14,$D22,$E22)+ PhiMayInToner4M(ROUNDUP(M$14/$F22,0)*$E$6)+ (ROUNDUP(M$14/$F22,0)*$D$11))*(1+$D$7))</f>
        <v>232000</v>
      </c>
      <c r="N22" s="7">
        <f>LamChanHangNgan((PhiMayCatDecalVuong(N$14,$D22,$E22)+ PhiMayInToner4M(ROUNDUP(N$14/$F22,0)*$E$6)+ (ROUNDUP(N$14/$F22,0)*$D$11))*(1+$D$7))</f>
        <v>247000</v>
      </c>
      <c r="O22" s="7">
        <f>LamChanHangNgan((PhiMayCatDecalVuong(O$14,$D22,$E22)+ PhiMayInToner4M(ROUNDUP(O$14/$F22,0)*$E$6)+ (ROUNDUP(O$14/$F22,0)*$D$11))*(1+$D$7))</f>
        <v>261000</v>
      </c>
      <c r="P22" s="7">
        <f>LamChanHangNgan((PhiMayCatDecalVuong(P$14,$D22,$E22)+PhiMayInToner4M_Recoh(ROUNDUP(P$14/$F22,0)*$E$6)+ (ROUNDUP(P$14/$F22,0)*$D$11))*(1+$D$7))</f>
        <v>247000</v>
      </c>
      <c r="Q22" s="7">
        <f>LamChanHangNgan((PhiMayCatDecalVuong(Q$14,$D22,$E22)+PhiMayInToner4M_Recoh(ROUNDUP(Q$14/$F22,0)*$E$6)+ (ROUNDUP(Q$14/$F22,0)*$D$11))*(1+$D$7))</f>
        <v>323000</v>
      </c>
      <c r="R22" s="7">
        <f>LamChanHangNgan((PhiMayCatDecalVuong(R$14,$D22,$E22)+PhiMayInToner4M_Recoh(ROUNDUP(R$14/$F22,0)*$E$6)+ (ROUNDUP(R$14/$F22,0)*$D$11))*(1+$D$7))</f>
        <v>400000</v>
      </c>
      <c r="S22" s="7">
        <f>LamChanHangNgan((PhiMayCatDecalVuong(S$14,$D22,$E22)+PhiMayInToner4M_Recoh(ROUNDUP(S$14/$F22,0)*$E$6)+ (ROUNDUP(S$14/$F22,0)*$D$11))*(1+$D$7))</f>
        <v>476000</v>
      </c>
      <c r="T22" s="7">
        <f>LamChanHangNgan((PhiMayCatDecalVuong(T$14,$D22,$E22)+PhiMayInToner4M_Recoh(ROUNDUP(T$14/$F22,0)*$E$6)+ (ROUNDUP(T$14/$F22,0)*$D$11))*(1+$D$7))</f>
        <v>549000</v>
      </c>
      <c r="U22" s="7">
        <f>LamChanHangNgan((PhiMayCatDecalVuong(U$14,$D22,$E22)+PhiMayInToner4M_Recoh(ROUNDUP(U$14/$F22,0)*$E$6)+ (ROUNDUP(U$14/$F22,0)*$D$11))*(1+$D$7))</f>
        <v>625000</v>
      </c>
      <c r="V22" s="7">
        <f>LamChanHangNgan((PhiMayCatDecalVuong(V$14,$D22,$E22)+PhiMayInToner4M_Recoh(ROUNDUP(V$14/$F22,0)*$E$6)+ (ROUNDUP(V$14/$F22,0)*$D$11))*(1+$D$7))</f>
        <v>702000</v>
      </c>
      <c r="W22" s="7">
        <f>LamChanHangNgan((PhiMayCatDecalVuong(W$14,$D22,$E22)+PhiMayInToner4M_Recoh(ROUNDUP(W$14/$F22,0)*$E$6)+ (ROUNDUP(W$14/$F22,0)*$D$11))*(1+$D$7))</f>
        <v>778000</v>
      </c>
      <c r="X22" s="7">
        <f>LamChanHangNgan((PhiMayCatDecalVuong(X$14,$D22,$E22)+PhiMayInToner4M_Recoh(ROUNDUP(X$14/$F22,0)*$E$6)+ (ROUNDUP(X$14/$F22,0)*$D$11))*(1+$D$7))</f>
        <v>854000</v>
      </c>
      <c r="Y22" s="7">
        <f>LamChanHangNgan((PhiMayCatDecalVuong(Y$14,$D22,$E22)+PhiMayInToner4M_Recoh(ROUNDUP(Y$14/$F22,0)*$E$6)+ (ROUNDUP(Y$14/$F22,0)*$D$11))*(1+$D$7))</f>
        <v>1611000</v>
      </c>
    </row>
    <row r="23" spans="1:25" x14ac:dyDescent="0.45">
      <c r="A23" s="2"/>
      <c r="C23" t="str">
        <f t="shared" si="3"/>
        <v>7 x 7 cm</v>
      </c>
      <c r="D23">
        <v>7</v>
      </c>
      <c r="E23">
        <v>7</v>
      </c>
      <c r="F23" s="43">
        <f t="shared" si="2"/>
        <v>20</v>
      </c>
      <c r="G23" s="7">
        <f>LamChanHangNgan((PhiMayCatDecalVuong(G$14,$D23,$E23)+ PhiMayInToner4M(ROUNDUP(G$14/$F23,0)*$E$6)+ (ROUNDUP(G$14/$F23,0)*$D$11))*(1+$D$7))</f>
        <v>142000</v>
      </c>
      <c r="H23" s="7">
        <f>LamChanHangNgan((PhiMayCatDecalVuong(H$14,$D23,$E23)+ PhiMayInToner4M(ROUNDUP(H$14/$F23,0)*$E$6)+ (ROUNDUP(H$14/$F23,0)*$D$11))*(1+$D$7))</f>
        <v>160000</v>
      </c>
      <c r="I23" s="7">
        <f>LamChanHangNgan((PhiMayCatDecalVuong(I$14,$D23,$E23)+ PhiMayInToner4M(ROUNDUP(I$14/$F23,0)*$E$6)+ (ROUNDUP(I$14/$F23,0)*$D$11))*(1+$D$7))</f>
        <v>178000</v>
      </c>
      <c r="J23" s="7">
        <f>LamChanHangNgan((PhiMayCatDecalVuong(J$14,$D23,$E23)+ PhiMayInToner4M(ROUNDUP(J$14/$F23,0)*$E$6)+ (ROUNDUP(J$14/$F23,0)*$D$11))*(1+$D$7))</f>
        <v>196000</v>
      </c>
      <c r="K23" s="7">
        <f>LamChanHangNgan((PhiMayCatDecalVuong(K$14,$D23,$E23)+ PhiMayInToner4M(ROUNDUP(K$14/$F23,0)*$E$6)+ (ROUNDUP(K$14/$F23,0)*$D$11))*(1+$D$7))</f>
        <v>214000</v>
      </c>
      <c r="L23" s="7">
        <f>LamChanHangNgan((PhiMayCatDecalVuong(L$14,$D23,$E23)+ PhiMayInToner4M(ROUNDUP(L$14/$F23,0)*$E$6)+ (ROUNDUP(L$14/$F23,0)*$D$11))*(1+$D$7))</f>
        <v>232000</v>
      </c>
      <c r="M23" s="7">
        <f>LamChanHangNgan((PhiMayCatDecalVuong(M$14,$D23,$E23)+ PhiMayInToner4M(ROUNDUP(M$14/$F23,0)*$E$6)+ (ROUNDUP(M$14/$F23,0)*$D$11))*(1+$D$7))</f>
        <v>250000</v>
      </c>
      <c r="N23" s="7">
        <f>LamChanHangNgan((PhiMayCatDecalVuong(N$14,$D23,$E23)+ PhiMayInToner4M(ROUNDUP(N$14/$F23,0)*$E$6)+ (ROUNDUP(N$14/$F23,0)*$D$11))*(1+$D$7))</f>
        <v>268000</v>
      </c>
      <c r="O23" s="7">
        <f>LamChanHangNgan((PhiMayCatDecalVuong(O$14,$D23,$E23)+ PhiMayInToner4M(ROUNDUP(O$14/$F23,0)*$E$6)+ (ROUNDUP(O$14/$F23,0)*$D$11))*(1+$D$7))</f>
        <v>286000</v>
      </c>
      <c r="P23" s="7">
        <f>LamChanHangNgan((PhiMayCatDecalVuong(P$14,$D23,$E23)+PhiMayInToner4M_Recoh(ROUNDUP(P$14/$F23,0)*$E$6)+ (ROUNDUP(P$14/$F23,0)*$D$11))*(1+$D$7))</f>
        <v>275000</v>
      </c>
      <c r="Q23" s="7">
        <f>LamChanHangNgan((PhiMayCatDecalVuong(Q$14,$D23,$E23)+PhiMayInToner4M_Recoh(ROUNDUP(Q$14/$F23,0)*$E$6)+ (ROUNDUP(Q$14/$F23,0)*$D$11))*(1+$D$7))</f>
        <v>366000</v>
      </c>
      <c r="R23" s="7">
        <f>LamChanHangNgan((PhiMayCatDecalVuong(R$14,$D23,$E23)+PhiMayInToner4M_Recoh(ROUNDUP(R$14/$F23,0)*$E$6)+ (ROUNDUP(R$14/$F23,0)*$D$11))*(1+$D$7))</f>
        <v>456000</v>
      </c>
      <c r="S23" s="7">
        <f>LamChanHangNgan((PhiMayCatDecalVuong(S$14,$D23,$E23)+PhiMayInToner4M_Recoh(ROUNDUP(S$14/$F23,0)*$E$6)+ (ROUNDUP(S$14/$F23,0)*$D$11))*(1+$D$7))</f>
        <v>547000</v>
      </c>
      <c r="T23" s="7">
        <f>LamChanHangNgan((PhiMayCatDecalVuong(T$14,$D23,$E23)+PhiMayInToner4M_Recoh(ROUNDUP(T$14/$F23,0)*$E$6)+ (ROUNDUP(T$14/$F23,0)*$D$11))*(1+$D$7))</f>
        <v>637000</v>
      </c>
      <c r="U23" s="7">
        <f>LamChanHangNgan((PhiMayCatDecalVuong(U$14,$D23,$E23)+PhiMayInToner4M_Recoh(ROUNDUP(U$14/$F23,0)*$E$6)+ (ROUNDUP(U$14/$F23,0)*$D$11))*(1+$D$7))</f>
        <v>728000</v>
      </c>
      <c r="V23" s="7">
        <f>LamChanHangNgan((PhiMayCatDecalVuong(V$14,$D23,$E23)+PhiMayInToner4M_Recoh(ROUNDUP(V$14/$F23,0)*$E$6)+ (ROUNDUP(V$14/$F23,0)*$D$11))*(1+$D$7))</f>
        <v>819000</v>
      </c>
      <c r="W23" s="7">
        <f>LamChanHangNgan((PhiMayCatDecalVuong(W$14,$D23,$E23)+PhiMayInToner4M_Recoh(ROUNDUP(W$14/$F23,0)*$E$6)+ (ROUNDUP(W$14/$F23,0)*$D$11))*(1+$D$7))</f>
        <v>909000</v>
      </c>
      <c r="X23" s="7">
        <f>LamChanHangNgan((PhiMayCatDecalVuong(X$14,$D23,$E23)+PhiMayInToner4M_Recoh(ROUNDUP(X$14/$F23,0)*$E$6)+ (ROUNDUP(X$14/$F23,0)*$D$11))*(1+$D$7))</f>
        <v>1000000</v>
      </c>
      <c r="Y23" s="7">
        <f>LamChanHangNgan((PhiMayCatDecalVuong(Y$14,$D23,$E23)+PhiMayInToner4M_Recoh(ROUNDUP(Y$14/$F23,0)*$E$6)+ (ROUNDUP(Y$14/$F23,0)*$D$11))*(1+$D$7))</f>
        <v>1905000</v>
      </c>
    </row>
    <row r="24" spans="1:25" x14ac:dyDescent="0.4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4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4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4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4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4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4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4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4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4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4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4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4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45">
      <c r="B37" s="30"/>
      <c r="C37" s="7"/>
      <c r="D37" s="7"/>
      <c r="E37" s="7"/>
      <c r="F37" s="7"/>
      <c r="G37" s="7"/>
      <c r="H37" s="7"/>
    </row>
    <row r="38" spans="1:16" x14ac:dyDescent="0.45">
      <c r="A38" s="2"/>
      <c r="B38" s="7"/>
      <c r="C38" s="7"/>
      <c r="D38" s="7"/>
      <c r="E38" s="7"/>
      <c r="F38" s="7"/>
      <c r="G38" s="7"/>
      <c r="H38" s="7"/>
    </row>
    <row r="39" spans="1:16" x14ac:dyDescent="0.45">
      <c r="B39" s="7"/>
    </row>
    <row r="40" spans="1:16" x14ac:dyDescent="0.4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H10" sqref="H10"/>
    </sheetView>
  </sheetViews>
  <sheetFormatPr defaultRowHeight="14.25" x14ac:dyDescent="0.45"/>
  <cols>
    <col min="1" max="1" width="23.86328125" bestFit="1" customWidth="1"/>
    <col min="2" max="2" width="16.86328125" customWidth="1"/>
    <col min="3" max="3" width="17" customWidth="1"/>
    <col min="4" max="4" width="15.86328125" bestFit="1" customWidth="1"/>
    <col min="5" max="5" width="18.265625" bestFit="1" customWidth="1"/>
    <col min="6" max="6" width="10.86328125" customWidth="1"/>
    <col min="7" max="9" width="15" bestFit="1" customWidth="1"/>
    <col min="10" max="11" width="14.86328125" bestFit="1" customWidth="1"/>
    <col min="12" max="23" width="13.265625" bestFit="1" customWidth="1"/>
    <col min="24" max="25" width="14.86328125" bestFit="1" customWidth="1"/>
  </cols>
  <sheetData>
    <row r="1" spans="1:25" x14ac:dyDescent="0.45">
      <c r="A1" s="1" t="s">
        <v>472</v>
      </c>
      <c r="B1" t="s">
        <v>458</v>
      </c>
    </row>
    <row r="2" spans="1:25" x14ac:dyDescent="0.45">
      <c r="A2" t="s">
        <v>289</v>
      </c>
      <c r="B2" s="35">
        <v>43609</v>
      </c>
    </row>
    <row r="3" spans="1:25" x14ac:dyDescent="0.45">
      <c r="B3" t="s">
        <v>206</v>
      </c>
      <c r="C3" t="s">
        <v>207</v>
      </c>
    </row>
    <row r="4" spans="1:25" x14ac:dyDescent="0.45">
      <c r="A4" t="s">
        <v>276</v>
      </c>
      <c r="B4">
        <v>32</v>
      </c>
      <c r="C4">
        <v>39</v>
      </c>
    </row>
    <row r="5" spans="1:25" ht="28.5" x14ac:dyDescent="0.4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45">
      <c r="A6" t="s">
        <v>287</v>
      </c>
      <c r="D6" s="1">
        <v>1</v>
      </c>
      <c r="E6">
        <v>1</v>
      </c>
    </row>
    <row r="7" spans="1:25" x14ac:dyDescent="0.45">
      <c r="A7" t="s">
        <v>203</v>
      </c>
      <c r="D7" s="37">
        <v>0.75</v>
      </c>
      <c r="E7" s="38" t="s">
        <v>301</v>
      </c>
    </row>
    <row r="8" spans="1:25" x14ac:dyDescent="0.45">
      <c r="B8" t="s">
        <v>283</v>
      </c>
      <c r="C8" t="s">
        <v>284</v>
      </c>
      <c r="D8" t="s">
        <v>286</v>
      </c>
      <c r="E8" t="s">
        <v>285</v>
      </c>
    </row>
    <row r="9" spans="1:25" x14ac:dyDescent="0.4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4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45">
      <c r="A11" t="s">
        <v>455</v>
      </c>
      <c r="B11" t="s">
        <v>456</v>
      </c>
      <c r="D11">
        <v>1250</v>
      </c>
      <c r="E11" s="7"/>
    </row>
    <row r="12" spans="1:25" x14ac:dyDescent="0.45">
      <c r="E12" s="7"/>
    </row>
    <row r="13" spans="1:25" x14ac:dyDescent="0.4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2.75" x14ac:dyDescent="0.4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45">
      <c r="A15" t="s">
        <v>448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3">
        <f t="shared" ref="F15:F23" si="2">SoConTrenToLon($C$5,$D$5,$D15,$E15)</f>
        <v>114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110000</v>
      </c>
      <c r="K15" s="7">
        <f>LamChanHangNgan((PhiMayCatDecalVuong(K$14,$D15,$E15)+ PhiMayInToner4M_Recoh(ROUNDUP(K$14/$F15,0)*$E$6)+ (ROUNDUP(K$14/$F15,0)*$D$11))*(1+$D$7))</f>
        <v>113000</v>
      </c>
      <c r="L15" s="7">
        <f>LamChanHangNgan((PhiMayCatDecalVuong(L$14,$D15,$E15)+ PhiMayInToner4M_Recoh(ROUNDUP(L$14/$F15,0)*$E$6)+ (ROUNDUP(L$14/$F15,0)*$D$11))*(1+$D$7))</f>
        <v>117000</v>
      </c>
      <c r="M15" s="7">
        <f>LamChanHangNgan((PhiMayCatDecalVuong(M$14,$D15,$E15)+ PhiMayInToner4M_Recoh(ROUNDUP(M$14/$F15,0)*$E$6)+ (ROUNDUP(M$14/$F15,0)*$D$11))*(1+$D$7))</f>
        <v>121000</v>
      </c>
      <c r="N15" s="7">
        <f>LamChanHangNgan((PhiMayCatDecalVuong(N$14,$D15,$E15)+ PhiMayInToner4M_Recoh(ROUNDUP(N$14/$F15,0)*$E$6)+ (ROUNDUP(N$14/$F15,0)*$D$11))*(1+$D$7))</f>
        <v>125000</v>
      </c>
      <c r="O15" s="7">
        <f>LamChanHangNgan((PhiMayCatDecalVuong(O$14,$D15,$E15)+ PhiMayInToner4M_Recoh(ROUNDUP(O$14/$F15,0)*$E$6)+ (ROUNDUP(O$14/$F15,0)*$D$11))*(1+$D$7))</f>
        <v>125000</v>
      </c>
      <c r="P15" s="7">
        <f>LamChanHangNgan((PhiMayCatDecalVuong(P$14,$D15,$E15)+ PhiMayInToner4M_Recoh(ROUNDUP(P$14/$F15,0)*$E$6)+ (ROUNDUP(P$14/$F15,0)*$D$11))*(1+$D$7))</f>
        <v>129000</v>
      </c>
      <c r="Q15" s="7">
        <f>LamChanHangNgan((PhiMayCatDecalVuong(Q$14,$D15,$E15)+ PhiMayInToner4M_Recoh(ROUNDUP(Q$14/$F15,0)*$E$6)+ (ROUNDUP(Q$14/$F15,0)*$D$11))*(1+$D$7))</f>
        <v>148000</v>
      </c>
      <c r="R15" s="7">
        <f>LamChanHangNgan((PhiMayCatDecalVuong(R$14,$D15,$E15)+ PhiMayInToner4M_Recoh(ROUNDUP(R$14/$F15,0)*$E$6)+ (ROUNDUP(R$14/$F15,0)*$D$11))*(1+$D$7))</f>
        <v>164000</v>
      </c>
      <c r="S15" s="7">
        <f>LamChanHangNgan((PhiMayCatDecalVuong(S$14,$D15,$E15)+ PhiMayInToner4M_Recoh(ROUNDUP(S$14/$F15,0)*$E$6)+ (ROUNDUP(S$14/$F15,0)*$D$11))*(1+$D$7))</f>
        <v>179000</v>
      </c>
      <c r="T15" s="7">
        <f>LamChanHangNgan((PhiMayCatDecalVuong(T$14,$D15,$E15)+ PhiMayInToner4M_Recoh(ROUNDUP(T$14/$F15,0)*$E$6)+ (ROUNDUP(T$14/$F15,0)*$D$11))*(1+$D$7))</f>
        <v>198000</v>
      </c>
      <c r="U15" s="7">
        <f>LamChanHangNgan((PhiMayCatDecalVuong(U$14,$D15,$E15)+ PhiMayInToner4M_Recoh(ROUNDUP(U$14/$F15,0)*$E$6)+ (ROUNDUP(U$14/$F15,0)*$D$11))*(1+$D$7))</f>
        <v>214000</v>
      </c>
      <c r="V15" s="7">
        <f>LamChanHangNgan((PhiMayCatDecalVuong(V$14,$D15,$E15)+ PhiMayInToner4M_Recoh(ROUNDUP(V$14/$F15,0)*$E$6)+ (ROUNDUP(V$14/$F15,0)*$D$11))*(1+$D$7))</f>
        <v>233000</v>
      </c>
      <c r="W15" s="7">
        <f>LamChanHangNgan((PhiMayCatDecalVuong(W$14,$D15,$E15)+ PhiMayInToner4M_Recoh(ROUNDUP(W$14/$F15,0)*$E$6)+ (ROUNDUP(W$14/$F15,0)*$D$11))*(1+$D$7))</f>
        <v>249000</v>
      </c>
      <c r="X15" s="7">
        <f>LamChanHangNgan((PhiMayCatDecalVuong(X$14,$D15,$E15)+ PhiMayInToner4M_Recoh(ROUNDUP(X$14/$F15,0)*$E$6)+ (ROUNDUP(X$14/$F15,0)*$D$11))*(1+$D$7))</f>
        <v>264000</v>
      </c>
      <c r="Y15" s="7">
        <f>LamChanHangNgan((PhiMayCatDecalVuong(Y$14,$D15,$E15)+ PhiMayInToner4M_Recoh(ROUNDUP(Y$14/$F15,0)*$E$6)+ (ROUNDUP(Y$14/$F15,0)*$D$11))*(1+$D$7))</f>
        <v>434000</v>
      </c>
    </row>
    <row r="16" spans="1:25" x14ac:dyDescent="0.4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3">
        <f t="shared" si="2"/>
        <v>75</v>
      </c>
      <c r="G16" s="7">
        <f>LamChanHangNgan((PhiMayCatDecalVuong(G$14,$D16,$E16)+ PhiMayInToner4M_Recoh(ROUNDUP(G$14/$F16,0)*$E$6)+ (ROUNDUP(G$14/$F16,0)*$D$11))*(1+$D$7))</f>
        <v>102000</v>
      </c>
      <c r="H16" s="7">
        <f>LamChanHangNgan((PhiMayCatDecalVuong(H$14,$D16,$E16)+ PhiMayInToner4M_Recoh(ROUNDUP(H$14/$F16,0)*$E$6)+ (ROUNDUP(H$14/$F16,0)*$D$11))*(1+$D$7))</f>
        <v>106000</v>
      </c>
      <c r="I16" s="7">
        <f>LamChanHangNgan((PhiMayCatDecalVuong(I$14,$D16,$E16)+ PhiMayInToner4M_Recoh(ROUNDUP(I$14/$F16,0)*$E$6)+ (ROUNDUP(I$14/$F16,0)*$D$11))*(1+$D$7))</f>
        <v>109000</v>
      </c>
      <c r="J16" s="7">
        <f>LamChanHangNgan((PhiMayCatDecalVuong(J$14,$D16,$E16)+ PhiMayInToner4M_Recoh(ROUNDUP(J$14/$F16,0)*$E$6)+ (ROUNDUP(J$14/$F16,0)*$D$11))*(1+$D$7))</f>
        <v>117000</v>
      </c>
      <c r="K16" s="7">
        <f>LamChanHangNgan((PhiMayCatDecalVuong(K$14,$D16,$E16)+ PhiMayInToner4M_Recoh(ROUNDUP(K$14/$F16,0)*$E$6)+ (ROUNDUP(K$14/$F16,0)*$D$11))*(1+$D$7))</f>
        <v>121000</v>
      </c>
      <c r="L16" s="7">
        <f>LamChanHangNgan((PhiMayCatDecalVuong(L$14,$D16,$E16)+ PhiMayInToner4M_Recoh(ROUNDUP(L$14/$F16,0)*$E$6)+ (ROUNDUP(L$14/$F16,0)*$D$11))*(1+$D$7))</f>
        <v>125000</v>
      </c>
      <c r="M16" s="7">
        <f>LamChanHangNgan((PhiMayCatDecalVuong(M$14,$D16,$E16)+ PhiMayInToner4M_Recoh(ROUNDUP(M$14/$F16,0)*$E$6)+ (ROUNDUP(M$14/$F16,0)*$D$11))*(1+$D$7))</f>
        <v>132000</v>
      </c>
      <c r="N16" s="7">
        <f>LamChanHangNgan((PhiMayCatDecalVuong(N$14,$D16,$E16)+ PhiMayInToner4M_Recoh(ROUNDUP(N$14/$F16,0)*$E$6)+ (ROUNDUP(N$14/$F16,0)*$D$11))*(1+$D$7))</f>
        <v>136000</v>
      </c>
      <c r="O16" s="7">
        <f>LamChanHangNgan((PhiMayCatDecalVuong(O$14,$D16,$E16)+ PhiMayInToner4M_Recoh(ROUNDUP(O$14/$F16,0)*$E$6)+ (ROUNDUP(O$14/$F16,0)*$D$11))*(1+$D$7))</f>
        <v>140000</v>
      </c>
      <c r="P16" s="7">
        <f>LamChanHangNgan((PhiMayCatDecalVuong(P$14,$D16,$E16)+ PhiMayInToner4M_Recoh(ROUNDUP(P$14/$F16,0)*$E$6)+ (ROUNDUP(P$14/$F16,0)*$D$11))*(1+$D$7))</f>
        <v>147000</v>
      </c>
      <c r="Q16" s="7">
        <f>LamChanHangNgan((PhiMayCatDecalVuong(Q$14,$D16,$E16)+ PhiMayInToner4M_Recoh(ROUNDUP(Q$14/$F16,0)*$E$6)+ (ROUNDUP(Q$14/$F16,0)*$D$11))*(1+$D$7))</f>
        <v>170000</v>
      </c>
      <c r="R16" s="7">
        <f>LamChanHangNgan((PhiMayCatDecalVuong(R$14,$D16,$E16)+ PhiMayInToner4M_Recoh(ROUNDUP(R$14/$F16,0)*$E$6)+ (ROUNDUP(R$14/$F16,0)*$D$11))*(1+$D$7))</f>
        <v>196000</v>
      </c>
      <c r="S16" s="7">
        <f>LamChanHangNgan((PhiMayCatDecalVuong(S$14,$D16,$E16)+ PhiMayInToner4M_Recoh(ROUNDUP(S$14/$F16,0)*$E$6)+ (ROUNDUP(S$14/$F16,0)*$D$11))*(1+$D$7))</f>
        <v>223000</v>
      </c>
      <c r="T16" s="7">
        <f>LamChanHangNgan((PhiMayCatDecalVuong(T$14,$D16,$E16)+ PhiMayInToner4M_Recoh(ROUNDUP(T$14/$F16,0)*$E$6)+ (ROUNDUP(T$14/$F16,0)*$D$11))*(1+$D$7))</f>
        <v>246000</v>
      </c>
      <c r="U16" s="7">
        <f>LamChanHangNgan((PhiMayCatDecalVuong(U$14,$D16,$E16)+ PhiMayInToner4M_Recoh(ROUNDUP(U$14/$F16,0)*$E$6)+ (ROUNDUP(U$14/$F16,0)*$D$11))*(1+$D$7))</f>
        <v>272000</v>
      </c>
      <c r="V16" s="7">
        <f>LamChanHangNgan((PhiMayCatDecalVuong(V$14,$D16,$E16)+ PhiMayInToner4M_Recoh(ROUNDUP(V$14/$F16,0)*$E$6)+ (ROUNDUP(V$14/$F16,0)*$D$11))*(1+$D$7))</f>
        <v>298000</v>
      </c>
      <c r="W16" s="7">
        <f>LamChanHangNgan((PhiMayCatDecalVuong(W$14,$D16,$E16)+ PhiMayInToner4M_Recoh(ROUNDUP(W$14/$F16,0)*$E$6)+ (ROUNDUP(W$14/$F16,0)*$D$11))*(1+$D$7))</f>
        <v>321000</v>
      </c>
      <c r="X16" s="7">
        <f>LamChanHangNgan((PhiMayCatDecalVuong(X$14,$D16,$E16)+ PhiMayInToner4M_Recoh(ROUNDUP(X$14/$F16,0)*$E$6)+ (ROUNDUP(X$14/$F16,0)*$D$11))*(1+$D$7))</f>
        <v>348000</v>
      </c>
      <c r="Y16" s="7">
        <f>LamChanHangNgan((PhiMayCatDecalVuong(Y$14,$D16,$E16)+ PhiMayInToner4M_Recoh(ROUNDUP(Y$14/$F16,0)*$E$6)+ (ROUNDUP(Y$14/$F16,0)*$D$11))*(1+$D$7))</f>
        <v>601000</v>
      </c>
    </row>
    <row r="17" spans="1:25" x14ac:dyDescent="0.45">
      <c r="B17">
        <v>3</v>
      </c>
      <c r="C17" t="str">
        <f t="shared" si="3"/>
        <v>3 x 3.5 cm</v>
      </c>
      <c r="D17">
        <v>3</v>
      </c>
      <c r="E17">
        <v>3.5</v>
      </c>
      <c r="F17" s="43">
        <f t="shared" si="2"/>
        <v>117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109000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117000</v>
      </c>
      <c r="N17" s="7">
        <f>LamChanHangNgan((PhiMayCatDecalVuong(N$14,$D17,$E17)+ PhiMayInToner4M_Recoh(ROUNDUP(N$14/$F17,0)*$E$6)+ (ROUNDUP(N$14/$F17,0)*$D$11))*(1+$D$7))</f>
        <v>121000</v>
      </c>
      <c r="O17" s="7">
        <f>LamChanHangNgan((PhiMayCatDecalVuong(O$14,$D17,$E17)+ PhiMayInToner4M_Recoh(ROUNDUP(O$14/$F17,0)*$E$6)+ (ROUNDUP(O$14/$F17,0)*$D$11))*(1+$D$7))</f>
        <v>125000</v>
      </c>
      <c r="P17" s="7">
        <f>LamChanHangNgan((PhiMayCatDecalVuong(P$14,$D17,$E17)+ PhiMayInToner4M_Recoh(ROUNDUP(P$14/$F17,0)*$E$6)+ (ROUNDUP(P$14/$F17,0)*$D$11))*(1+$D$7))</f>
        <v>129000</v>
      </c>
      <c r="Q17" s="7">
        <f>LamChanHangNgan((PhiMayCatDecalVuong(Q$14,$D17,$E17)+ PhiMayInToner4M_Recoh(ROUNDUP(Q$14/$F17,0)*$E$6)+ (ROUNDUP(Q$14/$F17,0)*$D$11))*(1+$D$7))</f>
        <v>144000</v>
      </c>
      <c r="R17" s="7">
        <f>LamChanHangNgan((PhiMayCatDecalVuong(R$14,$D17,$E17)+ PhiMayInToner4M_Recoh(ROUNDUP(R$14/$F17,0)*$E$6)+ (ROUNDUP(R$14/$F17,0)*$D$11))*(1+$D$7))</f>
        <v>163000</v>
      </c>
      <c r="S17" s="7">
        <f>LamChanHangNgan((PhiMayCatDecalVuong(S$14,$D17,$E17)+ PhiMayInToner4M_Recoh(ROUNDUP(S$14/$F17,0)*$E$6)+ (ROUNDUP(S$14/$F17,0)*$D$11))*(1+$D$7))</f>
        <v>179000</v>
      </c>
      <c r="T17" s="7">
        <f>LamChanHangNgan((PhiMayCatDecalVuong(T$14,$D17,$E17)+ PhiMayInToner4M_Recoh(ROUNDUP(T$14/$F17,0)*$E$6)+ (ROUNDUP(T$14/$F17,0)*$D$11))*(1+$D$7))</f>
        <v>194000</v>
      </c>
      <c r="U17" s="7">
        <f>LamChanHangNgan((PhiMayCatDecalVuong(U$14,$D17,$E17)+ PhiMayInToner4M_Recoh(ROUNDUP(U$14/$F17,0)*$E$6)+ (ROUNDUP(U$14/$F17,0)*$D$11))*(1+$D$7))</f>
        <v>210000</v>
      </c>
      <c r="V17" s="7">
        <f>LamChanHangNgan((PhiMayCatDecalVuong(V$14,$D17,$E17)+ PhiMayInToner4M_Recoh(ROUNDUP(V$14/$F17,0)*$E$6)+ (ROUNDUP(V$14/$F17,0)*$D$11))*(1+$D$7))</f>
        <v>229000</v>
      </c>
      <c r="W17" s="7">
        <f>LamChanHangNgan((PhiMayCatDecalVuong(W$14,$D17,$E17)+ PhiMayInToner4M_Recoh(ROUNDUP(W$14/$F17,0)*$E$6)+ (ROUNDUP(W$14/$F17,0)*$D$11))*(1+$D$7))</f>
        <v>244000</v>
      </c>
      <c r="X17" s="7">
        <f>LamChanHangNgan((PhiMayCatDecalVuong(X$14,$D17,$E17)+ PhiMayInToner4M_Recoh(ROUNDUP(X$14/$F17,0)*$E$6)+ (ROUNDUP(X$14/$F17,0)*$D$11))*(1+$D$7))</f>
        <v>260000</v>
      </c>
      <c r="Y17" s="7">
        <f>LamChanHangNgan((PhiMayCatDecalVuong(Y$14,$D17,$E17)+ PhiMayInToner4M_Recoh(ROUNDUP(Y$14/$F17,0)*$E$6)+ (ROUNDUP(Y$14/$F17,0)*$D$11))*(1+$D$7))</f>
        <v>425000</v>
      </c>
    </row>
    <row r="18" spans="1:25" x14ac:dyDescent="0.45">
      <c r="A18" s="1" t="s">
        <v>449</v>
      </c>
      <c r="B18">
        <v>4</v>
      </c>
      <c r="C18" t="str">
        <f t="shared" si="3"/>
        <v>3 x 4 cm</v>
      </c>
      <c r="D18">
        <v>3</v>
      </c>
      <c r="E18">
        <v>4</v>
      </c>
      <c r="F18" s="43">
        <f t="shared" si="2"/>
        <v>104</v>
      </c>
      <c r="G18" s="7">
        <f>LamChanHangNgan((PhiMayCatDecalVuong(G$14,$D18,$E18)+ PhiMayInToner4M_Recoh(ROUNDUP(G$14/$F18,0)*$E$6)+ (ROUNDUP(G$14/$F18,0)*$D$11))*(1+$D$7))</f>
        <v>98000</v>
      </c>
      <c r="H18" s="7">
        <f>LamChanHangNgan((PhiMayCatDecalVuong(H$14,$D18,$E18)+ PhiMayInToner4M_Recoh(ROUNDUP(H$14/$F18,0)*$E$6)+ (ROUNDUP(H$14/$F18,0)*$D$11))*(1+$D$7))</f>
        <v>102000</v>
      </c>
      <c r="I18" s="7">
        <f>LamChanHangNgan((PhiMayCatDecalVuong(I$14,$D18,$E18)+ PhiMayInToner4M_Recoh(ROUNDUP(I$14/$F18,0)*$E$6)+ (ROUNDUP(I$14/$F18,0)*$D$11))*(1+$D$7))</f>
        <v>106000</v>
      </c>
      <c r="J18" s="7">
        <f>LamChanHangNgan((PhiMayCatDecalVuong(J$14,$D18,$E18)+ PhiMayInToner4M_Recoh(ROUNDUP(J$14/$F18,0)*$E$6)+ (ROUNDUP(J$14/$F18,0)*$D$11))*(1+$D$7))</f>
        <v>110000</v>
      </c>
      <c r="K18" s="7">
        <f>LamChanHangNgan((PhiMayCatDecalVuong(K$14,$D18,$E18)+ PhiMayInToner4M_Recoh(ROUNDUP(K$14/$F18,0)*$E$6)+ (ROUNDUP(K$14/$F18,0)*$D$11))*(1+$D$7))</f>
        <v>113000</v>
      </c>
      <c r="L18" s="7">
        <f>LamChanHangNgan((PhiMayCatDecalVuong(L$14,$D18,$E18)+ PhiMayInToner4M_Recoh(ROUNDUP(L$14/$F18,0)*$E$6)+ (ROUNDUP(L$14/$F18,0)*$D$11))*(1+$D$7))</f>
        <v>117000</v>
      </c>
      <c r="M18" s="7">
        <f>LamChanHangNgan((PhiMayCatDecalVuong(M$14,$D18,$E18)+ PhiMayInToner4M_Recoh(ROUNDUP(M$14/$F18,0)*$E$6)+ (ROUNDUP(M$14/$F18,0)*$D$11))*(1+$D$7))</f>
        <v>121000</v>
      </c>
      <c r="N18" s="7">
        <f>LamChanHangNgan((PhiMayCatDecalVuong(N$14,$D18,$E18)+ PhiMayInToner4M_Recoh(ROUNDUP(N$14/$F18,0)*$E$6)+ (ROUNDUP(N$14/$F18,0)*$D$11))*(1+$D$7))</f>
        <v>125000</v>
      </c>
      <c r="O18" s="7">
        <f>LamChanHangNgan((PhiMayCatDecalVuong(O$14,$D18,$E18)+ PhiMayInToner4M_Recoh(ROUNDUP(O$14/$F18,0)*$E$6)+ (ROUNDUP(O$14/$F18,0)*$D$11))*(1+$D$7))</f>
        <v>129000</v>
      </c>
      <c r="P18" s="7">
        <f>LamChanHangNgan((PhiMayCatDecalVuong(P$14,$D18,$E18)+ PhiMayInToner4M_Recoh(ROUNDUP(P$14/$F18,0)*$E$6)+ (ROUNDUP(P$14/$F18,0)*$D$11))*(1+$D$7))</f>
        <v>132000</v>
      </c>
      <c r="Q18" s="7">
        <f>LamChanHangNgan((PhiMayCatDecalVuong(Q$14,$D18,$E18)+ PhiMayInToner4M_Recoh(ROUNDUP(Q$14/$F18,0)*$E$6)+ (ROUNDUP(Q$14/$F18,0)*$D$11))*(1+$D$7))</f>
        <v>152000</v>
      </c>
      <c r="R18" s="7">
        <f>LamChanHangNgan((PhiMayCatDecalVuong(R$14,$D18,$E18)+ PhiMayInToner4M_Recoh(ROUNDUP(R$14/$F18,0)*$E$6)+ (ROUNDUP(R$14/$F18,0)*$D$11))*(1+$D$7))</f>
        <v>171000</v>
      </c>
      <c r="S18" s="7">
        <f>LamChanHangNgan((PhiMayCatDecalVuong(S$14,$D18,$E18)+ PhiMayInToner4M_Recoh(ROUNDUP(S$14/$F18,0)*$E$6)+ (ROUNDUP(S$14/$F18,0)*$D$11))*(1+$D$7))</f>
        <v>190000</v>
      </c>
      <c r="T18" s="7">
        <f>LamChanHangNgan((PhiMayCatDecalVuong(T$14,$D18,$E18)+ PhiMayInToner4M_Recoh(ROUNDUP(T$14/$F18,0)*$E$6)+ (ROUNDUP(T$14/$F18,0)*$D$11))*(1+$D$7))</f>
        <v>205000</v>
      </c>
      <c r="U18" s="7">
        <f>LamChanHangNgan((PhiMayCatDecalVuong(U$14,$D18,$E18)+ PhiMayInToner4M_Recoh(ROUNDUP(U$14/$F18,0)*$E$6)+ (ROUNDUP(U$14/$F18,0)*$D$11))*(1+$D$7))</f>
        <v>224000</v>
      </c>
      <c r="V18" s="7">
        <f>LamChanHangNgan((PhiMayCatDecalVuong(V$14,$D18,$E18)+ PhiMayInToner4M_Recoh(ROUNDUP(V$14/$F18,0)*$E$6)+ (ROUNDUP(V$14/$F18,0)*$D$11))*(1+$D$7))</f>
        <v>244000</v>
      </c>
      <c r="W18" s="7">
        <f>LamChanHangNgan((PhiMayCatDecalVuong(W$14,$D18,$E18)+ PhiMayInToner4M_Recoh(ROUNDUP(W$14/$F18,0)*$E$6)+ (ROUNDUP(W$14/$F18,0)*$D$11))*(1+$D$7))</f>
        <v>263000</v>
      </c>
      <c r="X18" s="7">
        <f>LamChanHangNgan((PhiMayCatDecalVuong(X$14,$D18,$E18)+ PhiMayInToner4M_Recoh(ROUNDUP(X$14/$F18,0)*$E$6)+ (ROUNDUP(X$14/$F18,0)*$D$11))*(1+$D$7))</f>
        <v>282000</v>
      </c>
      <c r="Y18" s="7">
        <f>LamChanHangNgan((PhiMayCatDecalVuong(Y$14,$D18,$E18)+ PhiMayInToner4M_Recoh(ROUNDUP(Y$14/$F18,0)*$E$6)+ (ROUNDUP(Y$14/$F18,0)*$D$11))*(1+$D$7))</f>
        <v>466000</v>
      </c>
    </row>
    <row r="19" spans="1:25" ht="28.5" x14ac:dyDescent="0.45">
      <c r="A19" s="2" t="s">
        <v>450</v>
      </c>
      <c r="B19">
        <v>5</v>
      </c>
      <c r="C19" t="str">
        <f t="shared" si="3"/>
        <v>3 x 4.5 cm</v>
      </c>
      <c r="D19">
        <v>3</v>
      </c>
      <c r="E19">
        <v>4.5</v>
      </c>
      <c r="F19" s="43">
        <f t="shared" si="2"/>
        <v>91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105000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113000</v>
      </c>
      <c r="K19" s="7">
        <f>LamChanHangNgan((PhiMayCatDecalVuong(K$14,$D19,$E19)+ PhiMayInToner4M_Recoh(ROUNDUP(K$14/$F19,0)*$E$6)+ (ROUNDUP(K$14/$F19,0)*$D$11))*(1+$D$7))</f>
        <v>117000</v>
      </c>
      <c r="L19" s="7">
        <f>LamChanHangNgan((PhiMayCatDecalVuong(L$14,$D19,$E19)+ PhiMayInToner4M_Recoh(ROUNDUP(L$14/$F19,0)*$E$6)+ (ROUNDUP(L$14/$F19,0)*$D$11))*(1+$D$7))</f>
        <v>121000</v>
      </c>
      <c r="M19" s="7">
        <f>LamChanHangNgan((PhiMayCatDecalVuong(M$14,$D19,$E19)+ PhiMayInToner4M_Recoh(ROUNDUP(M$14/$F19,0)*$E$6)+ (ROUNDUP(M$14/$F19,0)*$D$11))*(1+$D$7))</f>
        <v>125000</v>
      </c>
      <c r="N19" s="7">
        <f>LamChanHangNgan((PhiMayCatDecalVuong(N$14,$D19,$E19)+ PhiMayInToner4M_Recoh(ROUNDUP(N$14/$F19,0)*$E$6)+ (ROUNDUP(N$14/$F19,0)*$D$11))*(1+$D$7))</f>
        <v>129000</v>
      </c>
      <c r="O19" s="7">
        <f>LamChanHangNgan((PhiMayCatDecalVuong(O$14,$D19,$E19)+ PhiMayInToner4M_Recoh(ROUNDUP(O$14/$F19,0)*$E$6)+ (ROUNDUP(O$14/$F19,0)*$D$11))*(1+$D$7))</f>
        <v>132000</v>
      </c>
      <c r="P19" s="7">
        <f>LamChanHangNgan((PhiMayCatDecalVuong(P$14,$D19,$E19)+ PhiMayInToner4M_Recoh(ROUNDUP(P$14/$F19,0)*$E$6)+ (ROUNDUP(P$14/$F19,0)*$D$11))*(1+$D$7))</f>
        <v>136000</v>
      </c>
      <c r="Q19" s="7">
        <f>LamChanHangNgan((PhiMayCatDecalVuong(Q$14,$D19,$E19)+ PhiMayInToner4M_Recoh(ROUNDUP(Q$14/$F19,0)*$E$6)+ (ROUNDUP(Q$14/$F19,0)*$D$11))*(1+$D$7))</f>
        <v>159000</v>
      </c>
      <c r="R19" s="7">
        <f>LamChanHangNgan((PhiMayCatDecalVuong(R$14,$D19,$E19)+ PhiMayInToner4M_Recoh(ROUNDUP(R$14/$F19,0)*$E$6)+ (ROUNDUP(R$14/$F19,0)*$D$11))*(1+$D$7))</f>
        <v>178000</v>
      </c>
      <c r="S19" s="7">
        <f>LamChanHangNgan((PhiMayCatDecalVuong(S$14,$D19,$E19)+ PhiMayInToner4M_Recoh(ROUNDUP(S$14/$F19,0)*$E$6)+ (ROUNDUP(S$14/$F19,0)*$D$11))*(1+$D$7))</f>
        <v>201000</v>
      </c>
      <c r="T19" s="7">
        <f>LamChanHangNgan((PhiMayCatDecalVuong(T$14,$D19,$E19)+ PhiMayInToner4M_Recoh(ROUNDUP(T$14/$F19,0)*$E$6)+ (ROUNDUP(T$14/$F19,0)*$D$11))*(1+$D$7))</f>
        <v>220000</v>
      </c>
      <c r="U19" s="7">
        <f>LamChanHangNgan((PhiMayCatDecalVuong(U$14,$D19,$E19)+ PhiMayInToner4M_Recoh(ROUNDUP(U$14/$F19,0)*$E$6)+ (ROUNDUP(U$14/$F19,0)*$D$11))*(1+$D$7))</f>
        <v>243000</v>
      </c>
      <c r="V19" s="7">
        <f>LamChanHangNgan((PhiMayCatDecalVuong(V$14,$D19,$E19)+ PhiMayInToner4M_Recoh(ROUNDUP(V$14/$F19,0)*$E$6)+ (ROUNDUP(V$14/$F19,0)*$D$11))*(1+$D$7))</f>
        <v>262000</v>
      </c>
      <c r="W19" s="7">
        <f>LamChanHangNgan((PhiMayCatDecalVuong(W$14,$D19,$E19)+ PhiMayInToner4M_Recoh(ROUNDUP(W$14/$F19,0)*$E$6)+ (ROUNDUP(W$14/$F19,0)*$D$11))*(1+$D$7))</f>
        <v>285000</v>
      </c>
      <c r="X19" s="7">
        <f>LamChanHangNgan((PhiMayCatDecalVuong(X$14,$D19,$E19)+ PhiMayInToner4M_Recoh(ROUNDUP(X$14/$F19,0)*$E$6)+ (ROUNDUP(X$14/$F19,0)*$D$11))*(1+$D$7))</f>
        <v>304000</v>
      </c>
      <c r="Y19" s="7">
        <f>LamChanHangNgan((PhiMayCatDecalVuong(Y$14,$D19,$E19)+ PhiMayInToner4M_Recoh(ROUNDUP(Y$14/$F19,0)*$E$6)+ (ROUNDUP(Y$14/$F19,0)*$D$11))*(1+$D$7))</f>
        <v>513000</v>
      </c>
    </row>
    <row r="20" spans="1:25" x14ac:dyDescent="0.45">
      <c r="A20" s="2" t="s">
        <v>451</v>
      </c>
      <c r="B20">
        <v>6</v>
      </c>
      <c r="C20" t="str">
        <f t="shared" si="3"/>
        <v>3 x 5 cm</v>
      </c>
      <c r="D20">
        <v>3</v>
      </c>
      <c r="E20">
        <v>5</v>
      </c>
      <c r="F20" s="43">
        <f t="shared" si="2"/>
        <v>78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109000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121000</v>
      </c>
      <c r="L20" s="7">
        <f>LamChanHangNgan((PhiMayCatDecalVuong(L$14,$D20,$E20)+ PhiMayInToner4M_Recoh(ROUNDUP(L$14/$F20,0)*$E$6)+ (ROUNDUP(L$14/$F20,0)*$D$11))*(1+$D$7))</f>
        <v>124000</v>
      </c>
      <c r="M20" s="7">
        <f>LamChanHangNgan((PhiMayCatDecalVuong(M$14,$D20,$E20)+ PhiMayInToner4M_Recoh(ROUNDUP(M$14/$F20,0)*$E$6)+ (ROUNDUP(M$14/$F20,0)*$D$11))*(1+$D$7))</f>
        <v>128000</v>
      </c>
      <c r="N20" s="7">
        <f>LamChanHangNgan((PhiMayCatDecalVuong(N$14,$D20,$E20)+ PhiMayInToner4M_Recoh(ROUNDUP(N$14/$F20,0)*$E$6)+ (ROUNDUP(N$14/$F20,0)*$D$11))*(1+$D$7))</f>
        <v>136000</v>
      </c>
      <c r="O20" s="7">
        <f>LamChanHangNgan((PhiMayCatDecalVuong(O$14,$D20,$E20)+ PhiMayInToner4M_Recoh(ROUNDUP(O$14/$F20,0)*$E$6)+ (ROUNDUP(O$14/$F20,0)*$D$11))*(1+$D$7))</f>
        <v>140000</v>
      </c>
      <c r="P20" s="7">
        <f>LamChanHangNgan((PhiMayCatDecalVuong(P$14,$D20,$E20)+ PhiMayInToner4M_Recoh(ROUNDUP(P$14/$F20,0)*$E$6)+ (ROUNDUP(P$14/$F20,0)*$D$11))*(1+$D$7))</f>
        <v>143000</v>
      </c>
      <c r="Q20" s="7">
        <f>LamChanHangNgan((PhiMayCatDecalVuong(Q$14,$D20,$E20)+ PhiMayInToner4M_Recoh(ROUNDUP(Q$14/$F20,0)*$E$6)+ (ROUNDUP(Q$14/$F20,0)*$D$11))*(1+$D$7))</f>
        <v>170000</v>
      </c>
      <c r="R20" s="7">
        <f>LamChanHangNgan((PhiMayCatDecalVuong(R$14,$D20,$E20)+ PhiMayInToner4M_Recoh(ROUNDUP(R$14/$F20,0)*$E$6)+ (ROUNDUP(R$14/$F20,0)*$D$11))*(1+$D$7))</f>
        <v>193000</v>
      </c>
      <c r="S20" s="7">
        <f>LamChanHangNgan((PhiMayCatDecalVuong(S$14,$D20,$E20)+ PhiMayInToner4M_Recoh(ROUNDUP(S$14/$F20,0)*$E$6)+ (ROUNDUP(S$14/$F20,0)*$D$11))*(1+$D$7))</f>
        <v>219000</v>
      </c>
      <c r="T20" s="7">
        <f>LamChanHangNgan((PhiMayCatDecalVuong(T$14,$D20,$E20)+ PhiMayInToner4M_Recoh(ROUNDUP(T$14/$F20,0)*$E$6)+ (ROUNDUP(T$14/$F20,0)*$D$11))*(1+$D$7))</f>
        <v>242000</v>
      </c>
      <c r="U20" s="7">
        <f>LamChanHangNgan((PhiMayCatDecalVuong(U$14,$D20,$E20)+ PhiMayInToner4M_Recoh(ROUNDUP(U$14/$F20,0)*$E$6)+ (ROUNDUP(U$14/$F20,0)*$D$11))*(1+$D$7))</f>
        <v>264000</v>
      </c>
      <c r="V20" s="7">
        <f>LamChanHangNgan((PhiMayCatDecalVuong(V$14,$D20,$E20)+ PhiMayInToner4M_Recoh(ROUNDUP(V$14/$F20,0)*$E$6)+ (ROUNDUP(V$14/$F20,0)*$D$11))*(1+$D$7))</f>
        <v>291000</v>
      </c>
      <c r="W20" s="7">
        <f>LamChanHangNgan((PhiMayCatDecalVuong(W$14,$D20,$E20)+ PhiMayInToner4M_Recoh(ROUNDUP(W$14/$F20,0)*$E$6)+ (ROUNDUP(W$14/$F20,0)*$D$11))*(1+$D$7))</f>
        <v>314000</v>
      </c>
      <c r="X20" s="7">
        <f>LamChanHangNgan((PhiMayCatDecalVuong(X$14,$D20,$E20)+ PhiMayInToner4M_Recoh(ROUNDUP(X$14/$F20,0)*$E$6)+ (ROUNDUP(X$14/$F20,0)*$D$11))*(1+$D$7))</f>
        <v>340000</v>
      </c>
      <c r="Y20" s="7">
        <f>LamChanHangNgan((PhiMayCatDecalVuong(Y$14,$D20,$E20)+ PhiMayInToner4M_Recoh(ROUNDUP(Y$14/$F20,0)*$E$6)+ (ROUNDUP(Y$14/$F20,0)*$D$11))*(1+$D$7))</f>
        <v>582000</v>
      </c>
    </row>
    <row r="21" spans="1:25" x14ac:dyDescent="0.45">
      <c r="A21" s="2" t="s">
        <v>452</v>
      </c>
      <c r="B21">
        <v>7</v>
      </c>
      <c r="C21" t="str">
        <f t="shared" si="3"/>
        <v>3 x 5.5 cm</v>
      </c>
      <c r="D21">
        <v>3</v>
      </c>
      <c r="E21">
        <v>5.5</v>
      </c>
      <c r="F21" s="43">
        <f t="shared" si="2"/>
        <v>70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106000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117000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128000</v>
      </c>
      <c r="M21" s="7">
        <f>LamChanHangNgan((PhiMayCatDecalVuong(M$14,$D21,$E21)+ PhiMayInToner4M_Recoh(ROUNDUP(M$14/$F21,0)*$E$6)+ (ROUNDUP(M$14/$F21,0)*$D$11))*(1+$D$7))</f>
        <v>132000</v>
      </c>
      <c r="N21" s="7">
        <f>LamChanHangNgan((PhiMayCatDecalVuong(N$14,$D21,$E21)+ PhiMayInToner4M_Recoh(ROUNDUP(N$14/$F21,0)*$E$6)+ (ROUNDUP(N$14/$F21,0)*$D$11))*(1+$D$7))</f>
        <v>139000</v>
      </c>
      <c r="O21" s="7">
        <f>LamChanHangNgan((PhiMayCatDecalVuong(O$14,$D21,$E21)+ PhiMayInToner4M_Recoh(ROUNDUP(O$14/$F21,0)*$E$6)+ (ROUNDUP(O$14/$F21,0)*$D$11))*(1+$D$7))</f>
        <v>143000</v>
      </c>
      <c r="P21" s="7">
        <f>LamChanHangNgan((PhiMayCatDecalVuong(P$14,$D21,$E21)+ PhiMayInToner4M_Recoh(ROUNDUP(P$14/$F21,0)*$E$6)+ (ROUNDUP(P$14/$F21,0)*$D$11))*(1+$D$7))</f>
        <v>151000</v>
      </c>
      <c r="Q21" s="7">
        <f>LamChanHangNgan((PhiMayCatDecalVuong(Q$14,$D21,$E21)+ PhiMayInToner4M_Recoh(ROUNDUP(Q$14/$F21,0)*$E$6)+ (ROUNDUP(Q$14/$F21,0)*$D$11))*(1+$D$7))</f>
        <v>177000</v>
      </c>
      <c r="R21" s="7">
        <f>LamChanHangNgan((PhiMayCatDecalVuong(R$14,$D21,$E21)+ PhiMayInToner4M_Recoh(ROUNDUP(R$14/$F21,0)*$E$6)+ (ROUNDUP(R$14/$F21,0)*$D$11))*(1+$D$7))</f>
        <v>203000</v>
      </c>
      <c r="S21" s="7">
        <f>LamChanHangNgan((PhiMayCatDecalVuong(S$14,$D21,$E21)+ PhiMayInToner4M_Recoh(ROUNDUP(S$14/$F21,0)*$E$6)+ (ROUNDUP(S$14/$F21,0)*$D$11))*(1+$D$7))</f>
        <v>230000</v>
      </c>
      <c r="T21" s="7">
        <f>LamChanHangNgan((PhiMayCatDecalVuong(T$14,$D21,$E21)+ PhiMayInToner4M_Recoh(ROUNDUP(T$14/$F21,0)*$E$6)+ (ROUNDUP(T$14/$F21,0)*$D$11))*(1+$D$7))</f>
        <v>256000</v>
      </c>
      <c r="U21" s="7">
        <f>LamChanHangNgan((PhiMayCatDecalVuong(U$14,$D21,$E21)+ PhiMayInToner4M_Recoh(ROUNDUP(U$14/$F21,0)*$E$6)+ (ROUNDUP(U$14/$F21,0)*$D$11))*(1+$D$7))</f>
        <v>283000</v>
      </c>
      <c r="V21" s="7">
        <f>LamChanHangNgan((PhiMayCatDecalVuong(V$14,$D21,$E21)+ PhiMayInToner4M_Recoh(ROUNDUP(V$14/$F21,0)*$E$6)+ (ROUNDUP(V$14/$F21,0)*$D$11))*(1+$D$7))</f>
        <v>313000</v>
      </c>
      <c r="W21" s="7">
        <f>LamChanHangNgan((PhiMayCatDecalVuong(W$14,$D21,$E21)+ PhiMayInToner4M_Recoh(ROUNDUP(W$14/$F21,0)*$E$6)+ (ROUNDUP(W$14/$F21,0)*$D$11))*(1+$D$7))</f>
        <v>339000</v>
      </c>
      <c r="X21" s="7">
        <f>LamChanHangNgan((PhiMayCatDecalVuong(X$14,$D21,$E21)+ PhiMayInToner4M_Recoh(ROUNDUP(X$14/$F21,0)*$E$6)+ (ROUNDUP(X$14/$F21,0)*$D$11))*(1+$D$7))</f>
        <v>366000</v>
      </c>
      <c r="Y21" s="7">
        <f>LamChanHangNgan((PhiMayCatDecalVuong(Y$14,$D21,$E21)+ PhiMayInToner4M_Recoh(ROUNDUP(Y$14/$F21,0)*$E$6)+ (ROUNDUP(Y$14/$F21,0)*$D$11))*(1+$D$7))</f>
        <v>633000</v>
      </c>
    </row>
    <row r="22" spans="1:25" x14ac:dyDescent="0.45">
      <c r="A22" s="2" t="s">
        <v>453</v>
      </c>
      <c r="B22">
        <v>8</v>
      </c>
      <c r="C22" t="str">
        <f t="shared" si="3"/>
        <v>3 x 6 cm</v>
      </c>
      <c r="D22">
        <v>3</v>
      </c>
      <c r="E22">
        <v>6</v>
      </c>
      <c r="F22" s="43">
        <f t="shared" si="2"/>
        <v>65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120000</v>
      </c>
      <c r="K22" s="7">
        <f>LamChanHangNgan((PhiMayCatDecalVuong(K$14,$D22,$E22)+ PhiMayInToner4M_Recoh(ROUNDUP(K$14/$F22,0)*$E$6)+ (ROUNDUP(K$14/$F22,0)*$D$11))*(1+$D$7))</f>
        <v>124000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136000</v>
      </c>
      <c r="N22" s="7">
        <f>LamChanHangNgan((PhiMayCatDecalVuong(N$14,$D22,$E22)+ PhiMayInToner4M_Recoh(ROUNDUP(N$14/$F22,0)*$E$6)+ (ROUNDUP(N$14/$F22,0)*$D$11))*(1+$D$7))</f>
        <v>143000</v>
      </c>
      <c r="O22" s="7">
        <f>LamChanHangNgan((PhiMayCatDecalVuong(O$14,$D22,$E22)+ PhiMayInToner4M_Recoh(ROUNDUP(O$14/$F22,0)*$E$6)+ (ROUNDUP(O$14/$F22,0)*$D$11))*(1+$D$7))</f>
        <v>147000</v>
      </c>
      <c r="P22" s="7">
        <f>LamChanHangNgan((PhiMayCatDecalVuong(P$14,$D22,$E22)+ PhiMayInToner4M_Recoh(ROUNDUP(P$14/$F22,0)*$E$6)+ (ROUNDUP(P$14/$F22,0)*$D$11))*(1+$D$7))</f>
        <v>154000</v>
      </c>
      <c r="Q22" s="7">
        <f>LamChanHangNgan((PhiMayCatDecalVuong(Q$14,$D22,$E22)+ PhiMayInToner4M_Recoh(ROUNDUP(Q$14/$F22,0)*$E$6)+ (ROUNDUP(Q$14/$F22,0)*$D$11))*(1+$D$7))</f>
        <v>184000</v>
      </c>
      <c r="R22" s="7">
        <f>LamChanHangNgan((PhiMayCatDecalVuong(R$14,$D22,$E22)+ PhiMayInToner4M_Recoh(ROUNDUP(R$14/$F22,0)*$E$6)+ (ROUNDUP(R$14/$F22,0)*$D$11))*(1+$D$7))</f>
        <v>211000</v>
      </c>
      <c r="S22" s="7">
        <f>LamChanHangNgan((PhiMayCatDecalVuong(S$14,$D22,$E22)+ PhiMayInToner4M_Recoh(ROUNDUP(S$14/$F22,0)*$E$6)+ (ROUNDUP(S$14/$F22,0)*$D$11))*(1+$D$7))</f>
        <v>241000</v>
      </c>
      <c r="T22" s="7">
        <f>LamChanHangNgan((PhiMayCatDecalVuong(T$14,$D22,$E22)+ PhiMayInToner4M_Recoh(ROUNDUP(T$14/$F22,0)*$E$6)+ (ROUNDUP(T$14/$F22,0)*$D$11))*(1+$D$7))</f>
        <v>271000</v>
      </c>
      <c r="U22" s="7">
        <f>LamChanHangNgan((PhiMayCatDecalVuong(U$14,$D22,$E22)+ PhiMayInToner4M_Recoh(ROUNDUP(U$14/$F22,0)*$E$6)+ (ROUNDUP(U$14/$F22,0)*$D$11))*(1+$D$7))</f>
        <v>298000</v>
      </c>
      <c r="V22" s="7">
        <f>LamChanHangNgan((PhiMayCatDecalVuong(V$14,$D22,$E22)+ PhiMayInToner4M_Recoh(ROUNDUP(V$14/$F22,0)*$E$6)+ (ROUNDUP(V$14/$F22,0)*$D$11))*(1+$D$7))</f>
        <v>328000</v>
      </c>
      <c r="W22" s="7">
        <f>LamChanHangNgan((PhiMayCatDecalVuong(W$14,$D22,$E22)+ PhiMayInToner4M_Recoh(ROUNDUP(W$14/$F22,0)*$E$6)+ (ROUNDUP(W$14/$F22,0)*$D$11))*(1+$D$7))</f>
        <v>358000</v>
      </c>
      <c r="X22" s="7">
        <f>LamChanHangNgan((PhiMayCatDecalVuong(X$14,$D22,$E22)+ PhiMayInToner4M_Recoh(ROUNDUP(X$14/$F22,0)*$E$6)+ (ROUNDUP(X$14/$F22,0)*$D$11))*(1+$D$7))</f>
        <v>384000</v>
      </c>
      <c r="Y22" s="7">
        <f>LamChanHangNgan((PhiMayCatDecalVuong(Y$14,$D22,$E22)+ PhiMayInToner4M_Recoh(ROUNDUP(Y$14/$F22,0)*$E$6)+ (ROUNDUP(Y$14/$F22,0)*$D$11))*(1+$D$7))</f>
        <v>674000</v>
      </c>
    </row>
    <row r="23" spans="1:25" x14ac:dyDescent="0.4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3">
        <f t="shared" si="2"/>
        <v>60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113000</v>
      </c>
      <c r="J23" s="7">
        <f>LamChanHangNgan((PhiMayCatDecalVuong(J$14,$D23,$E23)+ PhiMayInToner4M_Recoh(ROUNDUP(J$14/$F23,0)*$E$6)+ (ROUNDUP(J$14/$F23,0)*$D$11))*(1+$D$7))</f>
        <v>121000</v>
      </c>
      <c r="K23" s="7">
        <f>LamChanHangNgan((PhiMayCatDecalVuong(K$14,$D23,$E23)+ PhiMayInToner4M_Recoh(ROUNDUP(K$14/$F23,0)*$E$6)+ (ROUNDUP(K$14/$F23,0)*$D$11))*(1+$D$7))</f>
        <v>128000</v>
      </c>
      <c r="L23" s="7">
        <f>LamChanHangNgan((PhiMayCatDecalVuong(L$14,$D23,$E23)+ PhiMayInToner4M_Recoh(ROUNDUP(L$14/$F23,0)*$E$6)+ (ROUNDUP(L$14/$F23,0)*$D$11))*(1+$D$7))</f>
        <v>132000</v>
      </c>
      <c r="M23" s="7">
        <f>LamChanHangNgan((PhiMayCatDecalVuong(M$14,$D23,$E23)+ PhiMayInToner4M_Recoh(ROUNDUP(M$14/$F23,0)*$E$6)+ (ROUNDUP(M$14/$F23,0)*$D$11))*(1+$D$7))</f>
        <v>139000</v>
      </c>
      <c r="N23" s="7">
        <f>LamChanHangNgan((PhiMayCatDecalVuong(N$14,$D23,$E23)+ PhiMayInToner4M_Recoh(ROUNDUP(N$14/$F23,0)*$E$6)+ (ROUNDUP(N$14/$F23,0)*$D$11))*(1+$D$7))</f>
        <v>147000</v>
      </c>
      <c r="O23" s="7">
        <f>LamChanHangNgan((PhiMayCatDecalVuong(O$14,$D23,$E23)+ PhiMayInToner4M_Recoh(ROUNDUP(O$14/$F23,0)*$E$6)+ (ROUNDUP(O$14/$F23,0)*$D$11))*(1+$D$7))</f>
        <v>151000</v>
      </c>
      <c r="P23" s="7">
        <f>LamChanHangNgan((PhiMayCatDecalVuong(P$14,$D23,$E23)+ PhiMayInToner4M_Recoh(ROUNDUP(P$14/$F23,0)*$E$6)+ (ROUNDUP(P$14/$F23,0)*$D$11))*(1+$D$7))</f>
        <v>158000</v>
      </c>
      <c r="Q23" s="7">
        <f>LamChanHangNgan((PhiMayCatDecalVuong(Q$14,$D23,$E23)+ PhiMayInToner4M_Recoh(ROUNDUP(Q$14/$F23,0)*$E$6)+ (ROUNDUP(Q$14/$F23,0)*$D$11))*(1+$D$7))</f>
        <v>188000</v>
      </c>
      <c r="R23" s="7">
        <f>LamChanHangNgan((PhiMayCatDecalVuong(R$14,$D23,$E23)+ PhiMayInToner4M_Recoh(ROUNDUP(R$14/$F23,0)*$E$6)+ (ROUNDUP(R$14/$F23,0)*$D$11))*(1+$D$7))</f>
        <v>222000</v>
      </c>
      <c r="S23" s="7">
        <f>LamChanHangNgan((PhiMayCatDecalVuong(S$14,$D23,$E23)+ PhiMayInToner4M_Recoh(ROUNDUP(S$14/$F23,0)*$E$6)+ (ROUNDUP(S$14/$F23,0)*$D$11))*(1+$D$7))</f>
        <v>252000</v>
      </c>
      <c r="T23" s="7">
        <f>LamChanHangNgan((PhiMayCatDecalVuong(T$14,$D23,$E23)+ PhiMayInToner4M_Recoh(ROUNDUP(T$14/$F23,0)*$E$6)+ (ROUNDUP(T$14/$F23,0)*$D$11))*(1+$D$7))</f>
        <v>282000</v>
      </c>
      <c r="U23" s="7">
        <f>LamChanHangNgan((PhiMayCatDecalVuong(U$14,$D23,$E23)+ PhiMayInToner4M_Recoh(ROUNDUP(U$14/$F23,0)*$E$6)+ (ROUNDUP(U$14/$F23,0)*$D$11))*(1+$D$7))</f>
        <v>316000</v>
      </c>
      <c r="V23" s="7">
        <f>LamChanHangNgan((PhiMayCatDecalVuong(V$14,$D23,$E23)+ PhiMayInToner4M_Recoh(ROUNDUP(V$14/$F23,0)*$E$6)+ (ROUNDUP(V$14/$F23,0)*$D$11))*(1+$D$7))</f>
        <v>346000</v>
      </c>
      <c r="W23" s="7">
        <f>LamChanHangNgan((PhiMayCatDecalVuong(W$14,$D23,$E23)+ PhiMayInToner4M_Recoh(ROUNDUP(W$14/$F23,0)*$E$6)+ (ROUNDUP(W$14/$F23,0)*$D$11))*(1+$D$7))</f>
        <v>376000</v>
      </c>
      <c r="X23" s="7">
        <f>LamChanHangNgan((PhiMayCatDecalVuong(X$14,$D23,$E23)+ PhiMayInToner4M_Recoh(ROUNDUP(X$14/$F23,0)*$E$6)+ (ROUNDUP(X$14/$F23,0)*$D$11))*(1+$D$7))</f>
        <v>410000</v>
      </c>
      <c r="Y23" s="7">
        <f>LamChanHangNgan((PhiMayCatDecalVuong(Y$14,$D23,$E23)+ PhiMayInToner4M_Recoh(ROUNDUP(Y$14/$F23,0)*$E$6)+ (ROUNDUP(Y$14/$F23,0)*$D$11))*(1+$D$7))</f>
        <v>722000</v>
      </c>
    </row>
    <row r="24" spans="1:25" x14ac:dyDescent="0.4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3">
        <f t="shared" ref="F24:F41" si="4">SoConTrenToLon($C$5,$D$5,$D24,$E24)</f>
        <v>52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109000</v>
      </c>
      <c r="I24" s="7">
        <f>LamChanHangNgan((PhiMayCatDecalVuong(I$14,$D24,$E24)+ PhiMayInToner4M_Recoh(ROUNDUP(I$14/$F24,0)*$E$6)+ (ROUNDUP(I$14/$F24,0)*$D$11))*(1+$D$7))</f>
        <v>117000</v>
      </c>
      <c r="J24" s="7">
        <f>LamChanHangNgan((PhiMayCatDecalVuong(J$14,$D24,$E24)+ PhiMayInToner4M_Recoh(ROUNDUP(J$14/$F24,0)*$E$6)+ (ROUNDUP(J$14/$F24,0)*$D$11))*(1+$D$7))</f>
        <v>124000</v>
      </c>
      <c r="K24" s="7">
        <f>LamChanHangNgan((PhiMayCatDecalVuong(K$14,$D24,$E24)+ PhiMayInToner4M_Recoh(ROUNDUP(K$14/$F24,0)*$E$6)+ (ROUNDUP(K$14/$F24,0)*$D$11))*(1+$D$7))</f>
        <v>132000</v>
      </c>
      <c r="L24" s="7">
        <f>LamChanHangNgan((PhiMayCatDecalVuong(L$14,$D24,$E24)+ PhiMayInToner4M_Recoh(ROUNDUP(L$14/$F24,0)*$E$6)+ (ROUNDUP(L$14/$F24,0)*$D$11))*(1+$D$7))</f>
        <v>139000</v>
      </c>
      <c r="M24" s="7">
        <f>LamChanHangNgan((PhiMayCatDecalVuong(M$14,$D24,$E24)+ PhiMayInToner4M_Recoh(ROUNDUP(M$14/$F24,0)*$E$6)+ (ROUNDUP(M$14/$F24,0)*$D$11))*(1+$D$7))</f>
        <v>146000</v>
      </c>
      <c r="N24" s="7">
        <f>LamChanHangNgan((PhiMayCatDecalVuong(N$14,$D24,$E24)+ PhiMayInToner4M_Recoh(ROUNDUP(N$14/$F24,0)*$E$6)+ (ROUNDUP(N$14/$F24,0)*$D$11))*(1+$D$7))</f>
        <v>154000</v>
      </c>
      <c r="O24" s="7">
        <f>LamChanHangNgan((PhiMayCatDecalVuong(O$14,$D24,$E24)+ PhiMayInToner4M_Recoh(ROUNDUP(O$14/$F24,0)*$E$6)+ (ROUNDUP(O$14/$F24,0)*$D$11))*(1+$D$7))</f>
        <v>161000</v>
      </c>
      <c r="P24" s="7">
        <f>LamChanHangNgan((PhiMayCatDecalVuong(P$14,$D24,$E24)+ PhiMayInToner4M_Recoh(ROUNDUP(P$14/$F24,0)*$E$6)+ (ROUNDUP(P$14/$F24,0)*$D$11))*(1+$D$7))</f>
        <v>169000</v>
      </c>
      <c r="Q24" s="7">
        <f>LamChanHangNgan((PhiMayCatDecalVuong(Q$14,$D24,$E24)+ PhiMayInToner4M_Recoh(ROUNDUP(Q$14/$F24,0)*$E$6)+ (ROUNDUP(Q$14/$F24,0)*$D$11))*(1+$D$7))</f>
        <v>203000</v>
      </c>
      <c r="R24" s="7">
        <f>LamChanHangNgan((PhiMayCatDecalVuong(R$14,$D24,$E24)+ PhiMayInToner4M_Recoh(ROUNDUP(R$14/$F24,0)*$E$6)+ (ROUNDUP(R$14/$F24,0)*$D$11))*(1+$D$7))</f>
        <v>240000</v>
      </c>
      <c r="S24" s="7">
        <f>LamChanHangNgan((PhiMayCatDecalVuong(S$14,$D24,$E24)+ PhiMayInToner4M_Recoh(ROUNDUP(S$14/$F24,0)*$E$6)+ (ROUNDUP(S$14/$F24,0)*$D$11))*(1+$D$7))</f>
        <v>277000</v>
      </c>
      <c r="T24" s="7">
        <f>LamChanHangNgan((PhiMayCatDecalVuong(T$14,$D24,$E24)+ PhiMayInToner4M_Recoh(ROUNDUP(T$14/$F24,0)*$E$6)+ (ROUNDUP(T$14/$F24,0)*$D$11))*(1+$D$7))</f>
        <v>311000</v>
      </c>
      <c r="U24" s="7">
        <f>LamChanHangNgan((PhiMayCatDecalVuong(U$14,$D24,$E24)+ PhiMayInToner4M_Recoh(ROUNDUP(U$14/$F24,0)*$E$6)+ (ROUNDUP(U$14/$F24,0)*$D$11))*(1+$D$7))</f>
        <v>348000</v>
      </c>
      <c r="V24" s="7">
        <f>LamChanHangNgan((PhiMayCatDecalVuong(V$14,$D24,$E24)+ PhiMayInToner4M_Recoh(ROUNDUP(V$14/$F24,0)*$E$6)+ (ROUNDUP(V$14/$F24,0)*$D$11))*(1+$D$7))</f>
        <v>382000</v>
      </c>
      <c r="W24" s="7">
        <f>LamChanHangNgan((PhiMayCatDecalVuong(W$14,$D24,$E24)+ PhiMayInToner4M_Recoh(ROUNDUP(W$14/$F24,0)*$E$6)+ (ROUNDUP(W$14/$F24,0)*$D$11))*(1+$D$7))</f>
        <v>419000</v>
      </c>
      <c r="X24" s="7">
        <f>LamChanHangNgan((PhiMayCatDecalVuong(X$14,$D24,$E24)+ PhiMayInToner4M_Recoh(ROUNDUP(X$14/$F24,0)*$E$6)+ (ROUNDUP(X$14/$F24,0)*$D$11))*(1+$D$7))</f>
        <v>456000</v>
      </c>
      <c r="Y24" s="7">
        <f>LamChanHangNgan((PhiMayCatDecalVuong(Y$14,$D24,$E24)+ PhiMayInToner4M_Recoh(ROUNDUP(Y$14/$F24,0)*$E$6)+ (ROUNDUP(Y$14/$F24,0)*$D$11))*(1+$D$7))</f>
        <v>815000</v>
      </c>
    </row>
    <row r="25" spans="1:25" x14ac:dyDescent="0.4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3">
        <f t="shared" si="4"/>
        <v>63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109000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120000</v>
      </c>
      <c r="K25" s="7">
        <f>LamChanHangNgan((PhiMayCatDecalVuong(K$14,$D25,$E25)+ PhiMayInToner4M_Recoh(ROUNDUP(K$14/$F25,0)*$E$6)+ (ROUNDUP(K$14/$F25,0)*$D$11))*(1+$D$7))</f>
        <v>124000</v>
      </c>
      <c r="L25" s="7">
        <f>LamChanHangNgan((PhiMayCatDecalVuong(L$14,$D25,$E25)+ PhiMayInToner4M_Recoh(ROUNDUP(L$14/$F25,0)*$E$6)+ (ROUNDUP(L$14/$F25,0)*$D$11))*(1+$D$7))</f>
        <v>132000</v>
      </c>
      <c r="M25" s="7">
        <f>LamChanHangNgan((PhiMayCatDecalVuong(M$14,$D25,$E25)+ PhiMayInToner4M_Recoh(ROUNDUP(M$14/$F25,0)*$E$6)+ (ROUNDUP(M$14/$F25,0)*$D$11))*(1+$D$7))</f>
        <v>139000</v>
      </c>
      <c r="N25" s="7">
        <f>LamChanHangNgan((PhiMayCatDecalVuong(N$14,$D25,$E25)+ PhiMayInToner4M_Recoh(ROUNDUP(N$14/$F25,0)*$E$6)+ (ROUNDUP(N$14/$F25,0)*$D$11))*(1+$D$7))</f>
        <v>143000</v>
      </c>
      <c r="O25" s="7">
        <f>LamChanHangNgan((PhiMayCatDecalVuong(O$14,$D25,$E25)+ PhiMayInToner4M_Recoh(ROUNDUP(O$14/$F25,0)*$E$6)+ (ROUNDUP(O$14/$F25,0)*$D$11))*(1+$D$7))</f>
        <v>150000</v>
      </c>
      <c r="P25" s="7">
        <f>LamChanHangNgan((PhiMayCatDecalVuong(P$14,$D25,$E25)+ PhiMayInToner4M_Recoh(ROUNDUP(P$14/$F25,0)*$E$6)+ (ROUNDUP(P$14/$F25,0)*$D$11))*(1+$D$7))</f>
        <v>154000</v>
      </c>
      <c r="Q25" s="7">
        <f>LamChanHangNgan((PhiMayCatDecalVuong(Q$14,$D25,$E25)+ PhiMayInToner4M_Recoh(ROUNDUP(Q$14/$F25,0)*$E$6)+ (ROUNDUP(Q$14/$F25,0)*$D$11))*(1+$D$7))</f>
        <v>184000</v>
      </c>
      <c r="R25" s="7">
        <f>LamChanHangNgan((PhiMayCatDecalVuong(R$14,$D25,$E25)+ PhiMayInToner4M_Recoh(ROUNDUP(R$14/$F25,0)*$E$6)+ (ROUNDUP(R$14/$F25,0)*$D$11))*(1+$D$7))</f>
        <v>214000</v>
      </c>
      <c r="S25" s="7">
        <f>LamChanHangNgan((PhiMayCatDecalVuong(S$14,$D25,$E25)+ PhiMayInToner4M_Recoh(ROUNDUP(S$14/$F25,0)*$E$6)+ (ROUNDUP(S$14/$F25,0)*$D$11))*(1+$D$7))</f>
        <v>244000</v>
      </c>
      <c r="T25" s="7">
        <f>LamChanHangNgan((PhiMayCatDecalVuong(T$14,$D25,$E25)+ PhiMayInToner4M_Recoh(ROUNDUP(T$14/$F25,0)*$E$6)+ (ROUNDUP(T$14/$F25,0)*$D$11))*(1+$D$7))</f>
        <v>274000</v>
      </c>
      <c r="U25" s="7">
        <f>LamChanHangNgan((PhiMayCatDecalVuong(U$14,$D25,$E25)+ PhiMayInToner4M_Recoh(ROUNDUP(U$14/$F25,0)*$E$6)+ (ROUNDUP(U$14/$F25,0)*$D$11))*(1+$D$7))</f>
        <v>305000</v>
      </c>
      <c r="V25" s="7">
        <f>LamChanHangNgan((PhiMayCatDecalVuong(V$14,$D25,$E25)+ PhiMayInToner4M_Recoh(ROUNDUP(V$14/$F25,0)*$E$6)+ (ROUNDUP(V$14/$F25,0)*$D$11))*(1+$D$7))</f>
        <v>335000</v>
      </c>
      <c r="W25" s="7">
        <f>LamChanHangNgan((PhiMayCatDecalVuong(W$14,$D25,$E25)+ PhiMayInToner4M_Recoh(ROUNDUP(W$14/$F25,0)*$E$6)+ (ROUNDUP(W$14/$F25,0)*$D$11))*(1+$D$7))</f>
        <v>365000</v>
      </c>
      <c r="X25" s="7">
        <f>LamChanHangNgan((PhiMayCatDecalVuong(X$14,$D25,$E25)+ PhiMayInToner4M_Recoh(ROUNDUP(X$14/$F25,0)*$E$6)+ (ROUNDUP(X$14/$F25,0)*$D$11))*(1+$D$7))</f>
        <v>395000</v>
      </c>
      <c r="Y25" s="7">
        <f>LamChanHangNgan((PhiMayCatDecalVuong(Y$14,$D25,$E25)+ PhiMayInToner4M_Recoh(ROUNDUP(Y$14/$F25,0)*$E$6)+ (ROUNDUP(Y$14/$F25,0)*$D$11))*(1+$D$7))</f>
        <v>691000</v>
      </c>
    </row>
    <row r="26" spans="1:25" x14ac:dyDescent="0.4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4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  <c r="Y26" s="7">
        <f>LamChanHangNgan((PhiMayCatDecalVuong(Y$14,$D26,$E26)+ PhiMayInToner4M_Recoh(ROUNDUP(Y$14/$F26,0)*$E$6)+ (ROUNDUP(Y$14/$F26,0)*$D$11))*(1+$D$7))</f>
        <v>682000</v>
      </c>
    </row>
    <row r="27" spans="1:25" x14ac:dyDescent="0.4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4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  <c r="Y27" s="7">
        <f>LamChanHangNgan((PhiMayCatDecalVuong(Y$14,$D27,$E27)+ PhiMayInToner4M_Recoh(ROUNDUP(Y$14/$F27,0)*$E$6)+ (ROUNDUP(Y$14/$F27,0)*$D$11))*(1+$D$7))</f>
        <v>761000</v>
      </c>
    </row>
    <row r="28" spans="1:25" x14ac:dyDescent="0.4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4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  <c r="Y28" s="7">
        <f>LamChanHangNgan((PhiMayCatDecalVuong(Y$14,$D28,$E28)+ PhiMayInToner4M_Recoh(ROUNDUP(Y$14/$F28,0)*$E$6)+ (ROUNDUP(Y$14/$F28,0)*$D$11))*(1+$D$7))</f>
        <v>764000</v>
      </c>
    </row>
    <row r="29" spans="1:25" x14ac:dyDescent="0.4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4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  <c r="Y29" s="7">
        <f>LamChanHangNgan((PhiMayCatDecalVuong(Y$14,$D29,$E29)+ PhiMayInToner4M_Recoh(ROUNDUP(Y$14/$F29,0)*$E$6)+ (ROUNDUP(Y$14/$F29,0)*$D$11))*(1+$D$7))</f>
        <v>871000</v>
      </c>
    </row>
    <row r="30" spans="1:25" x14ac:dyDescent="0.4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4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  <c r="Y30" s="7">
        <f>LamChanHangNgan((PhiMayCatDecalVuong(Y$14,$D30,$E30)+ PhiMayInToner4M_Recoh(ROUNDUP(Y$14/$F30,0)*$E$6)+ (ROUNDUP(Y$14/$F30,0)*$D$11))*(1+$D$7))</f>
        <v>873000</v>
      </c>
    </row>
    <row r="31" spans="1:25" x14ac:dyDescent="0.4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4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  <c r="Y31" s="7">
        <f>LamChanHangNgan((PhiMayCatDecalVuong(Y$14,$D31,$E31)+ PhiMayInToner4M_Recoh(ROUNDUP(Y$14/$F31,0)*$E$6)+ (ROUNDUP(Y$14/$F31,0)*$D$11))*(1+$D$7))</f>
        <v>1018000</v>
      </c>
    </row>
    <row r="32" spans="1:25" x14ac:dyDescent="0.4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3">
        <f t="shared" si="4"/>
        <v>36</v>
      </c>
      <c r="G32" s="7">
        <f>LamChanHangNgan((PhiMayCatDecalVuong(G$14,$D32,$E32)+ PhiMayInToner4M_Recoh(ROUNDUP(G$14/$F32,0)*$E$6)+ (ROUNDUP(G$14/$F32,0)*$D$11))*(1+$D$7))</f>
        <v>105000</v>
      </c>
      <c r="H32" s="7">
        <f>LamChanHangNgan((PhiMayCatDecalVuong(H$14,$D32,$E32)+ PhiMayInToner4M_Recoh(ROUNDUP(H$14/$F32,0)*$E$6)+ (ROUNDUP(H$14/$F32,0)*$D$11))*(1+$D$7))</f>
        <v>116000</v>
      </c>
      <c r="I32" s="7">
        <f>LamChanHangNgan((PhiMayCatDecalVuong(I$14,$D32,$E32)+ PhiMayInToner4M_Recoh(ROUNDUP(I$14/$F32,0)*$E$6)+ (ROUNDUP(I$14/$F32,0)*$D$11))*(1+$D$7))</f>
        <v>127000</v>
      </c>
      <c r="J32" s="7">
        <f>LamChanHangNgan((PhiMayCatDecalVuong(J$14,$D32,$E32)+ PhiMayInToner4M_Recoh(ROUNDUP(J$14/$F32,0)*$E$6)+ (ROUNDUP(J$14/$F32,0)*$D$11))*(1+$D$7))</f>
        <v>138000</v>
      </c>
      <c r="K32" s="7">
        <f>LamChanHangNgan((PhiMayCatDecalVuong(K$14,$D32,$E32)+ PhiMayInToner4M_Recoh(ROUNDUP(K$14/$F32,0)*$E$6)+ (ROUNDUP(K$14/$F32,0)*$D$11))*(1+$D$7))</f>
        <v>146000</v>
      </c>
      <c r="L32" s="7">
        <f>LamChanHangNgan((PhiMayCatDecalVuong(L$14,$D32,$E32)+ PhiMayInToner4M_Recoh(ROUNDUP(L$14/$F32,0)*$E$6)+ (ROUNDUP(L$14/$F32,0)*$D$11))*(1+$D$7))</f>
        <v>157000</v>
      </c>
      <c r="M32" s="7">
        <f>LamChanHangNgan((PhiMayCatDecalVuong(M$14,$D32,$E32)+ PhiMayInToner4M_Recoh(ROUNDUP(M$14/$F32,0)*$E$6)+ (ROUNDUP(M$14/$F32,0)*$D$11))*(1+$D$7))</f>
        <v>168000</v>
      </c>
      <c r="N32" s="7">
        <f>LamChanHangNgan((PhiMayCatDecalVuong(N$14,$D32,$E32)+ PhiMayInToner4M_Recoh(ROUNDUP(N$14/$F32,0)*$E$6)+ (ROUNDUP(N$14/$F32,0)*$D$11))*(1+$D$7))</f>
        <v>179000</v>
      </c>
      <c r="O32" s="7">
        <f>LamChanHangNgan((PhiMayCatDecalVuong(O$14,$D32,$E32)+ PhiMayInToner4M_Recoh(ROUNDUP(O$14/$F32,0)*$E$6)+ (ROUNDUP(O$14/$F32,0)*$D$11))*(1+$D$7))</f>
        <v>187000</v>
      </c>
      <c r="P32" s="7">
        <f>LamChanHangNgan((PhiMayCatDecalVuong(P$14,$D32,$E32)+ PhiMayInToner4M_Recoh(ROUNDUP(P$14/$F32,0)*$E$6)+ (ROUNDUP(P$14/$F32,0)*$D$11))*(1+$D$7))</f>
        <v>198000</v>
      </c>
      <c r="Q32" s="7">
        <f>LamChanHangNgan((PhiMayCatDecalVuong(Q$14,$D32,$E32)+ PhiMayInToner4M_Recoh(ROUNDUP(Q$14/$F32,0)*$E$6)+ (ROUNDUP(Q$14/$F32,0)*$D$11))*(1+$D$7))</f>
        <v>249000</v>
      </c>
      <c r="R32" s="7">
        <f>LamChanHangNgan((PhiMayCatDecalVuong(R$14,$D32,$E32)+ PhiMayInToner4M_Recoh(ROUNDUP(R$14/$F32,0)*$E$6)+ (ROUNDUP(R$14/$F32,0)*$D$11))*(1+$D$7))</f>
        <v>301000</v>
      </c>
      <c r="S32" s="7">
        <f>LamChanHangNgan((PhiMayCatDecalVuong(S$14,$D32,$E32)+ PhiMayInToner4M_Recoh(ROUNDUP(S$14/$F32,0)*$E$6)+ (ROUNDUP(S$14/$F32,0)*$D$11))*(1+$D$7))</f>
        <v>353000</v>
      </c>
      <c r="T32" s="7">
        <f>LamChanHangNgan((PhiMayCatDecalVuong(T$14,$D32,$E32)+ PhiMayInToner4M_Recoh(ROUNDUP(T$14/$F32,0)*$E$6)+ (ROUNDUP(T$14/$F32,0)*$D$11))*(1+$D$7))</f>
        <v>404000</v>
      </c>
      <c r="U32" s="7">
        <f>LamChanHangNgan((PhiMayCatDecalVuong(U$14,$D32,$E32)+ PhiMayInToner4M_Recoh(ROUNDUP(U$14/$F32,0)*$E$6)+ (ROUNDUP(U$14/$F32,0)*$D$11))*(1+$D$7))</f>
        <v>456000</v>
      </c>
      <c r="V32" s="7">
        <f>LamChanHangNgan((PhiMayCatDecalVuong(V$14,$D32,$E32)+ PhiMayInToner4M_Recoh(ROUNDUP(V$14/$F32,0)*$E$6)+ (ROUNDUP(V$14/$F32,0)*$D$11))*(1+$D$7))</f>
        <v>508000</v>
      </c>
      <c r="W32" s="7">
        <f>LamChanHangNgan((PhiMayCatDecalVuong(W$14,$D32,$E32)+ PhiMayInToner4M_Recoh(ROUNDUP(W$14/$F32,0)*$E$6)+ (ROUNDUP(W$14/$F32,0)*$D$11))*(1+$D$7))</f>
        <v>556000</v>
      </c>
      <c r="X32" s="7">
        <f>LamChanHangNgan((PhiMayCatDecalVuong(X$14,$D32,$E32)+ PhiMayInToner4M_Recoh(ROUNDUP(X$14/$F32,0)*$E$6)+ (ROUNDUP(X$14/$F32,0)*$D$11))*(1+$D$7))</f>
        <v>608000</v>
      </c>
      <c r="Y32" s="7">
        <f>LamChanHangNgan((PhiMayCatDecalVuong(Y$14,$D32,$E32)+ PhiMayInToner4M_Recoh(ROUNDUP(Y$14/$F32,0)*$E$6)+ (ROUNDUP(Y$14/$F32,0)*$D$11))*(1+$D$7))</f>
        <v>1121000</v>
      </c>
    </row>
    <row r="33" spans="1:25" x14ac:dyDescent="0.4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3">
        <f t="shared" si="4"/>
        <v>32</v>
      </c>
      <c r="G33" s="7">
        <f>LamChanHangNgan((PhiMayCatDecalVuong(G$14,$D33,$E33)+ PhiMayInToner4M_Recoh(ROUNDUP(G$14/$F33,0)*$E$6)+ (ROUNDUP(G$14/$F33,0)*$D$11))*(1+$D$7))</f>
        <v>109000</v>
      </c>
      <c r="H33" s="7">
        <f>LamChanHangNgan((PhiMayCatDecalVuong(H$14,$D33,$E33)+ PhiMayInToner4M_Recoh(ROUNDUP(H$14/$F33,0)*$E$6)+ (ROUNDUP(H$14/$F33,0)*$D$11))*(1+$D$7))</f>
        <v>120000</v>
      </c>
      <c r="I33" s="7">
        <f>LamChanHangNgan((PhiMayCatDecalVuong(I$14,$D33,$E33)+ PhiMayInToner4M_Recoh(ROUNDUP(I$14/$F33,0)*$E$6)+ (ROUNDUP(I$14/$F33,0)*$D$11))*(1+$D$7))</f>
        <v>131000</v>
      </c>
      <c r="J33" s="7">
        <f>LamChanHangNgan((PhiMayCatDecalVuong(J$14,$D33,$E33)+ PhiMayInToner4M_Recoh(ROUNDUP(J$14/$F33,0)*$E$6)+ (ROUNDUP(J$14/$F33,0)*$D$11))*(1+$D$7))</f>
        <v>142000</v>
      </c>
      <c r="K33" s="7">
        <f>LamChanHangNgan((PhiMayCatDecalVuong(K$14,$D33,$E33)+ PhiMayInToner4M_Recoh(ROUNDUP(K$14/$F33,0)*$E$6)+ (ROUNDUP(K$14/$F33,0)*$D$11))*(1+$D$7))</f>
        <v>153000</v>
      </c>
      <c r="L33" s="7">
        <f>LamChanHangNgan((PhiMayCatDecalVuong(L$14,$D33,$E33)+ PhiMayInToner4M_Recoh(ROUNDUP(L$14/$F33,0)*$E$6)+ (ROUNDUP(L$14/$F33,0)*$D$11))*(1+$D$7))</f>
        <v>164000</v>
      </c>
      <c r="M33" s="7">
        <f>LamChanHangNgan((PhiMayCatDecalVuong(M$14,$D33,$E33)+ PhiMayInToner4M_Recoh(ROUNDUP(M$14/$F33,0)*$E$6)+ (ROUNDUP(M$14/$F33,0)*$D$11))*(1+$D$7))</f>
        <v>175000</v>
      </c>
      <c r="N33" s="7">
        <f>LamChanHangNgan((PhiMayCatDecalVuong(N$14,$D33,$E33)+ PhiMayInToner4M_Recoh(ROUNDUP(N$14/$F33,0)*$E$6)+ (ROUNDUP(N$14/$F33,0)*$D$11))*(1+$D$7))</f>
        <v>186000</v>
      </c>
      <c r="O33" s="7">
        <f>LamChanHangNgan((PhiMayCatDecalVuong(O$14,$D33,$E33)+ PhiMayInToner4M_Recoh(ROUNDUP(O$14/$F33,0)*$E$6)+ (ROUNDUP(O$14/$F33,0)*$D$11))*(1+$D$7))</f>
        <v>201000</v>
      </c>
      <c r="P33" s="7">
        <f>LamChanHangNgan((PhiMayCatDecalVuong(P$14,$D33,$E33)+ PhiMayInToner4M_Recoh(ROUNDUP(P$14/$F33,0)*$E$6)+ (ROUNDUP(P$14/$F33,0)*$D$11))*(1+$D$7))</f>
        <v>212000</v>
      </c>
      <c r="Q33" s="7">
        <f>LamChanHangNgan((PhiMayCatDecalVuong(Q$14,$D33,$E33)+ PhiMayInToner4M_Recoh(ROUNDUP(Q$14/$F33,0)*$E$6)+ (ROUNDUP(Q$14/$F33,0)*$D$11))*(1+$D$7))</f>
        <v>267000</v>
      </c>
      <c r="R33" s="7">
        <f>LamChanHangNgan((PhiMayCatDecalVuong(R$14,$D33,$E33)+ PhiMayInToner4M_Recoh(ROUNDUP(R$14/$F33,0)*$E$6)+ (ROUNDUP(R$14/$F33,0)*$D$11))*(1+$D$7))</f>
        <v>326000</v>
      </c>
      <c r="S33" s="7">
        <f>LamChanHangNgan((PhiMayCatDecalVuong(S$14,$D33,$E33)+ PhiMayInToner4M_Recoh(ROUNDUP(S$14/$F33,0)*$E$6)+ (ROUNDUP(S$14/$F33,0)*$D$11))*(1+$D$7))</f>
        <v>385000</v>
      </c>
      <c r="T33" s="7">
        <f>LamChanHangNgan((PhiMayCatDecalVuong(T$14,$D33,$E33)+ PhiMayInToner4M_Recoh(ROUNDUP(T$14/$F33,0)*$E$6)+ (ROUNDUP(T$14/$F33,0)*$D$11))*(1+$D$7))</f>
        <v>440000</v>
      </c>
      <c r="U33" s="7">
        <f>LamChanHangNgan((PhiMayCatDecalVuong(U$14,$D33,$E33)+ PhiMayInToner4M_Recoh(ROUNDUP(U$14/$F33,0)*$E$6)+ (ROUNDUP(U$14/$F33,0)*$D$11))*(1+$D$7))</f>
        <v>499000</v>
      </c>
      <c r="V33" s="7">
        <f>LamChanHangNgan((PhiMayCatDecalVuong(V$14,$D33,$E33)+ PhiMayInToner4M_Recoh(ROUNDUP(V$14/$F33,0)*$E$6)+ (ROUNDUP(V$14/$F33,0)*$D$11))*(1+$D$7))</f>
        <v>554000</v>
      </c>
      <c r="W33" s="7">
        <f>LamChanHangNgan((PhiMayCatDecalVuong(W$14,$D33,$E33)+ PhiMayInToner4M_Recoh(ROUNDUP(W$14/$F33,0)*$E$6)+ (ROUNDUP(W$14/$F33,0)*$D$11))*(1+$D$7))</f>
        <v>613000</v>
      </c>
      <c r="X33" s="7">
        <f>LamChanHangNgan((PhiMayCatDecalVuong(X$14,$D33,$E33)+ PhiMayInToner4M_Recoh(ROUNDUP(X$14/$F33,0)*$E$6)+ (ROUNDUP(X$14/$F33,0)*$D$11))*(1+$D$7))</f>
        <v>672000</v>
      </c>
      <c r="Y33" s="7">
        <f>LamChanHangNgan((PhiMayCatDecalVuong(Y$14,$D33,$E33)+ PhiMayInToner4M_Recoh(ROUNDUP(Y$14/$F33,0)*$E$6)+ (ROUNDUP(Y$14/$F33,0)*$D$11))*(1+$D$7))</f>
        <v>1245000</v>
      </c>
    </row>
    <row r="34" spans="1:25" x14ac:dyDescent="0.4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4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  <c r="Y34" s="7">
        <f>LamChanHangNgan((PhiMayCatDecalVuong(Y$14,$D34,$E34)+ PhiMayInToner4M_Recoh(ROUNDUP(Y$14/$F34,0)*$E$6)+ (ROUNDUP(Y$14/$F34,0)*$D$11))*(1+$D$7))</f>
        <v>978000</v>
      </c>
    </row>
    <row r="35" spans="1:25" x14ac:dyDescent="0.4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4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  <c r="Y35" s="7">
        <f>LamChanHangNgan((PhiMayCatDecalVuong(Y$14,$D35,$E35)+ PhiMayInToner4M_Recoh(ROUNDUP(Y$14/$F35,0)*$E$6)+ (ROUNDUP(Y$14/$F35,0)*$D$11))*(1+$D$7))</f>
        <v>1116000</v>
      </c>
    </row>
    <row r="36" spans="1:25" x14ac:dyDescent="0.4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4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  <c r="Y36" s="7">
        <f>LamChanHangNgan((PhiMayCatDecalVuong(Y$14,$D36,$E36)+ PhiMayInToner4M_Recoh(ROUNDUP(Y$14/$F36,0)*$E$6)+ (ROUNDUP(Y$14/$F36,0)*$D$11))*(1+$D$7))</f>
        <v>1118000</v>
      </c>
    </row>
    <row r="37" spans="1:25" x14ac:dyDescent="0.45">
      <c r="B37">
        <v>23</v>
      </c>
      <c r="C37" t="str">
        <f>$D37&amp;" x "&amp;$E37&amp;" cm"</f>
        <v>5 x 7 cm</v>
      </c>
      <c r="D37">
        <v>5</v>
      </c>
      <c r="E37">
        <v>7</v>
      </c>
      <c r="F37" s="43">
        <f t="shared" si="4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  <c r="Y37" s="7">
        <f>LamChanHangNgan((PhiMayCatDecalVuong(Y$14,$D37,$E37)+ PhiMayInToner4M_Recoh(ROUNDUP(Y$14/$F37,0)*$E$6)+ (ROUNDUP(Y$14/$F37,0)*$D$11))*(1+$D$7))</f>
        <v>1316000</v>
      </c>
    </row>
    <row r="38" spans="1:25" x14ac:dyDescent="0.4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3">
        <f t="shared" si="4"/>
        <v>28</v>
      </c>
      <c r="G38" s="7">
        <f>LamChanHangNgan((PhiMayCatDecalVuong(G$14,$D38,$E38)+ PhiMayInToner4M_Recoh(ROUNDUP(G$14/$F38,0)*$E$6)+ (ROUNDUP(G$14/$F38,0)*$D$11))*(1+$D$7))</f>
        <v>109000</v>
      </c>
      <c r="H38" s="7">
        <f>LamChanHangNgan((PhiMayCatDecalVuong(H$14,$D38,$E38)+ PhiMayInToner4M_Recoh(ROUNDUP(H$14/$F38,0)*$E$6)+ (ROUNDUP(H$14/$F38,0)*$D$11))*(1+$D$7))</f>
        <v>123000</v>
      </c>
      <c r="I38" s="7">
        <f>LamChanHangNgan((PhiMayCatDecalVuong(I$14,$D38,$E38)+ PhiMayInToner4M_Recoh(ROUNDUP(I$14/$F38,0)*$E$6)+ (ROUNDUP(I$14/$F38,0)*$D$11))*(1+$D$7))</f>
        <v>135000</v>
      </c>
      <c r="J38" s="7">
        <f>LamChanHangNgan((PhiMayCatDecalVuong(J$14,$D38,$E38)+ PhiMayInToner4M_Recoh(ROUNDUP(J$14/$F38,0)*$E$6)+ (ROUNDUP(J$14/$F38,0)*$D$11))*(1+$D$7))</f>
        <v>149000</v>
      </c>
      <c r="K38" s="7">
        <f>LamChanHangNgan((PhiMayCatDecalVuong(K$14,$D38,$E38)+ PhiMayInToner4M_Recoh(ROUNDUP(K$14/$F38,0)*$E$6)+ (ROUNDUP(K$14/$F38,0)*$D$11))*(1+$D$7))</f>
        <v>160000</v>
      </c>
      <c r="L38" s="7">
        <f>LamChanHangNgan((PhiMayCatDecalVuong(L$14,$D38,$E38)+ PhiMayInToner4M_Recoh(ROUNDUP(L$14/$F38,0)*$E$6)+ (ROUNDUP(L$14/$F38,0)*$D$11))*(1+$D$7))</f>
        <v>175000</v>
      </c>
      <c r="M38" s="7">
        <f>LamChanHangNgan((PhiMayCatDecalVuong(M$14,$D38,$E38)+ PhiMayInToner4M_Recoh(ROUNDUP(M$14/$F38,0)*$E$6)+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200000</v>
      </c>
      <c r="O38" s="7">
        <f>LamChanHangNgan((PhiMayCatDecalVuong(O$14,$D38,$E38)+ PhiMayInToner4M_Recoh(ROUNDUP(O$14/$F38,0)*$E$6)+ (ROUNDUP(O$14/$F38,0)*$D$11))*(1+$D$7))</f>
        <v>215000</v>
      </c>
      <c r="P38" s="7">
        <f>LamChanHangNgan((PhiMayCatDecalVuong(P$14,$D38,$E38)+ PhiMayInToner4M_Recoh(ROUNDUP(P$14/$F38,0)*$E$6)+ (ROUNDUP(P$14/$F38,0)*$D$11))*(1+$D$7))</f>
        <v>226000</v>
      </c>
      <c r="Q38" s="7">
        <f>LamChanHangNgan((PhiMayCatDecalVuong(Q$14,$D38,$E38)+ PhiMayInToner4M_Recoh(ROUNDUP(Q$14/$F38,0)*$E$6)+ (ROUNDUP(Q$14/$F38,0)*$D$11))*(1+$D$7))</f>
        <v>292000</v>
      </c>
      <c r="R38" s="7">
        <f>LamChanHangNgan((PhiMayCatDecalVuong(R$14,$D38,$E38)+ PhiMayInToner4M_Recoh(ROUNDUP(R$14/$F38,0)*$E$6)+ (ROUNDUP(R$14/$F38,0)*$D$11))*(1+$D$7))</f>
        <v>358000</v>
      </c>
      <c r="S38" s="7">
        <f>LamChanHangNgan((PhiMayCatDecalVuong(S$14,$D38,$E38)+ PhiMayInToner4M_Recoh(ROUNDUP(S$14/$F38,0)*$E$6)+ (ROUNDUP(S$14/$F38,0)*$D$11))*(1+$D$7))</f>
        <v>424000</v>
      </c>
      <c r="T38" s="7">
        <f>LamChanHangNgan((PhiMayCatDecalVuong(T$14,$D38,$E38)+ PhiMayInToner4M_Recoh(ROUNDUP(T$14/$F38,0)*$E$6)+ (ROUNDUP(T$14/$F38,0)*$D$11))*(1+$D$7))</f>
        <v>490000</v>
      </c>
      <c r="U38" s="7">
        <f>LamChanHangNgan((PhiMayCatDecalVuong(U$14,$D38,$E38)+ PhiMayInToner4M_Recoh(ROUNDUP(U$14/$F38,0)*$E$6)+ (ROUNDUP(U$14/$F38,0)*$D$11))*(1+$D$7))</f>
        <v>552000</v>
      </c>
      <c r="V38" s="7">
        <f>LamChanHangNgan((PhiMayCatDecalVuong(V$14,$D38,$E38)+ PhiMayInToner4M_Recoh(ROUNDUP(V$14/$F38,0)*$E$6)+ (ROUNDUP(V$14/$F38,0)*$D$11))*(1+$D$7))</f>
        <v>618000</v>
      </c>
      <c r="W38" s="7">
        <f>LamChanHangNgan((PhiMayCatDecalVuong(W$14,$D38,$E38)+ PhiMayInToner4M_Recoh(ROUNDUP(W$14/$F38,0)*$E$6)+ (ROUNDUP(W$14/$F38,0)*$D$11))*(1+$D$7))</f>
        <v>684000</v>
      </c>
      <c r="X38" s="7">
        <f>LamChanHangNgan((PhiMayCatDecalVuong(X$14,$D38,$E38)+ PhiMayInToner4M_Recoh(ROUNDUP(X$14/$F38,0)*$E$6)+ (ROUNDUP(X$14/$F38,0)*$D$11))*(1+$D$7))</f>
        <v>749000</v>
      </c>
      <c r="Y38" s="7">
        <f>LamChanHangNgan((PhiMayCatDecalVuong(Y$14,$D38,$E38)+ PhiMayInToner4M_Recoh(ROUNDUP(Y$14/$F38,0)*$E$6)+ (ROUNDUP(Y$14/$F38,0)*$D$11))*(1+$D$7))</f>
        <v>1405000</v>
      </c>
    </row>
    <row r="39" spans="1:25" x14ac:dyDescent="0.4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3">
        <f t="shared" si="4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157000</v>
      </c>
      <c r="L39" s="7">
        <f>LamChanHangNgan((PhiMayCatDecalVuong(L$14,$D39,$E39)+ PhiMayInToner4M_Recoh(ROUNDUP(L$14/$F39,0)*$E$6)+ (ROUNDUP(L$14/$F39,0)*$D$11))*(1+$D$7))</f>
        <v>168000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278000</v>
      </c>
      <c r="R39" s="7">
        <f>LamChanHangNgan((PhiMayCatDecalVuong(R$14,$D39,$E39)+ PhiMayInToner4M_Recoh(ROUNDUP(R$14/$F39,0)*$E$6)+ (ROUNDUP(R$14/$F39,0)*$D$11))*(1+$D$7))</f>
        <v>340000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461000</v>
      </c>
      <c r="U39" s="7">
        <f>LamChanHangNgan((PhiMayCatDecalVuong(U$14,$D39,$E39)+ PhiMayInToner4M_Recoh(ROUNDUP(U$14/$F39,0)*$E$6)+ (ROUNDUP(U$14/$F39,0)*$D$11))*(1+$D$7))</f>
        <v>523000</v>
      </c>
      <c r="V39" s="7">
        <f>LamChanHangNgan((PhiMayCatDecalVuong(V$14,$D39,$E39)+ PhiMayInToner4M_Recoh(ROUNDUP(V$14/$F39,0)*$E$6)+ (ROUNDUP(V$14/$F39,0)*$D$11))*(1+$D$7))</f>
        <v>585000</v>
      </c>
      <c r="W39" s="7">
        <f>LamChanHangNgan((PhiMayCatDecalVuong(W$14,$D39,$E39)+ PhiMayInToner4M_Recoh(ROUNDUP(W$14/$F39,0)*$E$6)+ (ROUNDUP(W$14/$F39,0)*$D$11))*(1+$D$7))</f>
        <v>644000</v>
      </c>
      <c r="X39" s="7">
        <f>LamChanHangNgan((PhiMayCatDecalVuong(X$14,$D39,$E39)+ PhiMayInToner4M_Recoh(ROUNDUP(X$14/$F39,0)*$E$6)+ (ROUNDUP(X$14/$F39,0)*$D$11))*(1+$D$7))</f>
        <v>706000</v>
      </c>
      <c r="Y39" s="7">
        <f>LamChanHangNgan((PhiMayCatDecalVuong(Y$14,$D39,$E39)+ PhiMayInToner4M_Recoh(ROUNDUP(Y$14/$F39,0)*$E$6)+ (ROUNDUP(Y$14/$F39,0)*$D$11))*(1+$D$7))</f>
        <v>1319000</v>
      </c>
    </row>
    <row r="40" spans="1:25" x14ac:dyDescent="0.4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3">
        <f t="shared" si="4"/>
        <v>25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123000</v>
      </c>
      <c r="I40" s="7">
        <f>LamChanHangNgan((PhiMayCatDecalVuong(I$14,$D40,$E40)+ PhiMayInToner4M_Recoh(ROUNDUP(I$14/$F40,0)*$E$6)+ (ROUNDUP(I$14/$F40,0)*$D$11))*(1+$D$7))</f>
        <v>138000</v>
      </c>
      <c r="J40" s="7">
        <f>LamChanHangNgan((PhiMayCatDecalVuong(J$14,$D40,$E40)+ PhiMayInToner4M_Recoh(ROUNDUP(J$14/$F40,0)*$E$6)+ (ROUNDUP(J$14/$F40,0)*$D$11))*(1+$D$7))</f>
        <v>153000</v>
      </c>
      <c r="K40" s="7">
        <f>LamChanHangNgan((PhiMayCatDecalVuong(K$14,$D40,$E40)+ PhiMayInToner4M_Recoh(ROUNDUP(K$14/$F40,0)*$E$6)+ (ROUNDUP(K$14/$F40,0)*$D$11))*(1+$D$7))</f>
        <v>167000</v>
      </c>
      <c r="L40" s="7">
        <f>LamChanHangNgan((PhiMayCatDecalVuong(L$14,$D40,$E40)+ PhiMayInToner4M_Recoh(ROUNDUP(L$14/$F40,0)*$E$6)+ (ROUNDUP(L$14/$F40,0)*$D$11))*(1+$D$7))</f>
        <v>182000</v>
      </c>
      <c r="M40" s="7">
        <f>LamChanHangNgan((PhiMayCatDecalVuong(M$14,$D40,$E40)+ PhiMayInToner4M_Recoh(ROUNDUP(M$14/$F40,0)*$E$6)+ (ROUNDUP(M$14/$F40,0)*$D$11))*(1+$D$7))</f>
        <v>196000</v>
      </c>
      <c r="N40" s="7">
        <f>LamChanHangNgan((PhiMayCatDecalVuong(N$14,$D40,$E40)+ PhiMayInToner4M_Recoh(ROUNDUP(N$14/$F40,0)*$E$6)+ (ROUNDUP(N$14/$F40,0)*$D$11))*(1+$D$7))</f>
        <v>211000</v>
      </c>
      <c r="O40" s="7">
        <f>LamChanHangNgan((PhiMayCatDecalVuong(O$14,$D40,$E40)+ PhiMayInToner4M_Recoh(ROUNDUP(O$14/$F40,0)*$E$6)+ (ROUNDUP(O$14/$F40,0)*$D$11))*(1+$D$7))</f>
        <v>225000</v>
      </c>
      <c r="P40" s="7">
        <f>LamChanHangNgan((PhiMayCatDecalVuong(P$14,$D40,$E40)+ PhiMayInToner4M_Recoh(ROUNDUP(P$14/$F40,0)*$E$6)+ (ROUNDUP(P$14/$F40,0)*$D$11))*(1+$D$7))</f>
        <v>240000</v>
      </c>
      <c r="Q40" s="7">
        <f>LamChanHangNgan((PhiMayCatDecalVuong(Q$14,$D40,$E40)+ PhiMayInToner4M_Recoh(ROUNDUP(Q$14/$F40,0)*$E$6)+ (ROUNDUP(Q$14/$F40,0)*$D$11))*(1+$D$7))</f>
        <v>313000</v>
      </c>
      <c r="R40" s="7">
        <f>LamChanHangNgan((PhiMayCatDecalVuong(R$14,$D40,$E40)+ PhiMayInToner4M_Recoh(ROUNDUP(R$14/$F40,0)*$E$6)+ (ROUNDUP(R$14/$F40,0)*$D$11))*(1+$D$7))</f>
        <v>386000</v>
      </c>
      <c r="S40" s="7">
        <f>LamChanHangNgan((PhiMayCatDecalVuong(S$14,$D40,$E40)+ PhiMayInToner4M_Recoh(ROUNDUP(S$14/$F40,0)*$E$6)+ (ROUNDUP(S$14/$F40,0)*$D$11))*(1+$D$7))</f>
        <v>459000</v>
      </c>
      <c r="T40" s="7">
        <f>LamChanHangNgan((PhiMayCatDecalVuong(T$14,$D40,$E40)+ PhiMayInToner4M_Recoh(ROUNDUP(T$14/$F40,0)*$E$6)+ (ROUNDUP(T$14/$F40,0)*$D$11))*(1+$D$7))</f>
        <v>531000</v>
      </c>
      <c r="U40" s="7">
        <f>LamChanHangNgan((PhiMayCatDecalVuong(U$14,$D40,$E40)+ PhiMayInToner4M_Recoh(ROUNDUP(U$14/$F40,0)*$E$6)+ (ROUNDUP(U$14/$F40,0)*$D$11))*(1+$D$7))</f>
        <v>604000</v>
      </c>
      <c r="V40" s="7">
        <f>LamChanHangNgan((PhiMayCatDecalVuong(V$14,$D40,$E40)+ PhiMayInToner4M_Recoh(ROUNDUP(V$14/$F40,0)*$E$6)+ (ROUNDUP(V$14/$F40,0)*$D$11))*(1+$D$7))</f>
        <v>677000</v>
      </c>
      <c r="W40" s="7">
        <f>LamChanHangNgan((PhiMayCatDecalVuong(W$14,$D40,$E40)+ PhiMayInToner4M_Recoh(ROUNDUP(W$14/$F40,0)*$E$6)+ (ROUNDUP(W$14/$F40,0)*$D$11))*(1+$D$7))</f>
        <v>750000</v>
      </c>
      <c r="X40" s="7">
        <f>LamChanHangNgan((PhiMayCatDecalVuong(X$14,$D40,$E40)+ PhiMayInToner4M_Recoh(ROUNDUP(X$14/$F40,0)*$E$6)+ (ROUNDUP(X$14/$F40,0)*$D$11))*(1+$D$7))</f>
        <v>823000</v>
      </c>
      <c r="Y40" s="7">
        <f>LamChanHangNgan((PhiMayCatDecalVuong(Y$14,$D40,$E40)+ PhiMayInToner4M_Recoh(ROUNDUP(Y$14/$F40,0)*$E$6)+ (ROUNDUP(Y$14/$F40,0)*$D$11))*(1+$D$7))</f>
        <v>1551000</v>
      </c>
    </row>
    <row r="41" spans="1:25" x14ac:dyDescent="0.4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3">
        <f t="shared" si="4"/>
        <v>24</v>
      </c>
      <c r="G41" s="7">
        <f>LamChanHangNgan((PhiMayCatDecalVuong(G$14,$D41,$E41)+ PhiMayInToner4M_Recoh(ROUNDUP(G$14/$F41,0)*$E$6)+ (ROUNDUP(G$14/$F41,0)*$D$11))*(1+$D$7))</f>
        <v>112000</v>
      </c>
      <c r="H41" s="7">
        <f>LamChanHangNgan((PhiMayCatDecalVuong(H$14,$D41,$E41)+ PhiMayInToner4M_Recoh(ROUNDUP(H$14/$F41,0)*$E$6)+ (ROUNDUP(H$14/$F41,0)*$D$11))*(1+$D$7))</f>
        <v>127000</v>
      </c>
      <c r="I41" s="7">
        <f>LamChanHangNgan((PhiMayCatDecalVuong(I$14,$D41,$E41)+ PhiMayInToner4M_Recoh(ROUNDUP(I$14/$F41,0)*$E$6)+ (ROUNDUP(I$14/$F41,0)*$D$11))*(1+$D$7))</f>
        <v>142000</v>
      </c>
      <c r="J41" s="7">
        <f>LamChanHangNgan((PhiMayCatDecalVuong(J$14,$D41,$E41)+ PhiMayInToner4M_Recoh(ROUNDUP(J$14/$F41,0)*$E$6)+ (ROUNDUP(J$14/$F41,0)*$D$11))*(1+$D$7))</f>
        <v>156000</v>
      </c>
      <c r="K41" s="7">
        <f>LamChanHangNgan((PhiMayCatDecalVuong(K$14,$D41,$E41)+ PhiMayInToner4M_Recoh(ROUNDUP(K$14/$F41,0)*$E$6)+ (ROUNDUP(K$14/$F41,0)*$D$11))*(1+$D$7))</f>
        <v>171000</v>
      </c>
      <c r="L41" s="7">
        <f>LamChanHangNgan((PhiMayCatDecalVuong(L$14,$D41,$E41)+ PhiMayInToner4M_Recoh(ROUNDUP(L$14/$F41,0)*$E$6)+ (ROUNDUP(L$14/$F41,0)*$D$11))*(1+$D$7))</f>
        <v>185000</v>
      </c>
      <c r="M41" s="7">
        <f>LamChanHangNgan((PhiMayCatDecalVuong(M$14,$D41,$E41)+ PhiMayInToner4M_Recoh(ROUNDUP(M$14/$F41,0)*$E$6)+ (ROUNDUP(M$14/$F41,0)*$D$11))*(1+$D$7))</f>
        <v>204000</v>
      </c>
      <c r="N41" s="7">
        <f>LamChanHangNgan((PhiMayCatDecalVuong(N$14,$D41,$E41)+ PhiMayInToner4M_Recoh(ROUNDUP(N$14/$F41,0)*$E$6)+ (ROUNDUP(N$14/$F41,0)*$D$11))*(1+$D$7))</f>
        <v>218000</v>
      </c>
      <c r="O41" s="7">
        <f>LamChanHangNgan((PhiMayCatDecalVuong(O$14,$D41,$E41)+ PhiMayInToner4M_Recoh(ROUNDUP(O$14/$F41,0)*$E$6)+ (ROUNDUP(O$14/$F41,0)*$D$11))*(1+$D$7))</f>
        <v>233000</v>
      </c>
      <c r="P41" s="7">
        <f>LamChanHangNgan((PhiMayCatDecalVuong(P$14,$D41,$E41)+ PhiMayInToner4M_Recoh(ROUNDUP(P$14/$F41,0)*$E$6)+ (ROUNDUP(P$14/$F41,0)*$D$11))*(1+$D$7))</f>
        <v>247000</v>
      </c>
      <c r="Q41" s="7">
        <f>LamChanHangNgan((PhiMayCatDecalVuong(Q$14,$D41,$E41)+ PhiMayInToner4M_Recoh(ROUNDUP(Q$14/$F41,0)*$E$6)+ (ROUNDUP(Q$14/$F41,0)*$D$11))*(1+$D$7))</f>
        <v>324000</v>
      </c>
      <c r="R41" s="7">
        <f>LamChanHangNgan((PhiMayCatDecalVuong(R$14,$D41,$E41)+ PhiMayInToner4M_Recoh(ROUNDUP(R$14/$F41,0)*$E$6)+ (ROUNDUP(R$14/$F41,0)*$D$11))*(1+$D$7))</f>
        <v>401000</v>
      </c>
      <c r="S41" s="7">
        <f>LamChanHangNgan((PhiMayCatDecalVuong(S$14,$D41,$E41)+ PhiMayInToner4M_Recoh(ROUNDUP(S$14/$F41,0)*$E$6)+ (ROUNDUP(S$14/$F41,0)*$D$11))*(1+$D$7))</f>
        <v>477000</v>
      </c>
      <c r="T41" s="7">
        <f>LamChanHangNgan((PhiMayCatDecalVuong(T$14,$D41,$E41)+ PhiMayInToner4M_Recoh(ROUNDUP(T$14/$F41,0)*$E$6)+ (ROUNDUP(T$14/$F41,0)*$D$11))*(1+$D$7))</f>
        <v>550000</v>
      </c>
      <c r="U41" s="7">
        <f>LamChanHangNgan((PhiMayCatDecalVuong(U$14,$D41,$E41)+ PhiMayInToner4M_Recoh(ROUNDUP(U$14/$F41,0)*$E$6)+ (ROUNDUP(U$14/$F41,0)*$D$11))*(1+$D$7))</f>
        <v>627000</v>
      </c>
      <c r="V41" s="7">
        <f>LamChanHangNgan((PhiMayCatDecalVuong(V$14,$D41,$E41)+ PhiMayInToner4M_Recoh(ROUNDUP(V$14/$F41,0)*$E$6)+ (ROUNDUP(V$14/$F41,0)*$D$11))*(1+$D$7))</f>
        <v>703000</v>
      </c>
      <c r="W41" s="7">
        <f>LamChanHangNgan((PhiMayCatDecalVuong(W$14,$D41,$E41)+ PhiMayInToner4M_Recoh(ROUNDUP(W$14/$F41,0)*$E$6)+ (ROUNDUP(W$14/$F41,0)*$D$11))*(1+$D$7))</f>
        <v>780000</v>
      </c>
      <c r="X41" s="7">
        <f>LamChanHangNgan((PhiMayCatDecalVuong(X$14,$D41,$E41)+ PhiMayInToner4M_Recoh(ROUNDUP(X$14/$F41,0)*$E$6)+ (ROUNDUP(X$14/$F41,0)*$D$11))*(1+$D$7))</f>
        <v>857000</v>
      </c>
      <c r="Y41" s="7">
        <f>LamChanHangNgan((PhiMayCatDecalVuong(Y$14,$D41,$E41)+ PhiMayInToner4M_Recoh(ROUNDUP(Y$14/$F41,0)*$E$6)+ (ROUNDUP(Y$14/$F41,0)*$D$11))*(1+$D$7))</f>
        <v>1615000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H1" workbookViewId="0">
      <selection activeCell="G15" sqref="G15:Y31"/>
    </sheetView>
  </sheetViews>
  <sheetFormatPr defaultRowHeight="14.25" x14ac:dyDescent="0.45"/>
  <cols>
    <col min="1" max="1" width="23.86328125" bestFit="1" customWidth="1"/>
    <col min="2" max="2" width="16.86328125" customWidth="1"/>
    <col min="3" max="3" width="17" customWidth="1"/>
    <col min="4" max="4" width="15.86328125" bestFit="1" customWidth="1"/>
    <col min="5" max="5" width="18.265625" bestFit="1" customWidth="1"/>
    <col min="6" max="6" width="10.86328125" customWidth="1"/>
    <col min="7" max="9" width="15" bestFit="1" customWidth="1"/>
    <col min="10" max="11" width="14.86328125" bestFit="1" customWidth="1"/>
    <col min="12" max="18" width="13.265625" bestFit="1" customWidth="1"/>
    <col min="19" max="25" width="14.86328125" bestFit="1" customWidth="1"/>
  </cols>
  <sheetData>
    <row r="1" spans="1:25" x14ac:dyDescent="0.45">
      <c r="A1" s="1" t="s">
        <v>471</v>
      </c>
      <c r="B1" t="s">
        <v>458</v>
      </c>
    </row>
    <row r="2" spans="1:25" x14ac:dyDescent="0.45">
      <c r="A2" t="s">
        <v>289</v>
      </c>
      <c r="B2" s="35">
        <v>43609</v>
      </c>
    </row>
    <row r="3" spans="1:25" x14ac:dyDescent="0.45">
      <c r="B3" t="s">
        <v>206</v>
      </c>
      <c r="C3" t="s">
        <v>207</v>
      </c>
    </row>
    <row r="4" spans="1:25" x14ac:dyDescent="0.45">
      <c r="A4" t="s">
        <v>276</v>
      </c>
      <c r="B4">
        <v>32</v>
      </c>
      <c r="C4">
        <v>39</v>
      </c>
    </row>
    <row r="5" spans="1:25" ht="28.5" x14ac:dyDescent="0.4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45">
      <c r="A6" t="s">
        <v>287</v>
      </c>
      <c r="D6" s="1">
        <v>1</v>
      </c>
      <c r="E6">
        <v>1</v>
      </c>
    </row>
    <row r="7" spans="1:25" x14ac:dyDescent="0.45">
      <c r="A7" t="s">
        <v>203</v>
      </c>
      <c r="D7" s="37">
        <v>0.75</v>
      </c>
      <c r="E7" s="38" t="s">
        <v>301</v>
      </c>
    </row>
    <row r="8" spans="1:25" x14ac:dyDescent="0.45">
      <c r="B8" t="s">
        <v>283</v>
      </c>
      <c r="C8" t="s">
        <v>284</v>
      </c>
      <c r="D8" t="s">
        <v>286</v>
      </c>
      <c r="E8" t="s">
        <v>285</v>
      </c>
    </row>
    <row r="9" spans="1:25" x14ac:dyDescent="0.4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4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45">
      <c r="A11" t="s">
        <v>455</v>
      </c>
      <c r="B11" t="s">
        <v>456</v>
      </c>
      <c r="D11">
        <v>1250</v>
      </c>
      <c r="E11" s="7"/>
    </row>
    <row r="12" spans="1:25" x14ac:dyDescent="0.45">
      <c r="E12" s="7"/>
    </row>
    <row r="13" spans="1:25" x14ac:dyDescent="0.4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2.75" x14ac:dyDescent="0.45">
      <c r="A14" t="s">
        <v>447</v>
      </c>
      <c r="C14" t="s">
        <v>469</v>
      </c>
      <c r="D14" t="s">
        <v>474</v>
      </c>
      <c r="E14" s="2" t="s">
        <v>475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45">
      <c r="A15" t="s">
        <v>448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3">
        <f t="shared" ref="F15:F22" si="2">SoConTrenToLon($C$5,$D$5,$D15,$E15)</f>
        <v>357</v>
      </c>
      <c r="G15" s="7">
        <f>LamChanHangNgan((PhiMayCatDecalTron(G$14,$D15)+ PhiMayInToner4M_Recoh(ROUNDUP(G$14/$F15,0)*$E$6)+ (ROUNDUP(G$14/$F15,0)*$D$11))*(1+$D$7))</f>
        <v>98000</v>
      </c>
      <c r="H15" s="7">
        <f>LamChanHangNgan((PhiMayCatDecalTron(H$14,$D15)+ PhiMayInToner4M_Recoh(ROUNDUP(H$14/$F15,0)*$E$6)+ (ROUNDUP(H$14/$F15,0)*$D$11))*(1+$D$7))</f>
        <v>98000</v>
      </c>
      <c r="I15" s="7">
        <f>LamChanHangNgan((PhiMayCatDecalTron(I$14,$D15)+ PhiMayInToner4M_Recoh(ROUNDUP(I$14/$F15,0)*$E$6)+ (ROUNDUP(I$14/$F15,0)*$D$11))*(1+$D$7))</f>
        <v>98000</v>
      </c>
      <c r="J15" s="7">
        <f>LamChanHangNgan((PhiMayCatDecalTron(J$14,$D15)+ PhiMayInToner4M_Recoh(ROUNDUP(J$14/$F15,0)*$E$6)+ (ROUNDUP(J$14/$F15,0)*$D$11))*(1+$D$7))</f>
        <v>102000</v>
      </c>
      <c r="K15" s="7">
        <f>LamChanHangNgan((PhiMayCatDecalTron(K$14,$D15)+ PhiMayInToner4M_Recoh(ROUNDUP(K$14/$F15,0)*$E$6)+ (ROUNDUP(K$14/$F15,0)*$D$11))*(1+$D$7))</f>
        <v>102000</v>
      </c>
      <c r="L15" s="7">
        <f>LamChanHangNgan((PhiMayCatDecalTron(L$14,$D15)+ PhiMayInToner4M_Recoh(ROUNDUP(L$14/$F15,0)*$E$6)+ (ROUNDUP(L$14/$F15,0)*$D$11))*(1+$D$7))</f>
        <v>102000</v>
      </c>
      <c r="M15" s="7">
        <f>LamChanHangNgan((PhiMayCatDecalTron(M$14,$D15)+ PhiMayInToner4M_Recoh(ROUNDUP(M$14/$F15,0)*$E$6)+ (ROUNDUP(M$14/$F15,0)*$D$11))*(1+$D$7))</f>
        <v>103000</v>
      </c>
      <c r="N15" s="7">
        <f>LamChanHangNgan((PhiMayCatDecalTron(N$14,$D15)+ PhiMayInToner4M_Recoh(ROUNDUP(N$14/$F15,0)*$E$6)+ (ROUNDUP(N$14/$F15,0)*$D$11))*(1+$D$7))</f>
        <v>106000</v>
      </c>
      <c r="O15" s="7">
        <f>LamChanHangNgan((PhiMayCatDecalTron(O$14,$D15)+ PhiMayInToner4M_Recoh(ROUNDUP(O$14/$F15,0)*$E$6)+ (ROUNDUP(O$14/$F15,0)*$D$11))*(1+$D$7))</f>
        <v>107000</v>
      </c>
      <c r="P15" s="7">
        <f>LamChanHangNgan((PhiMayCatDecalTron(P$14,$D15)+ PhiMayInToner4M_Recoh(ROUNDUP(P$14/$F15,0)*$E$6)+ (ROUNDUP(P$14/$F15,0)*$D$11))*(1+$D$7))</f>
        <v>107000</v>
      </c>
      <c r="Q15" s="7">
        <f>LamChanHangNgan((PhiMayCatDecalTron(Q$14,$D15)+ PhiMayInToner4M_Recoh(ROUNDUP(Q$14/$F15,0)*$E$6)+ (ROUNDUP(Q$14/$F15,0)*$D$11))*(1+$D$7))</f>
        <v>115000</v>
      </c>
      <c r="R15" s="7">
        <f>LamChanHangNgan((PhiMayCatDecalTron(R$14,$D15)+ PhiMayInToner4M_Recoh(ROUNDUP(R$14/$F15,0)*$E$6)+ (ROUNDUP(R$14/$F15,0)*$D$11))*(1+$D$7))</f>
        <v>119000</v>
      </c>
      <c r="S15" s="7">
        <f>LamChanHangNgan((PhiMayCatDecalTron(S$14,$D15)+ PhiMayInToner4M_Recoh(ROUNDUP(S$14/$F15,0)*$E$6)+ (ROUNDUP(S$14/$F15,0)*$D$11))*(1+$D$7))</f>
        <v>127000</v>
      </c>
      <c r="T15" s="7">
        <f>LamChanHangNgan((PhiMayCatDecalTron(T$14,$D15)+ PhiMayInToner4M_Recoh(ROUNDUP(T$14/$F15,0)*$E$6)+ (ROUNDUP(T$14/$F15,0)*$D$11))*(1+$D$7))</f>
        <v>132000</v>
      </c>
      <c r="U15" s="7">
        <f>LamChanHangNgan((PhiMayCatDecalTron(U$14,$D15)+ PhiMayInToner4M_Recoh(ROUNDUP(U$14/$F15,0)*$E$6)+ (ROUNDUP(U$14/$F15,0)*$D$11))*(1+$D$7))</f>
        <v>136000</v>
      </c>
      <c r="V15" s="7">
        <f>LamChanHangNgan((PhiMayCatDecalTron(V$14,$D15)+ PhiMayInToner4M_Recoh(ROUNDUP(V$14/$F15,0)*$E$6)+ (ROUNDUP(V$14/$F15,0)*$D$11))*(1+$D$7))</f>
        <v>144000</v>
      </c>
      <c r="W15" s="7">
        <f>LamChanHangNgan((PhiMayCatDecalTron(W$14,$D15)+ PhiMayInToner4M_Recoh(ROUNDUP(W$14/$F15,0)*$E$6)+ (ROUNDUP(W$14/$F15,0)*$D$11))*(1+$D$7))</f>
        <v>148000</v>
      </c>
      <c r="X15" s="7">
        <f>LamChanHangNgan((PhiMayCatDecalTron(X$14,$D15)+ PhiMayInToner4M_Recoh(ROUNDUP(X$14/$F15,0)*$E$6)+ (ROUNDUP(X$14/$F15,0)*$D$11))*(1+$D$7))</f>
        <v>156000</v>
      </c>
      <c r="Y15" s="7">
        <f>LamChanHangNgan((PhiMayCatDecalTron(Y$14,$D15)+ PhiMayInToner4M_Recoh(ROUNDUP(Y$14/$F15,0)*$E$6)+ (ROUNDUP(Y$14/$F15,0)*$D$11))*(1+$D$7))</f>
        <v>215000</v>
      </c>
    </row>
    <row r="16" spans="1:25" x14ac:dyDescent="0.4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3">
        <f t="shared" si="2"/>
        <v>238</v>
      </c>
      <c r="G16" s="7">
        <f>LamChanHangNgan((PhiMayCatDecalTron(G$14,$D16)+ PhiMayInToner4M_Recoh(ROUNDUP(G$14/$F16,0)*$E$6)+ (ROUNDUP(G$14/$F16,0)*$D$11))*(1+$D$7))</f>
        <v>98000</v>
      </c>
      <c r="H16" s="7">
        <f>LamChanHangNgan((PhiMayCatDecalTron(H$14,$D16)+ PhiMayInToner4M_Recoh(ROUNDUP(H$14/$F16,0)*$E$6)+ (ROUNDUP(H$14/$F16,0)*$D$11))*(1+$D$7))</f>
        <v>98000</v>
      </c>
      <c r="I16" s="7">
        <f>LamChanHangNgan((PhiMayCatDecalTron(I$14,$D16)+ PhiMayInToner4M_Recoh(ROUNDUP(I$14/$F16,0)*$E$6)+ (ROUNDUP(I$14/$F16,0)*$D$11))*(1+$D$7))</f>
        <v>102000</v>
      </c>
      <c r="J16" s="7">
        <f>LamChanHangNgan((PhiMayCatDecalTron(J$14,$D16)+ PhiMayInToner4M_Recoh(ROUNDUP(J$14/$F16,0)*$E$6)+ (ROUNDUP(J$14/$F16,0)*$D$11))*(1+$D$7))</f>
        <v>102000</v>
      </c>
      <c r="K16" s="7">
        <f>LamChanHangNgan((PhiMayCatDecalTron(K$14,$D16)+ PhiMayInToner4M_Recoh(ROUNDUP(K$14/$F16,0)*$E$6)+ (ROUNDUP(K$14/$F16,0)*$D$11))*(1+$D$7))</f>
        <v>106000</v>
      </c>
      <c r="L16" s="7">
        <f>LamChanHangNgan((PhiMayCatDecalTron(L$14,$D16)+ PhiMayInToner4M_Recoh(ROUNDUP(L$14/$F16,0)*$E$6)+ (ROUNDUP(L$14/$F16,0)*$D$11))*(1+$D$7))</f>
        <v>106000</v>
      </c>
      <c r="M16" s="7">
        <f>LamChanHangNgan((PhiMayCatDecalTron(M$14,$D16)+ PhiMayInToner4M_Recoh(ROUNDUP(M$14/$F16,0)*$E$6)+ (ROUNDUP(M$14/$F16,0)*$D$11))*(1+$D$7))</f>
        <v>106000</v>
      </c>
      <c r="N16" s="7">
        <f>LamChanHangNgan((PhiMayCatDecalTron(N$14,$D16)+ PhiMayInToner4M_Recoh(ROUNDUP(N$14/$F16,0)*$E$6)+ (ROUNDUP(N$14/$F16,0)*$D$11))*(1+$D$7))</f>
        <v>110000</v>
      </c>
      <c r="O16" s="7">
        <f>LamChanHangNgan((PhiMayCatDecalTron(O$14,$D16)+ PhiMayInToner4M_Recoh(ROUNDUP(O$14/$F16,0)*$E$6)+ (ROUNDUP(O$14/$F16,0)*$D$11))*(1+$D$7))</f>
        <v>110000</v>
      </c>
      <c r="P16" s="7">
        <f>LamChanHangNgan((PhiMayCatDecalTron(P$14,$D16)+ PhiMayInToner4M_Recoh(ROUNDUP(P$14/$F16,0)*$E$6)+ (ROUNDUP(P$14/$F16,0)*$D$11))*(1+$D$7))</f>
        <v>114000</v>
      </c>
      <c r="Q16" s="7">
        <f>LamChanHangNgan((PhiMayCatDecalTron(Q$14,$D16)+ PhiMayInToner4M_Recoh(ROUNDUP(Q$14/$F16,0)*$E$6)+ (ROUNDUP(Q$14/$F16,0)*$D$11))*(1+$D$7))</f>
        <v>122000</v>
      </c>
      <c r="R16" s="7">
        <f>LamChanHangNgan((PhiMayCatDecalTron(R$14,$D16)+ PhiMayInToner4M_Recoh(ROUNDUP(R$14/$F16,0)*$E$6)+ (ROUNDUP(R$14/$F16,0)*$D$11))*(1+$D$7))</f>
        <v>130000</v>
      </c>
      <c r="S16" s="7">
        <f>LamChanHangNgan((PhiMayCatDecalTron(S$14,$D16)+ PhiMayInToner4M_Recoh(ROUNDUP(S$14/$F16,0)*$E$6)+ (ROUNDUP(S$14/$F16,0)*$D$11))*(1+$D$7))</f>
        <v>139000</v>
      </c>
      <c r="T16" s="7">
        <f>LamChanHangNgan((PhiMayCatDecalTron(T$14,$D16)+ PhiMayInToner4M_Recoh(ROUNDUP(T$14/$F16,0)*$E$6)+ (ROUNDUP(T$14/$F16,0)*$D$11))*(1+$D$7))</f>
        <v>147000</v>
      </c>
      <c r="U16" s="7">
        <f>LamChanHangNgan((PhiMayCatDecalTron(U$14,$D16)+ PhiMayInToner4M_Recoh(ROUNDUP(U$14/$F16,0)*$E$6)+ (ROUNDUP(U$14/$F16,0)*$D$11))*(1+$D$7))</f>
        <v>155000</v>
      </c>
      <c r="V16" s="7">
        <f>LamChanHangNgan((PhiMayCatDecalTron(V$14,$D16)+ PhiMayInToner4M_Recoh(ROUNDUP(V$14/$F16,0)*$E$6)+ (ROUNDUP(V$14/$F16,0)*$D$11))*(1+$D$7))</f>
        <v>163000</v>
      </c>
      <c r="W16" s="7">
        <f>LamChanHangNgan((PhiMayCatDecalTron(W$14,$D16)+ PhiMayInToner4M_Recoh(ROUNDUP(W$14/$F16,0)*$E$6)+ (ROUNDUP(W$14/$F16,0)*$D$11))*(1+$D$7))</f>
        <v>171000</v>
      </c>
      <c r="X16" s="7">
        <f>LamChanHangNgan((PhiMayCatDecalTron(X$14,$D16)+ PhiMayInToner4M_Recoh(ROUNDUP(X$14/$F16,0)*$E$6)+ (ROUNDUP(X$14/$F16,0)*$D$11))*(1+$D$7))</f>
        <v>183000</v>
      </c>
      <c r="Y16" s="7">
        <f>LamChanHangNgan((PhiMayCatDecalTron(Y$14,$D16)+ PhiMayInToner4M_Recoh(ROUNDUP(Y$14/$F16,0)*$E$6)+ (ROUNDUP(Y$14/$F16,0)*$D$11))*(1+$D$7))</f>
        <v>268000</v>
      </c>
    </row>
    <row r="17" spans="1:25" x14ac:dyDescent="0.45">
      <c r="A17" s="1" t="s">
        <v>449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3">
        <f t="shared" si="2"/>
        <v>180</v>
      </c>
      <c r="G17" s="7">
        <f>LamChanHangNgan((PhiMayCatDecalTron(G$14,$D17)+ PhiMayInToner4M_Recoh(ROUNDUP(G$14/$F17,0)*$E$6)+ (ROUNDUP(G$14/$F17,0)*$D$11))*(1+$D$7))</f>
        <v>98000</v>
      </c>
      <c r="H17" s="7">
        <f>LamChanHangNgan((PhiMayCatDecalTron(H$14,$D17)+ PhiMayInToner4M_Recoh(ROUNDUP(H$14/$F17,0)*$E$6)+ (ROUNDUP(H$14/$F17,0)*$D$11))*(1+$D$7))</f>
        <v>102000</v>
      </c>
      <c r="I17" s="7">
        <f>LamChanHangNgan((PhiMayCatDecalTron(I$14,$D17)+ PhiMayInToner4M_Recoh(ROUNDUP(I$14/$F17,0)*$E$6)+ (ROUNDUP(I$14/$F17,0)*$D$11))*(1+$D$7))</f>
        <v>102000</v>
      </c>
      <c r="J17" s="7">
        <f>LamChanHangNgan((PhiMayCatDecalTron(J$14,$D17)+ PhiMayInToner4M_Recoh(ROUNDUP(J$14/$F17,0)*$E$6)+ (ROUNDUP(J$14/$F17,0)*$D$11))*(1+$D$7))</f>
        <v>106000</v>
      </c>
      <c r="K17" s="7">
        <f>LamChanHangNgan((PhiMayCatDecalTron(K$14,$D17)+ PhiMayInToner4M_Recoh(ROUNDUP(K$14/$F17,0)*$E$6)+ (ROUNDUP(K$14/$F17,0)*$D$11))*(1+$D$7))</f>
        <v>106000</v>
      </c>
      <c r="L17" s="7">
        <f>LamChanHangNgan((PhiMayCatDecalTron(L$14,$D17)+ PhiMayInToner4M_Recoh(ROUNDUP(L$14/$F17,0)*$E$6)+ (ROUNDUP(L$14/$F17,0)*$D$11))*(1+$D$7))</f>
        <v>110000</v>
      </c>
      <c r="M17" s="7">
        <f>LamChanHangNgan((PhiMayCatDecalTron(M$14,$D17)+ PhiMayInToner4M_Recoh(ROUNDUP(M$14/$F17,0)*$E$6)+ (ROUNDUP(M$14/$F17,0)*$D$11))*(1+$D$7))</f>
        <v>110000</v>
      </c>
      <c r="N17" s="7">
        <f>LamChanHangNgan((PhiMayCatDecalTron(N$14,$D17)+ PhiMayInToner4M_Recoh(ROUNDUP(N$14/$F17,0)*$E$6)+ (ROUNDUP(N$14/$F17,0)*$D$11))*(1+$D$7))</f>
        <v>114000</v>
      </c>
      <c r="O17" s="7">
        <f>LamChanHangNgan((PhiMayCatDecalTron(O$14,$D17)+ PhiMayInToner4M_Recoh(ROUNDUP(O$14/$F17,0)*$E$6)+ (ROUNDUP(O$14/$F17,0)*$D$11))*(1+$D$7))</f>
        <v>114000</v>
      </c>
      <c r="P17" s="7">
        <f>LamChanHangNgan((PhiMayCatDecalTron(P$14,$D17)+ PhiMayInToner4M_Recoh(ROUNDUP(P$14/$F17,0)*$E$6)+ (ROUNDUP(P$14/$F17,0)*$D$11))*(1+$D$7))</f>
        <v>118000</v>
      </c>
      <c r="Q17" s="7">
        <f>LamChanHangNgan((PhiMayCatDecalTron(Q$14,$D17)+ PhiMayInToner4M_Recoh(ROUNDUP(Q$14/$F17,0)*$E$6)+ (ROUNDUP(Q$14/$F17,0)*$D$11))*(1+$D$7))</f>
        <v>130000</v>
      </c>
      <c r="R17" s="7">
        <f>LamChanHangNgan((PhiMayCatDecalTron(R$14,$D17)+ PhiMayInToner4M_Recoh(ROUNDUP(R$14/$F17,0)*$E$6)+ (ROUNDUP(R$14/$F17,0)*$D$11))*(1+$D$7))</f>
        <v>142000</v>
      </c>
      <c r="S17" s="7">
        <f>LamChanHangNgan((PhiMayCatDecalTron(S$14,$D17)+ PhiMayInToner4M_Recoh(ROUNDUP(S$14/$F17,0)*$E$6)+ (ROUNDUP(S$14/$F17,0)*$D$11))*(1+$D$7))</f>
        <v>150000</v>
      </c>
      <c r="T17" s="7">
        <f>LamChanHangNgan((PhiMayCatDecalTron(T$14,$D17)+ PhiMayInToner4M_Recoh(ROUNDUP(T$14/$F17,0)*$E$6)+ (ROUNDUP(T$14/$F17,0)*$D$11))*(1+$D$7))</f>
        <v>162000</v>
      </c>
      <c r="U17" s="7">
        <f>LamChanHangNgan((PhiMayCatDecalTron(U$14,$D17)+ PhiMayInToner4M_Recoh(ROUNDUP(U$14/$F17,0)*$E$6)+ (ROUNDUP(U$14/$F17,0)*$D$11))*(1+$D$7))</f>
        <v>173000</v>
      </c>
      <c r="V17" s="7">
        <f>LamChanHangNgan((PhiMayCatDecalTron(V$14,$D17)+ PhiMayInToner4M_Recoh(ROUNDUP(V$14/$F17,0)*$E$6)+ (ROUNDUP(V$14/$F17,0)*$D$11))*(1+$D$7))</f>
        <v>185000</v>
      </c>
      <c r="W17" s="7">
        <f>LamChanHangNgan((PhiMayCatDecalTron(W$14,$D17)+ PhiMayInToner4M_Recoh(ROUNDUP(W$14/$F17,0)*$E$6)+ (ROUNDUP(W$14/$F17,0)*$D$11))*(1+$D$7))</f>
        <v>194000</v>
      </c>
      <c r="X17" s="7">
        <f>LamChanHangNgan((PhiMayCatDecalTron(X$14,$D17)+ PhiMayInToner4M_Recoh(ROUNDUP(X$14/$F17,0)*$E$6)+ (ROUNDUP(X$14/$F17,0)*$D$11))*(1+$D$7))</f>
        <v>205000</v>
      </c>
      <c r="Y17" s="7">
        <f>LamChanHangNgan((PhiMayCatDecalTron(Y$14,$D17)+ PhiMayInToner4M_Recoh(ROUNDUP(Y$14/$F17,0)*$E$6)+ (ROUNDUP(Y$14/$F17,0)*$D$11))*(1+$D$7))</f>
        <v>317000</v>
      </c>
    </row>
    <row r="18" spans="1:25" ht="28.5" x14ac:dyDescent="0.45">
      <c r="A18" s="2" t="s">
        <v>450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3">
        <f t="shared" si="2"/>
        <v>130</v>
      </c>
      <c r="G18" s="7">
        <f>LamChanHangNgan((PhiMayCatDecalTron(G$14,$D18)+ PhiMayInToner4M_Recoh(ROUNDUP(G$14/$F18,0)*$E$6)+ (ROUNDUP(G$14/$F18,0)*$D$11))*(1+$D$7))</f>
        <v>98000</v>
      </c>
      <c r="H18" s="7">
        <f>LamChanHangNgan((PhiMayCatDecalTron(H$14,$D18)+ PhiMayInToner4M_Recoh(ROUNDUP(H$14/$F18,0)*$E$6)+ (ROUNDUP(H$14/$F18,0)*$D$11))*(1+$D$7))</f>
        <v>102000</v>
      </c>
      <c r="I18" s="7">
        <f>LamChanHangNgan((PhiMayCatDecalTron(I$14,$D18)+ PhiMayInToner4M_Recoh(ROUNDUP(I$14/$F18,0)*$E$6)+ (ROUNDUP(I$14/$F18,0)*$D$11))*(1+$D$7))</f>
        <v>106000</v>
      </c>
      <c r="J18" s="7">
        <f>LamChanHangNgan((PhiMayCatDecalTron(J$14,$D18)+ PhiMayInToner4M_Recoh(ROUNDUP(J$14/$F18,0)*$E$6)+ (ROUNDUP(J$14/$F18,0)*$D$11))*(1+$D$7))</f>
        <v>110000</v>
      </c>
      <c r="K18" s="7">
        <f>LamChanHangNgan((PhiMayCatDecalTron(K$14,$D18)+ PhiMayInToner4M_Recoh(ROUNDUP(K$14/$F18,0)*$E$6)+ (ROUNDUP(K$14/$F18,0)*$D$11))*(1+$D$7))</f>
        <v>110000</v>
      </c>
      <c r="L18" s="7">
        <f>LamChanHangNgan((PhiMayCatDecalTron(L$14,$D18)+ PhiMayInToner4M_Recoh(ROUNDUP(L$14/$F18,0)*$E$6)+ (ROUNDUP(L$14/$F18,0)*$D$11))*(1+$D$7))</f>
        <v>114000</v>
      </c>
      <c r="M18" s="7">
        <f>LamChanHangNgan((PhiMayCatDecalTron(M$14,$D18)+ PhiMayInToner4M_Recoh(ROUNDUP(M$14/$F18,0)*$E$6)+ (ROUNDUP(M$14/$F18,0)*$D$11))*(1+$D$7))</f>
        <v>117000</v>
      </c>
      <c r="N18" s="7">
        <f>LamChanHangNgan((PhiMayCatDecalTron(N$14,$D18)+ PhiMayInToner4M_Recoh(ROUNDUP(N$14/$F18,0)*$E$6)+ (ROUNDUP(N$14/$F18,0)*$D$11))*(1+$D$7))</f>
        <v>121000</v>
      </c>
      <c r="O18" s="7">
        <f>LamChanHangNgan((PhiMayCatDecalTron(O$14,$D18)+ PhiMayInToner4M_Recoh(ROUNDUP(O$14/$F18,0)*$E$6)+ (ROUNDUP(O$14/$F18,0)*$D$11))*(1+$D$7))</f>
        <v>122000</v>
      </c>
      <c r="P18" s="7">
        <f>LamChanHangNgan((PhiMayCatDecalTron(P$14,$D18)+ PhiMayInToner4M_Recoh(ROUNDUP(P$14/$F18,0)*$E$6)+ (ROUNDUP(P$14/$F18,0)*$D$11))*(1+$D$7))</f>
        <v>125000</v>
      </c>
      <c r="Q18" s="7">
        <f>LamChanHangNgan((PhiMayCatDecalTron(Q$14,$D18)+ PhiMayInToner4M_Recoh(ROUNDUP(Q$14/$F18,0)*$E$6)+ (ROUNDUP(Q$14/$F18,0)*$D$11))*(1+$D$7))</f>
        <v>141000</v>
      </c>
      <c r="R18" s="7">
        <f>LamChanHangNgan((PhiMayCatDecalTron(R$14,$D18)+ PhiMayInToner4M_Recoh(ROUNDUP(R$14/$F18,0)*$E$6)+ (ROUNDUP(R$14/$F18,0)*$D$11))*(1+$D$7))</f>
        <v>157000</v>
      </c>
      <c r="S18" s="7">
        <f>LamChanHangNgan((PhiMayCatDecalTron(S$14,$D18)+ PhiMayInToner4M_Recoh(ROUNDUP(S$14/$F18,0)*$E$6)+ (ROUNDUP(S$14/$F18,0)*$D$11))*(1+$D$7))</f>
        <v>172000</v>
      </c>
      <c r="T18" s="7">
        <f>LamChanHangNgan((PhiMayCatDecalTron(T$14,$D18)+ PhiMayInToner4M_Recoh(ROUNDUP(T$14/$F18,0)*$E$6)+ (ROUNDUP(T$14/$F18,0)*$D$11))*(1+$D$7))</f>
        <v>188000</v>
      </c>
      <c r="U18" s="7">
        <f>LamChanHangNgan((PhiMayCatDecalTron(U$14,$D18)+ PhiMayInToner4M_Recoh(ROUNDUP(U$14/$F18,0)*$E$6)+ (ROUNDUP(U$14/$F18,0)*$D$11))*(1+$D$7))</f>
        <v>200000</v>
      </c>
      <c r="V18" s="7">
        <f>LamChanHangNgan((PhiMayCatDecalTron(V$14,$D18)+ PhiMayInToner4M_Recoh(ROUNDUP(V$14/$F18,0)*$E$6)+ (ROUNDUP(V$14/$F18,0)*$D$11))*(1+$D$7))</f>
        <v>215000</v>
      </c>
      <c r="W18" s="7">
        <f>LamChanHangNgan((PhiMayCatDecalTron(W$14,$D18)+ PhiMayInToner4M_Recoh(ROUNDUP(W$14/$F18,0)*$E$6)+ (ROUNDUP(W$14/$F18,0)*$D$11))*(1+$D$7))</f>
        <v>231000</v>
      </c>
      <c r="X18" s="7">
        <f>LamChanHangNgan((PhiMayCatDecalTron(X$14,$D18)+ PhiMayInToner4M_Recoh(ROUNDUP(X$14/$F18,0)*$E$6)+ (ROUNDUP(X$14/$F18,0)*$D$11))*(1+$D$7))</f>
        <v>246000</v>
      </c>
      <c r="Y18" s="7">
        <f>LamChanHangNgan((PhiMayCatDecalTron(Y$14,$D18)+ PhiMayInToner4M_Recoh(ROUNDUP(Y$14/$F18,0)*$E$6)+ (ROUNDUP(Y$14/$F18,0)*$D$11))*(1+$D$7))</f>
        <v>395000</v>
      </c>
    </row>
    <row r="19" spans="1:25" x14ac:dyDescent="0.45">
      <c r="A19" s="2" t="s">
        <v>451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3">
        <f t="shared" si="2"/>
        <v>99</v>
      </c>
      <c r="G19" s="7">
        <f>LamChanHangNgan((PhiMayCatDecalTron(G$14,$D19)+ PhiMayInToner4M_Recoh(ROUNDUP(G$14/$F19,0)*$E$6)+ (ROUNDUP(G$14/$F19,0)*$D$11))*(1+$D$7))</f>
        <v>102000</v>
      </c>
      <c r="H19" s="7">
        <f>LamChanHangNgan((PhiMayCatDecalTron(H$14,$D19)+ PhiMayInToner4M_Recoh(ROUNDUP(H$14/$F19,0)*$E$6)+ (ROUNDUP(H$14/$F19,0)*$D$11))*(1+$D$7))</f>
        <v>106000</v>
      </c>
      <c r="I19" s="7">
        <f>LamChanHangNgan((PhiMayCatDecalTron(I$14,$D19)+ PhiMayInToner4M_Recoh(ROUNDUP(I$14/$F19,0)*$E$6)+ (ROUNDUP(I$14/$F19,0)*$D$11))*(1+$D$7))</f>
        <v>109000</v>
      </c>
      <c r="J19" s="7">
        <f>LamChanHangNgan((PhiMayCatDecalTron(J$14,$D19)+ PhiMayInToner4M_Recoh(ROUNDUP(J$14/$F19,0)*$E$6)+ (ROUNDUP(J$14/$F19,0)*$D$11))*(1+$D$7))</f>
        <v>113000</v>
      </c>
      <c r="K19" s="7">
        <f>LamChanHangNgan((PhiMayCatDecalTron(K$14,$D19)+ PhiMayInToner4M_Recoh(ROUNDUP(K$14/$F19,0)*$E$6)+ (ROUNDUP(K$14/$F19,0)*$D$11))*(1+$D$7))</f>
        <v>117000</v>
      </c>
      <c r="L19" s="7">
        <f>LamChanHangNgan((PhiMayCatDecalTron(L$14,$D19)+ PhiMayInToner4M_Recoh(ROUNDUP(L$14/$F19,0)*$E$6)+ (ROUNDUP(L$14/$F19,0)*$D$11))*(1+$D$7))</f>
        <v>121000</v>
      </c>
      <c r="M19" s="7">
        <f>LamChanHangNgan((PhiMayCatDecalTron(M$14,$D19)+ PhiMayInToner4M_Recoh(ROUNDUP(M$14/$F19,0)*$E$6)+ (ROUNDUP(M$14/$F19,0)*$D$11))*(1+$D$7))</f>
        <v>125000</v>
      </c>
      <c r="N19" s="7">
        <f>LamChanHangNgan((PhiMayCatDecalTron(N$14,$D19)+ PhiMayInToner4M_Recoh(ROUNDUP(N$14/$F19,0)*$E$6)+ (ROUNDUP(N$14/$F19,0)*$D$11))*(1+$D$7))</f>
        <v>129000</v>
      </c>
      <c r="O19" s="7">
        <f>LamChanHangNgan((PhiMayCatDecalTron(O$14,$D19)+ PhiMayInToner4M_Recoh(ROUNDUP(O$14/$F19,0)*$E$6)+ (ROUNDUP(O$14/$F19,0)*$D$11))*(1+$D$7))</f>
        <v>133000</v>
      </c>
      <c r="P19" s="7">
        <f>LamChanHangNgan((PhiMayCatDecalTron(P$14,$D19)+ PhiMayInToner4M_Recoh(ROUNDUP(P$14/$F19,0)*$E$6)+ (ROUNDUP(P$14/$F19,0)*$D$11))*(1+$D$7))</f>
        <v>136000</v>
      </c>
      <c r="Q19" s="7">
        <f>LamChanHangNgan((PhiMayCatDecalTron(Q$14,$D19)+ PhiMayInToner4M_Recoh(ROUNDUP(Q$14/$F19,0)*$E$6)+ (ROUNDUP(Q$14/$F19,0)*$D$11))*(1+$D$7))</f>
        <v>156000</v>
      </c>
      <c r="R19" s="7">
        <f>LamChanHangNgan((PhiMayCatDecalTron(R$14,$D19)+ PhiMayInToner4M_Recoh(ROUNDUP(R$14/$F19,0)*$E$6)+ (ROUNDUP(R$14/$F19,0)*$D$11))*(1+$D$7))</f>
        <v>175000</v>
      </c>
      <c r="S19" s="7">
        <f>LamChanHangNgan((PhiMayCatDecalTron(S$14,$D19)+ PhiMayInToner4M_Recoh(ROUNDUP(S$14/$F19,0)*$E$6)+ (ROUNDUP(S$14/$F19,0)*$D$11))*(1+$D$7))</f>
        <v>194000</v>
      </c>
      <c r="T19" s="7">
        <f>LamChanHangNgan((PhiMayCatDecalTron(T$14,$D19)+ PhiMayInToner4M_Recoh(ROUNDUP(T$14/$F19,0)*$E$6)+ (ROUNDUP(T$14/$F19,0)*$D$11))*(1+$D$7))</f>
        <v>214000</v>
      </c>
      <c r="U19" s="7">
        <f>LamChanHangNgan((PhiMayCatDecalTron(U$14,$D19)+ PhiMayInToner4M_Recoh(ROUNDUP(U$14/$F19,0)*$E$6)+ (ROUNDUP(U$14/$F19,0)*$D$11))*(1+$D$7))</f>
        <v>233000</v>
      </c>
      <c r="V19" s="7">
        <f>LamChanHangNgan((PhiMayCatDecalTron(V$14,$D19)+ PhiMayInToner4M_Recoh(ROUNDUP(V$14/$F19,0)*$E$6)+ (ROUNDUP(V$14/$F19,0)*$D$11))*(1+$D$7))</f>
        <v>252000</v>
      </c>
      <c r="W19" s="7">
        <f>LamChanHangNgan((PhiMayCatDecalTron(W$14,$D19)+ PhiMayInToner4M_Recoh(ROUNDUP(W$14/$F19,0)*$E$6)+ (ROUNDUP(W$14/$F19,0)*$D$11))*(1+$D$7))</f>
        <v>272000</v>
      </c>
      <c r="X19" s="7">
        <f>LamChanHangNgan((PhiMayCatDecalTron(X$14,$D19)+ PhiMayInToner4M_Recoh(ROUNDUP(X$14/$F19,0)*$E$6)+ (ROUNDUP(X$14/$F19,0)*$D$11))*(1+$D$7))</f>
        <v>291000</v>
      </c>
      <c r="Y19" s="7">
        <f>LamChanHangNgan((PhiMayCatDecalTron(Y$14,$D19)+ PhiMayInToner4M_Recoh(ROUNDUP(Y$14/$F19,0)*$E$6)+ (ROUNDUP(Y$14/$F19,0)*$D$11))*(1+$D$7))</f>
        <v>488000</v>
      </c>
    </row>
    <row r="20" spans="1:25" x14ac:dyDescent="0.45">
      <c r="A20" s="2" t="s">
        <v>452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3">
        <f t="shared" si="2"/>
        <v>72</v>
      </c>
      <c r="G20" s="7">
        <f>LamChanHangNgan((PhiMayCatDecalTron(G$14,$D20)+ PhiMayInToner4M_Recoh(ROUNDUP(G$14/$F20,0)*$E$6)+ (ROUNDUP(G$14/$F20,0)*$D$11))*(1+$D$7))</f>
        <v>102000</v>
      </c>
      <c r="H20" s="7">
        <f>LamChanHangNgan((PhiMayCatDecalTron(H$14,$D20)+ PhiMayInToner4M_Recoh(ROUNDUP(H$14/$F20,0)*$E$6)+ (ROUNDUP(H$14/$F20,0)*$D$11))*(1+$D$7))</f>
        <v>106000</v>
      </c>
      <c r="I20" s="7">
        <f>LamChanHangNgan((PhiMayCatDecalTron(I$14,$D20)+ PhiMayInToner4M_Recoh(ROUNDUP(I$14/$F20,0)*$E$6)+ (ROUNDUP(I$14/$F20,0)*$D$11))*(1+$D$7))</f>
        <v>113000</v>
      </c>
      <c r="J20" s="7">
        <f>LamChanHangNgan((PhiMayCatDecalTron(J$14,$D20)+ PhiMayInToner4M_Recoh(ROUNDUP(J$14/$F20,0)*$E$6)+ (ROUNDUP(J$14/$F20,0)*$D$11))*(1+$D$7))</f>
        <v>117000</v>
      </c>
      <c r="K20" s="7">
        <f>LamChanHangNgan((PhiMayCatDecalTron(K$14,$D20)+ PhiMayInToner4M_Recoh(ROUNDUP(K$14/$F20,0)*$E$6)+ (ROUNDUP(K$14/$F20,0)*$D$11))*(1+$D$7))</f>
        <v>121000</v>
      </c>
      <c r="L20" s="7">
        <f>LamChanHangNgan((PhiMayCatDecalTron(L$14,$D20)+ PhiMayInToner4M_Recoh(ROUNDUP(L$14/$F20,0)*$E$6)+ (ROUNDUP(L$14/$F20,0)*$D$11))*(1+$D$7))</f>
        <v>128000</v>
      </c>
      <c r="M20" s="7">
        <f>LamChanHangNgan((PhiMayCatDecalTron(M$14,$D20)+ PhiMayInToner4M_Recoh(ROUNDUP(M$14/$F20,0)*$E$6)+ (ROUNDUP(M$14/$F20,0)*$D$11))*(1+$D$7))</f>
        <v>132000</v>
      </c>
      <c r="N20" s="7">
        <f>LamChanHangNgan((PhiMayCatDecalTron(N$14,$D20)+ PhiMayInToner4M_Recoh(ROUNDUP(N$14/$F20,0)*$E$6)+ (ROUNDUP(N$14/$F20,0)*$D$11))*(1+$D$7))</f>
        <v>140000</v>
      </c>
      <c r="O20" s="7">
        <f>LamChanHangNgan((PhiMayCatDecalTron(O$14,$D20)+ PhiMayInToner4M_Recoh(ROUNDUP(O$14/$F20,0)*$E$6)+ (ROUNDUP(O$14/$F20,0)*$D$11))*(1+$D$7))</f>
        <v>144000</v>
      </c>
      <c r="P20" s="7">
        <f>LamChanHangNgan((PhiMayCatDecalTron(P$14,$D20)+ PhiMayInToner4M_Recoh(ROUNDUP(P$14/$F20,0)*$E$6)+ (ROUNDUP(P$14/$F20,0)*$D$11))*(1+$D$7))</f>
        <v>147000</v>
      </c>
      <c r="Q20" s="7">
        <f>LamChanHangNgan((PhiMayCatDecalTron(Q$14,$D20)+ PhiMayInToner4M_Recoh(ROUNDUP(Q$14/$F20,0)*$E$6)+ (ROUNDUP(Q$14/$F20,0)*$D$11))*(1+$D$7))</f>
        <v>174000</v>
      </c>
      <c r="R20" s="7">
        <f>LamChanHangNgan((PhiMayCatDecalTron(R$14,$D20)+ PhiMayInToner4M_Recoh(ROUNDUP(R$14/$F20,0)*$E$6)+ (ROUNDUP(R$14/$F20,0)*$D$11))*(1+$D$7))</f>
        <v>201000</v>
      </c>
      <c r="S20" s="7">
        <f>LamChanHangNgan((PhiMayCatDecalTron(S$14,$D20)+ PhiMayInToner4M_Recoh(ROUNDUP(S$14/$F20,0)*$E$6)+ (ROUNDUP(S$14/$F20,0)*$D$11))*(1+$D$7))</f>
        <v>227000</v>
      </c>
      <c r="T20" s="7">
        <f>LamChanHangNgan((PhiMayCatDecalTron(T$14,$D20)+ PhiMayInToner4M_Recoh(ROUNDUP(T$14/$F20,0)*$E$6)+ (ROUNDUP(T$14/$F20,0)*$D$11))*(1+$D$7))</f>
        <v>254000</v>
      </c>
      <c r="U20" s="7">
        <f>LamChanHangNgan((PhiMayCatDecalTron(U$14,$D20)+ PhiMayInToner4M_Recoh(ROUNDUP(U$14/$F20,0)*$E$6)+ (ROUNDUP(U$14/$F20,0)*$D$11))*(1+$D$7))</f>
        <v>280000</v>
      </c>
      <c r="V20" s="7">
        <f>LamChanHangNgan((PhiMayCatDecalTron(V$14,$D20)+ PhiMayInToner4M_Recoh(ROUNDUP(V$14/$F20,0)*$E$6)+ (ROUNDUP(V$14/$F20,0)*$D$11))*(1+$D$7))</f>
        <v>307000</v>
      </c>
      <c r="W20" s="7">
        <f>LamChanHangNgan((PhiMayCatDecalTron(W$14,$D20)+ PhiMayInToner4M_Recoh(ROUNDUP(W$14/$F20,0)*$E$6)+ (ROUNDUP(W$14/$F20,0)*$D$11))*(1+$D$7))</f>
        <v>333000</v>
      </c>
      <c r="X20" s="7">
        <f>LamChanHangNgan((PhiMayCatDecalTron(X$14,$D20)+ PhiMayInToner4M_Recoh(ROUNDUP(X$14/$F20,0)*$E$6)+ (ROUNDUP(X$14/$F20,0)*$D$11))*(1+$D$7))</f>
        <v>360000</v>
      </c>
      <c r="Y20" s="7">
        <f>LamChanHangNgan((PhiMayCatDecalTron(Y$14,$D20)+ PhiMayInToner4M_Recoh(ROUNDUP(Y$14/$F20,0)*$E$6)+ (ROUNDUP(Y$14/$F20,0)*$D$11))*(1+$D$7))</f>
        <v>622000</v>
      </c>
    </row>
    <row r="21" spans="1:25" x14ac:dyDescent="0.45">
      <c r="A21" s="2" t="s">
        <v>453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3">
        <f t="shared" si="2"/>
        <v>56</v>
      </c>
      <c r="G21" s="7">
        <f>LamChanHangNgan((PhiMayCatDecalTron(G$14,$D21)+ PhiMayInToner4M_Recoh(ROUNDUP(G$14/$F21,0)*$E$6)+ (ROUNDUP(G$14/$F21,0)*$D$11))*(1+$D$7))</f>
        <v>102000</v>
      </c>
      <c r="H21" s="7">
        <f>LamChanHangNgan((PhiMayCatDecalTron(H$14,$D21)+ PhiMayInToner4M_Recoh(ROUNDUP(H$14/$F21,0)*$E$6)+ (ROUNDUP(H$14/$F21,0)*$D$11))*(1+$D$7))</f>
        <v>109000</v>
      </c>
      <c r="I21" s="7">
        <f>LamChanHangNgan((PhiMayCatDecalTron(I$14,$D21)+ PhiMayInToner4M_Recoh(ROUNDUP(I$14/$F21,0)*$E$6)+ (ROUNDUP(I$14/$F21,0)*$D$11))*(1+$D$7))</f>
        <v>117000</v>
      </c>
      <c r="J21" s="7">
        <f>LamChanHangNgan((PhiMayCatDecalTron(J$14,$D21)+ PhiMayInToner4M_Recoh(ROUNDUP(J$14/$F21,0)*$E$6)+ (ROUNDUP(J$14/$F21,0)*$D$11))*(1+$D$7))</f>
        <v>124000</v>
      </c>
      <c r="K21" s="7">
        <f>LamChanHangNgan((PhiMayCatDecalTron(K$14,$D21)+ PhiMayInToner4M_Recoh(ROUNDUP(K$14/$F21,0)*$E$6)+ (ROUNDUP(K$14/$F21,0)*$D$11))*(1+$D$7))</f>
        <v>128000</v>
      </c>
      <c r="L21" s="7">
        <f>LamChanHangNgan((PhiMayCatDecalTron(L$14,$D21)+ PhiMayInToner4M_Recoh(ROUNDUP(L$14/$F21,0)*$E$6)+ (ROUNDUP(L$14/$F21,0)*$D$11))*(1+$D$7))</f>
        <v>136000</v>
      </c>
      <c r="M21" s="7">
        <f>LamChanHangNgan((PhiMayCatDecalTron(M$14,$D21)+ PhiMayInToner4M_Recoh(ROUNDUP(M$14/$F21,0)*$E$6)+ (ROUNDUP(M$14/$F21,0)*$D$11))*(1+$D$7))</f>
        <v>143000</v>
      </c>
      <c r="N21" s="7">
        <f>LamChanHangNgan((PhiMayCatDecalTron(N$14,$D21)+ PhiMayInToner4M_Recoh(ROUNDUP(N$14/$F21,0)*$E$6)+ (ROUNDUP(N$14/$F21,0)*$D$11))*(1+$D$7))</f>
        <v>150000</v>
      </c>
      <c r="O21" s="7">
        <f>LamChanHangNgan((PhiMayCatDecalTron(O$14,$D21)+ PhiMayInToner4M_Recoh(ROUNDUP(O$14/$F21,0)*$E$6)+ (ROUNDUP(O$14/$F21,0)*$D$11))*(1+$D$7))</f>
        <v>158000</v>
      </c>
      <c r="P21" s="7">
        <f>LamChanHangNgan((PhiMayCatDecalTron(P$14,$D21)+ PhiMayInToner4M_Recoh(ROUNDUP(P$14/$F21,0)*$E$6)+ (ROUNDUP(P$14/$F21,0)*$D$11))*(1+$D$7))</f>
        <v>162000</v>
      </c>
      <c r="Q21" s="7">
        <f>LamChanHangNgan((PhiMayCatDecalTron(Q$14,$D21)+ PhiMayInToner4M_Recoh(ROUNDUP(Q$14/$F21,0)*$E$6)+ (ROUNDUP(Q$14/$F21,0)*$D$11))*(1+$D$7))</f>
        <v>196000</v>
      </c>
      <c r="R21" s="7">
        <f>LamChanHangNgan((PhiMayCatDecalTron(R$14,$D21)+ PhiMayInToner4M_Recoh(ROUNDUP(R$14/$F21,0)*$E$6)+ (ROUNDUP(R$14/$F21,0)*$D$11))*(1+$D$7))</f>
        <v>230000</v>
      </c>
      <c r="S21" s="7">
        <f>LamChanHangNgan((PhiMayCatDecalTron(S$14,$D21)+ PhiMayInToner4M_Recoh(ROUNDUP(S$14/$F21,0)*$E$6)+ (ROUNDUP(S$14/$F21,0)*$D$11))*(1+$D$7))</f>
        <v>263000</v>
      </c>
      <c r="T21" s="7">
        <f>LamChanHangNgan((PhiMayCatDecalTron(T$14,$D21)+ PhiMayInToner4M_Recoh(ROUNDUP(T$14/$F21,0)*$E$6)+ (ROUNDUP(T$14/$F21,0)*$D$11))*(1+$D$7))</f>
        <v>297000</v>
      </c>
      <c r="U21" s="7">
        <f>LamChanHangNgan((PhiMayCatDecalTron(U$14,$D21)+ PhiMayInToner4M_Recoh(ROUNDUP(U$14/$F21,0)*$E$6)+ (ROUNDUP(U$14/$F21,0)*$D$11))*(1+$D$7))</f>
        <v>331000</v>
      </c>
      <c r="V21" s="7">
        <f>LamChanHangNgan((PhiMayCatDecalTron(V$14,$D21)+ PhiMayInToner4M_Recoh(ROUNDUP(V$14/$F21,0)*$E$6)+ (ROUNDUP(V$14/$F21,0)*$D$11))*(1+$D$7))</f>
        <v>365000</v>
      </c>
      <c r="W21" s="7">
        <f>LamChanHangNgan((PhiMayCatDecalTron(W$14,$D21)+ PhiMayInToner4M_Recoh(ROUNDUP(W$14/$F21,0)*$E$6)+ (ROUNDUP(W$14/$F21,0)*$D$11))*(1+$D$7))</f>
        <v>399000</v>
      </c>
      <c r="X21" s="7">
        <f>LamChanHangNgan((PhiMayCatDecalTron(X$14,$D21)+ PhiMayInToner4M_Recoh(ROUNDUP(X$14/$F21,0)*$E$6)+ (ROUNDUP(X$14/$F21,0)*$D$11))*(1+$D$7))</f>
        <v>433000</v>
      </c>
      <c r="Y21" s="7">
        <f>LamChanHangNgan((PhiMayCatDecalTron(Y$14,$D21)+ PhiMayInToner4M_Recoh(ROUNDUP(Y$14/$F21,0)*$E$6)+ (ROUNDUP(Y$14/$F21,0)*$D$11))*(1+$D$7))</f>
        <v>767000</v>
      </c>
    </row>
    <row r="22" spans="1:25" x14ac:dyDescent="0.4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3">
        <f t="shared" si="2"/>
        <v>42</v>
      </c>
      <c r="G22" s="7">
        <f>LamChanHangNgan((PhiMayCatDecalTron(G$14,$D22)+ PhiMayInToner4M_Recoh(ROUNDUP(G$14/$F22,0)*$E$6)+ (ROUNDUP(G$14/$F22,0)*$D$11))*(1+$D$7))</f>
        <v>105000</v>
      </c>
      <c r="H22" s="7">
        <f>LamChanHangNgan((PhiMayCatDecalTron(H$14,$D22)+ PhiMayInToner4M_Recoh(ROUNDUP(H$14/$F22,0)*$E$6)+ (ROUNDUP(H$14/$F22,0)*$D$11))*(1+$D$7))</f>
        <v>113000</v>
      </c>
      <c r="I22" s="7">
        <f>LamChanHangNgan((PhiMayCatDecalTron(I$14,$D22)+ PhiMayInToner4M_Recoh(ROUNDUP(I$14/$F22,0)*$E$6)+ (ROUNDUP(I$14/$F22,0)*$D$11))*(1+$D$7))</f>
        <v>124000</v>
      </c>
      <c r="J22" s="7">
        <f>LamChanHangNgan((PhiMayCatDecalTron(J$14,$D22)+ PhiMayInToner4M_Recoh(ROUNDUP(J$14/$F22,0)*$E$6)+ (ROUNDUP(J$14/$F22,0)*$D$11))*(1+$D$7))</f>
        <v>131000</v>
      </c>
      <c r="K22" s="7">
        <f>LamChanHangNgan((PhiMayCatDecalTron(K$14,$D22)+ PhiMayInToner4M_Recoh(ROUNDUP(K$14/$F22,0)*$E$6)+ (ROUNDUP(K$14/$F22,0)*$D$11))*(1+$D$7))</f>
        <v>139000</v>
      </c>
      <c r="L22" s="7">
        <f>LamChanHangNgan((PhiMayCatDecalTron(L$14,$D22)+ PhiMayInToner4M_Recoh(ROUNDUP(L$14/$F22,0)*$E$6)+ (ROUNDUP(L$14/$F22,0)*$D$11))*(1+$D$7))</f>
        <v>150000</v>
      </c>
      <c r="M22" s="7">
        <f>LamChanHangNgan((PhiMayCatDecalTron(M$14,$D22)+ PhiMayInToner4M_Recoh(ROUNDUP(M$14/$F22,0)*$E$6)+ (ROUNDUP(M$14/$F22,0)*$D$11))*(1+$D$7))</f>
        <v>157000</v>
      </c>
      <c r="N22" s="7">
        <f>LamChanHangNgan((PhiMayCatDecalTron(N$14,$D22)+ PhiMayInToner4M_Recoh(ROUNDUP(N$14/$F22,0)*$E$6)+ (ROUNDUP(N$14/$F22,0)*$D$11))*(1+$D$7))</f>
        <v>168000</v>
      </c>
      <c r="O22" s="7">
        <f>LamChanHangNgan((PhiMayCatDecalTron(O$14,$D22)+ PhiMayInToner4M_Recoh(ROUNDUP(O$14/$F22,0)*$E$6)+ (ROUNDUP(O$14/$F22,0)*$D$11))*(1+$D$7))</f>
        <v>176000</v>
      </c>
      <c r="P22" s="7">
        <f>LamChanHangNgan((PhiMayCatDecalTron(P$14,$D22)+ PhiMayInToner4M_Recoh(ROUNDUP(P$14/$F22,0)*$E$6)+ (ROUNDUP(P$14/$F22,0)*$D$11))*(1+$D$7))</f>
        <v>183000</v>
      </c>
      <c r="Q22" s="7">
        <f>LamChanHangNgan((PhiMayCatDecalTron(Q$14,$D22)+ PhiMayInToner4M_Recoh(ROUNDUP(Q$14/$F22,0)*$E$6)+ (ROUNDUP(Q$14/$F22,0)*$D$11))*(1+$D$7))</f>
        <v>228000</v>
      </c>
      <c r="R22" s="7">
        <f>LamChanHangNgan((PhiMayCatDecalTron(R$14,$D22)+ PhiMayInToner4M_Recoh(ROUNDUP(R$14/$F22,0)*$E$6)+ (ROUNDUP(R$14/$F22,0)*$D$11))*(1+$D$7))</f>
        <v>273000</v>
      </c>
      <c r="S22" s="7">
        <f>LamChanHangNgan((PhiMayCatDecalTron(S$14,$D22)+ PhiMayInToner4M_Recoh(ROUNDUP(S$14/$F22,0)*$E$6)+ (ROUNDUP(S$14/$F22,0)*$D$11))*(1+$D$7))</f>
        <v>317000</v>
      </c>
      <c r="T22" s="7">
        <f>LamChanHangNgan((PhiMayCatDecalTron(T$14,$D22)+ PhiMayInToner4M_Recoh(ROUNDUP(T$14/$F22,0)*$E$6)+ (ROUNDUP(T$14/$F22,0)*$D$11))*(1+$D$7))</f>
        <v>362000</v>
      </c>
      <c r="U22" s="7">
        <f>LamChanHangNgan((PhiMayCatDecalTron(U$14,$D22)+ PhiMayInToner4M_Recoh(ROUNDUP(U$14/$F22,0)*$E$6)+ (ROUNDUP(U$14/$F22,0)*$D$11))*(1+$D$7))</f>
        <v>406000</v>
      </c>
      <c r="V22" s="7">
        <f>LamChanHangNgan((PhiMayCatDecalTron(V$14,$D22)+ PhiMayInToner4M_Recoh(ROUNDUP(V$14/$F22,0)*$E$6)+ (ROUNDUP(V$14/$F22,0)*$D$11))*(1+$D$7))</f>
        <v>451000</v>
      </c>
      <c r="W22" s="7">
        <f>LamChanHangNgan((PhiMayCatDecalTron(W$14,$D22)+ PhiMayInToner4M_Recoh(ROUNDUP(W$14/$F22,0)*$E$6)+ (ROUNDUP(W$14/$F22,0)*$D$11))*(1+$D$7))</f>
        <v>495000</v>
      </c>
      <c r="X22" s="7">
        <f>LamChanHangNgan((PhiMayCatDecalTron(X$14,$D22)+ PhiMayInToner4M_Recoh(ROUNDUP(X$14/$F22,0)*$E$6)+ (ROUNDUP(X$14/$F22,0)*$D$11))*(1+$D$7))</f>
        <v>540000</v>
      </c>
      <c r="Y22" s="7">
        <f>LamChanHangNgan((PhiMayCatDecalTron(Y$14,$D22)+ PhiMayInToner4M_Recoh(ROUNDUP(Y$14/$F22,0)*$E$6)+ (ROUNDUP(Y$14/$F22,0)*$D$11))*(1+$D$7))</f>
        <v>982000</v>
      </c>
    </row>
    <row r="23" spans="1:25" x14ac:dyDescent="0.4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3">
        <f t="shared" ref="F23:F31" si="5">SoConTrenToLon($C$5,$D$5,$D23,$E23)</f>
        <v>35</v>
      </c>
      <c r="G23" s="7">
        <f>LamChanHangNgan((PhiMayCatDecalTron(G$14,$D23)+ PhiMayInToner4M_Recoh(ROUNDUP(G$14/$F23,0)*$E$6)+ (ROUNDUP(G$14/$F23,0)*$D$11))*(1+$D$7))</f>
        <v>105000</v>
      </c>
      <c r="H23" s="7">
        <f>LamChanHangNgan((PhiMayCatDecalTron(H$14,$D23)+ PhiMayInToner4M_Recoh(ROUNDUP(H$14/$F23,0)*$E$6)+ (ROUNDUP(H$14/$F23,0)*$D$11))*(1+$D$7))</f>
        <v>116000</v>
      </c>
      <c r="I23" s="7">
        <f>LamChanHangNgan((PhiMayCatDecalTron(I$14,$D23)+ PhiMayInToner4M_Recoh(ROUNDUP(I$14/$F23,0)*$E$6)+ (ROUNDUP(I$14/$F23,0)*$D$11))*(1+$D$7))</f>
        <v>127000</v>
      </c>
      <c r="J23" s="7">
        <f>LamChanHangNgan((PhiMayCatDecalTron(J$14,$D23)+ PhiMayInToner4M_Recoh(ROUNDUP(J$14/$F23,0)*$E$6)+ (ROUNDUP(J$14/$F23,0)*$D$11))*(1+$D$7))</f>
        <v>139000</v>
      </c>
      <c r="K23" s="7">
        <f>LamChanHangNgan((PhiMayCatDecalTron(K$14,$D23)+ PhiMayInToner4M_Recoh(ROUNDUP(K$14/$F23,0)*$E$6)+ (ROUNDUP(K$14/$F23,0)*$D$11))*(1+$D$7))</f>
        <v>150000</v>
      </c>
      <c r="L23" s="7">
        <f>LamChanHangNgan((PhiMayCatDecalTron(L$14,$D23)+ PhiMayInToner4M_Recoh(ROUNDUP(L$14/$F23,0)*$E$6)+ (ROUNDUP(L$14/$F23,0)*$D$11))*(1+$D$7))</f>
        <v>161000</v>
      </c>
      <c r="M23" s="7">
        <f>LamChanHangNgan((PhiMayCatDecalTron(M$14,$D23)+ PhiMayInToner4M_Recoh(ROUNDUP(M$14/$F23,0)*$E$6)+ (ROUNDUP(M$14/$F23,0)*$D$11))*(1+$D$7))</f>
        <v>168000</v>
      </c>
      <c r="N23" s="7">
        <f>LamChanHangNgan((PhiMayCatDecalTron(N$14,$D23)+ PhiMayInToner4M_Recoh(ROUNDUP(N$14/$F23,0)*$E$6)+ (ROUNDUP(N$14/$F23,0)*$D$11))*(1+$D$7))</f>
        <v>179000</v>
      </c>
      <c r="O23" s="7">
        <f>LamChanHangNgan((PhiMayCatDecalTron(O$14,$D23)+ PhiMayInToner4M_Recoh(ROUNDUP(O$14/$F23,0)*$E$6)+ (ROUNDUP(O$14/$F23,0)*$D$11))*(1+$D$7))</f>
        <v>190000</v>
      </c>
      <c r="P23" s="7">
        <f>LamChanHangNgan((PhiMayCatDecalTron(P$14,$D23)+ PhiMayInToner4M_Recoh(ROUNDUP(P$14/$F23,0)*$E$6)+ (ROUNDUP(P$14/$F23,0)*$D$11))*(1+$D$7))</f>
        <v>201000</v>
      </c>
      <c r="Q23" s="7">
        <f>LamChanHangNgan((PhiMayCatDecalTron(Q$14,$D23)+ PhiMayInToner4M_Recoh(ROUNDUP(Q$14/$F23,0)*$E$6)+ (ROUNDUP(Q$14/$F23,0)*$D$11))*(1+$D$7))</f>
        <v>253000</v>
      </c>
      <c r="R23" s="7">
        <f>LamChanHangNgan((PhiMayCatDecalTron(R$14,$D23)+ PhiMayInToner4M_Recoh(ROUNDUP(R$14/$F23,0)*$E$6)+ (ROUNDUP(R$14/$F23,0)*$D$11))*(1+$D$7))</f>
        <v>309000</v>
      </c>
      <c r="S23" s="7">
        <f>LamChanHangNgan((PhiMayCatDecalTron(S$14,$D23)+ PhiMayInToner4M_Recoh(ROUNDUP(S$14/$F23,0)*$E$6)+ (ROUNDUP(S$14/$F23,0)*$D$11))*(1+$D$7))</f>
        <v>360000</v>
      </c>
      <c r="T23" s="7">
        <f>LamChanHangNgan((PhiMayCatDecalTron(T$14,$D23)+ PhiMayInToner4M_Recoh(ROUNDUP(T$14/$F23,0)*$E$6)+ (ROUNDUP(T$14/$F23,0)*$D$11))*(1+$D$7))</f>
        <v>412000</v>
      </c>
      <c r="U23" s="7">
        <f>LamChanHangNgan((PhiMayCatDecalTron(U$14,$D23)+ PhiMayInToner4M_Recoh(ROUNDUP(U$14/$F23,0)*$E$6)+ (ROUNDUP(U$14/$F23,0)*$D$11))*(1+$D$7))</f>
        <v>464000</v>
      </c>
      <c r="V23" s="7">
        <f>LamChanHangNgan((PhiMayCatDecalTron(V$14,$D23)+ PhiMayInToner4M_Recoh(ROUNDUP(V$14/$F23,0)*$E$6)+ (ROUNDUP(V$14/$F23,0)*$D$11))*(1+$D$7))</f>
        <v>519000</v>
      </c>
      <c r="W23" s="7">
        <f>LamChanHangNgan((PhiMayCatDecalTron(W$14,$D23)+ PhiMayInToner4M_Recoh(ROUNDUP(W$14/$F23,0)*$E$6)+ (ROUNDUP(W$14/$F23,0)*$D$11))*(1+$D$7))</f>
        <v>571000</v>
      </c>
      <c r="X23" s="7">
        <f>LamChanHangNgan((PhiMayCatDecalTron(X$14,$D23)+ PhiMayInToner4M_Recoh(ROUNDUP(X$14/$F23,0)*$E$6)+ (ROUNDUP(X$14/$F23,0)*$D$11))*(1+$D$7))</f>
        <v>623000</v>
      </c>
      <c r="Y23" s="7">
        <f>LamChanHangNgan((PhiMayCatDecalTron(Y$14,$D23)+ PhiMayInToner4M_Recoh(ROUNDUP(Y$14/$F23,0)*$E$6)+ (ROUNDUP(Y$14/$F23,0)*$D$11))*(1+$D$7))</f>
        <v>1151000</v>
      </c>
    </row>
    <row r="24" spans="1:25" x14ac:dyDescent="0.4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3">
        <f t="shared" si="5"/>
        <v>30</v>
      </c>
      <c r="G24" s="7">
        <f>LamChanHangNgan((PhiMayCatDecalTron(G$14,$D24)+ PhiMayInToner4M_Recoh(ROUNDUP(G$14/$F24,0)*$E$6)+ (ROUNDUP(G$14/$F24,0)*$D$11))*(1+$D$7))</f>
        <v>109000</v>
      </c>
      <c r="H24" s="7">
        <f>LamChanHangNgan((PhiMayCatDecalTron(H$14,$D24)+ PhiMayInToner4M_Recoh(ROUNDUP(H$14/$F24,0)*$E$6)+ (ROUNDUP(H$14/$F24,0)*$D$11))*(1+$D$7))</f>
        <v>120000</v>
      </c>
      <c r="I24" s="7">
        <f>LamChanHangNgan((PhiMayCatDecalTron(I$14,$D24)+ PhiMayInToner4M_Recoh(ROUNDUP(I$14/$F24,0)*$E$6)+ (ROUNDUP(I$14/$F24,0)*$D$11))*(1+$D$7))</f>
        <v>131000</v>
      </c>
      <c r="J24" s="7">
        <f>LamChanHangNgan((PhiMayCatDecalTron(J$14,$D24)+ PhiMayInToner4M_Recoh(ROUNDUP(J$14/$F24,0)*$E$6)+ (ROUNDUP(J$14/$F24,0)*$D$11))*(1+$D$7))</f>
        <v>146000</v>
      </c>
      <c r="K24" s="7">
        <f>LamChanHangNgan((PhiMayCatDecalTron(K$14,$D24)+ PhiMayInToner4M_Recoh(ROUNDUP(K$14/$F24,0)*$E$6)+ (ROUNDUP(K$14/$F24,0)*$D$11))*(1+$D$7))</f>
        <v>157000</v>
      </c>
      <c r="L24" s="7">
        <f>LamChanHangNgan((PhiMayCatDecalTron(L$14,$D24)+ PhiMayInToner4M_Recoh(ROUNDUP(L$14/$F24,0)*$E$6)+ (ROUNDUP(L$14/$F24,0)*$D$11))*(1+$D$7))</f>
        <v>168000</v>
      </c>
      <c r="M24" s="7">
        <f>LamChanHangNgan((PhiMayCatDecalTron(M$14,$D24)+ PhiMayInToner4M_Recoh(ROUNDUP(M$14/$F24,0)*$E$6)+ (ROUNDUP(M$14/$F24,0)*$D$11))*(1+$D$7))</f>
        <v>183000</v>
      </c>
      <c r="N24" s="7">
        <f>LamChanHangNgan((PhiMayCatDecalTron(N$14,$D24)+ PhiMayInToner4M_Recoh(ROUNDUP(N$14/$F24,0)*$E$6)+ (ROUNDUP(N$14/$F24,0)*$D$11))*(1+$D$7))</f>
        <v>194000</v>
      </c>
      <c r="O24" s="7">
        <f>LamChanHangNgan((PhiMayCatDecalTron(O$14,$D24)+ PhiMayInToner4M_Recoh(ROUNDUP(O$14/$F24,0)*$E$6)+ (ROUNDUP(O$14/$F24,0)*$D$11))*(1+$D$7))</f>
        <v>205000</v>
      </c>
      <c r="P24" s="7">
        <f>LamChanHangNgan((PhiMayCatDecalTron(P$14,$D24)+ PhiMayInToner4M_Recoh(ROUNDUP(P$14/$F24,0)*$E$6)+ (ROUNDUP(P$14/$F24,0)*$D$11))*(1+$D$7))</f>
        <v>219000</v>
      </c>
      <c r="Q24" s="7">
        <f>LamChanHangNgan((PhiMayCatDecalTron(Q$14,$D24)+ PhiMayInToner4M_Recoh(ROUNDUP(Q$14/$F24,0)*$E$6)+ (ROUNDUP(Q$14/$F24,0)*$D$11))*(1+$D$7))</f>
        <v>278000</v>
      </c>
      <c r="R24" s="7">
        <f>LamChanHangNgan((PhiMayCatDecalTron(R$14,$D24)+ PhiMayInToner4M_Recoh(ROUNDUP(R$14/$F24,0)*$E$6)+ (ROUNDUP(R$14/$F24,0)*$D$11))*(1+$D$7))</f>
        <v>341000</v>
      </c>
      <c r="S24" s="7">
        <f>LamChanHangNgan((PhiMayCatDecalTron(S$14,$D24)+ PhiMayInToner4M_Recoh(ROUNDUP(S$14/$F24,0)*$E$6)+ (ROUNDUP(S$14/$F24,0)*$D$11))*(1+$D$7))</f>
        <v>404000</v>
      </c>
      <c r="T24" s="7">
        <f>LamChanHangNgan((PhiMayCatDecalTron(T$14,$D24)+ PhiMayInToner4M_Recoh(ROUNDUP(T$14/$F24,0)*$E$6)+ (ROUNDUP(T$14/$F24,0)*$D$11))*(1+$D$7))</f>
        <v>463000</v>
      </c>
      <c r="U24" s="7">
        <f>LamChanHangNgan((PhiMayCatDecalTron(U$14,$D24)+ PhiMayInToner4M_Recoh(ROUNDUP(U$14/$F24,0)*$E$6)+ (ROUNDUP(U$14/$F24,0)*$D$11))*(1+$D$7))</f>
        <v>525000</v>
      </c>
      <c r="V24" s="7">
        <f>LamChanHangNgan((PhiMayCatDecalTron(V$14,$D24)+ PhiMayInToner4M_Recoh(ROUNDUP(V$14/$F24,0)*$E$6)+ (ROUNDUP(V$14/$F24,0)*$D$11))*(1+$D$7))</f>
        <v>588000</v>
      </c>
      <c r="W24" s="7">
        <f>LamChanHangNgan((PhiMayCatDecalTron(W$14,$D24)+ PhiMayInToner4M_Recoh(ROUNDUP(W$14/$F24,0)*$E$6)+ (ROUNDUP(W$14/$F24,0)*$D$11))*(1+$D$7))</f>
        <v>647000</v>
      </c>
      <c r="X24" s="7">
        <f>LamChanHangNgan((PhiMayCatDecalTron(X$14,$D24)+ PhiMayInToner4M_Recoh(ROUNDUP(X$14/$F24,0)*$E$6)+ (ROUNDUP(X$14/$F24,0)*$D$11))*(1+$D$7))</f>
        <v>709000</v>
      </c>
      <c r="Y24" s="7">
        <f>LamChanHangNgan((PhiMayCatDecalTron(Y$14,$D24)+ PhiMayInToner4M_Recoh(ROUNDUP(Y$14/$F24,0)*$E$6)+ (ROUNDUP(Y$14/$F24,0)*$D$11))*(1+$D$7))</f>
        <v>1324000</v>
      </c>
    </row>
    <row r="25" spans="1:25" x14ac:dyDescent="0.4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3">
        <f t="shared" si="5"/>
        <v>24</v>
      </c>
      <c r="G25" s="7">
        <f>LamChanHangNgan((PhiMayCatDecalTron(G$14,$D25)+ PhiMayInToner4M_Recoh(ROUNDUP(G$14/$F25,0)*$E$6)+ (ROUNDUP(G$14/$F25,0)*$D$11))*(1+$D$7))</f>
        <v>112000</v>
      </c>
      <c r="H25" s="7">
        <f>LamChanHangNgan((PhiMayCatDecalTron(H$14,$D25)+ PhiMayInToner4M_Recoh(ROUNDUP(H$14/$F25,0)*$E$6)+ (ROUNDUP(H$14/$F25,0)*$D$11))*(1+$D$7))</f>
        <v>127000</v>
      </c>
      <c r="I25" s="7">
        <f>LamChanHangNgan((PhiMayCatDecalTron(I$14,$D25)+ PhiMayInToner4M_Recoh(ROUNDUP(I$14/$F25,0)*$E$6)+ (ROUNDUP(I$14/$F25,0)*$D$11))*(1+$D$7))</f>
        <v>142000</v>
      </c>
      <c r="J25" s="7">
        <f>LamChanHangNgan((PhiMayCatDecalTron(J$14,$D25)+ PhiMayInToner4M_Recoh(ROUNDUP(J$14/$F25,0)*$E$6)+ (ROUNDUP(J$14/$F25,0)*$D$11))*(1+$D$7))</f>
        <v>156000</v>
      </c>
      <c r="K25" s="7">
        <f>LamChanHangNgan((PhiMayCatDecalTron(K$14,$D25)+ PhiMayInToner4M_Recoh(ROUNDUP(K$14/$F25,0)*$E$6)+ (ROUNDUP(K$14/$F25,0)*$D$11))*(1+$D$7))</f>
        <v>171000</v>
      </c>
      <c r="L25" s="7">
        <f>LamChanHangNgan((PhiMayCatDecalTron(L$14,$D25)+ PhiMayInToner4M_Recoh(ROUNDUP(L$14/$F25,0)*$E$6)+ (ROUNDUP(L$14/$F25,0)*$D$11))*(1+$D$7))</f>
        <v>186000</v>
      </c>
      <c r="M25" s="7">
        <f>LamChanHangNgan((PhiMayCatDecalTron(M$14,$D25)+ PhiMayInToner4M_Recoh(ROUNDUP(M$14/$F25,0)*$E$6)+ (ROUNDUP(M$14/$F25,0)*$D$11))*(1+$D$7))</f>
        <v>204000</v>
      </c>
      <c r="N25" s="7">
        <f>LamChanHangNgan((PhiMayCatDecalTron(N$14,$D25)+ PhiMayInToner4M_Recoh(ROUNDUP(N$14/$F25,0)*$E$6)+ (ROUNDUP(N$14/$F25,0)*$D$11))*(1+$D$7))</f>
        <v>219000</v>
      </c>
      <c r="O25" s="7">
        <f>LamChanHangNgan((PhiMayCatDecalTron(O$14,$D25)+ PhiMayInToner4M_Recoh(ROUNDUP(O$14/$F25,0)*$E$6)+ (ROUNDUP(O$14/$F25,0)*$D$11))*(1+$D$7))</f>
        <v>233000</v>
      </c>
      <c r="P25" s="7">
        <f>LamChanHangNgan((PhiMayCatDecalTron(P$14,$D25)+ PhiMayInToner4M_Recoh(ROUNDUP(P$14/$F25,0)*$E$6)+ (ROUNDUP(P$14/$F25,0)*$D$11))*(1+$D$7))</f>
        <v>248000</v>
      </c>
      <c r="Q25" s="7">
        <f>LamChanHangNgan((PhiMayCatDecalTron(Q$14,$D25)+ PhiMayInToner4M_Recoh(ROUNDUP(Q$14/$F25,0)*$E$6)+ (ROUNDUP(Q$14/$F25,0)*$D$11))*(1+$D$7))</f>
        <v>325000</v>
      </c>
      <c r="R25" s="7">
        <f>LamChanHangNgan((PhiMayCatDecalTron(R$14,$D25)+ PhiMayInToner4M_Recoh(ROUNDUP(R$14/$F25,0)*$E$6)+ (ROUNDUP(R$14/$F25,0)*$D$11))*(1+$D$7))</f>
        <v>401000</v>
      </c>
      <c r="S25" s="7">
        <f>LamChanHangNgan((PhiMayCatDecalTron(S$14,$D25)+ PhiMayInToner4M_Recoh(ROUNDUP(S$14/$F25,0)*$E$6)+ (ROUNDUP(S$14/$F25,0)*$D$11))*(1+$D$7))</f>
        <v>478000</v>
      </c>
      <c r="T25" s="7">
        <f>LamChanHangNgan((PhiMayCatDecalTron(T$14,$D25)+ PhiMayInToner4M_Recoh(ROUNDUP(T$14/$F25,0)*$E$6)+ (ROUNDUP(T$14/$F25,0)*$D$11))*(1+$D$7))</f>
        <v>551000</v>
      </c>
      <c r="U25" s="7">
        <f>LamChanHangNgan((PhiMayCatDecalTron(U$14,$D25)+ PhiMayInToner4M_Recoh(ROUNDUP(U$14/$F25,0)*$E$6)+ (ROUNDUP(U$14/$F25,0)*$D$11))*(1+$D$7))</f>
        <v>628000</v>
      </c>
      <c r="V25" s="7">
        <f>LamChanHangNgan((PhiMayCatDecalTron(V$14,$D25)+ PhiMayInToner4M_Recoh(ROUNDUP(V$14/$F25,0)*$E$6)+ (ROUNDUP(V$14/$F25,0)*$D$11))*(1+$D$7))</f>
        <v>705000</v>
      </c>
      <c r="W25" s="7">
        <f>LamChanHangNgan((PhiMayCatDecalTron(W$14,$D25)+ PhiMayInToner4M_Recoh(ROUNDUP(W$14/$F25,0)*$E$6)+ (ROUNDUP(W$14/$F25,0)*$D$11))*(1+$D$7))</f>
        <v>782000</v>
      </c>
      <c r="X25" s="7">
        <f>LamChanHangNgan((PhiMayCatDecalTron(X$14,$D25)+ PhiMayInToner4M_Recoh(ROUNDUP(X$14/$F25,0)*$E$6)+ (ROUNDUP(X$14/$F25,0)*$D$11))*(1+$D$7))</f>
        <v>859000</v>
      </c>
      <c r="Y25" s="7">
        <f>LamChanHangNgan((PhiMayCatDecalTron(Y$14,$D25)+ PhiMayInToner4M_Recoh(ROUNDUP(Y$14/$F25,0)*$E$6)+ (ROUNDUP(Y$14/$F25,0)*$D$11))*(1+$D$7))</f>
        <v>1619000</v>
      </c>
    </row>
    <row r="26" spans="1:25" x14ac:dyDescent="0.4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3">
        <f t="shared" si="5"/>
        <v>20</v>
      </c>
      <c r="G26" s="7">
        <f>LamChanHangNgan((PhiMayCatDecalTron(G$14,$D26)+ PhiMayInToner4M_Recoh(ROUNDUP(G$14/$F26,0)*$E$6)+ (ROUNDUP(G$14/$F26,0)*$D$11))*(1+$D$7))</f>
        <v>112000</v>
      </c>
      <c r="H26" s="7">
        <f>LamChanHangNgan((PhiMayCatDecalTron(H$14,$D26)+ PhiMayInToner4M_Recoh(ROUNDUP(H$14/$F26,0)*$E$6)+ (ROUNDUP(H$14/$F26,0)*$D$11))*(1+$D$7))</f>
        <v>131000</v>
      </c>
      <c r="I26" s="7">
        <f>LamChanHangNgan((PhiMayCatDecalTron(I$14,$D26)+ PhiMayInToner4M_Recoh(ROUNDUP(I$14/$F26,0)*$E$6)+ (ROUNDUP(I$14/$F26,0)*$D$11))*(1+$D$7))</f>
        <v>149000</v>
      </c>
      <c r="J26" s="7">
        <f>LamChanHangNgan((PhiMayCatDecalTron(J$14,$D26)+ PhiMayInToner4M_Recoh(ROUNDUP(J$14/$F26,0)*$E$6)+ (ROUNDUP(J$14/$F26,0)*$D$11))*(1+$D$7))</f>
        <v>167000</v>
      </c>
      <c r="K26" s="7">
        <f>LamChanHangNgan((PhiMayCatDecalTron(K$14,$D26)+ PhiMayInToner4M_Recoh(ROUNDUP(K$14/$F26,0)*$E$6)+ (ROUNDUP(K$14/$F26,0)*$D$11))*(1+$D$7))</f>
        <v>185000</v>
      </c>
      <c r="L26" s="7">
        <f>LamChanHangNgan((PhiMayCatDecalTron(L$14,$D26)+ PhiMayInToner4M_Recoh(ROUNDUP(L$14/$F26,0)*$E$6)+ (ROUNDUP(L$14/$F26,0)*$D$11))*(1+$D$7))</f>
        <v>203000</v>
      </c>
      <c r="M26" s="7">
        <f>LamChanHangNgan((PhiMayCatDecalTron(M$14,$D26)+ PhiMayInToner4M_Recoh(ROUNDUP(M$14/$F26,0)*$E$6)+ (ROUNDUP(M$14/$F26,0)*$D$11))*(1+$D$7))</f>
        <v>222000</v>
      </c>
      <c r="N26" s="7">
        <f>LamChanHangNgan((PhiMayCatDecalTron(N$14,$D26)+ PhiMayInToner4M_Recoh(ROUNDUP(N$14/$F26,0)*$E$6)+ (ROUNDUP(N$14/$F26,0)*$D$11))*(1+$D$7))</f>
        <v>240000</v>
      </c>
      <c r="O26" s="7">
        <f>LamChanHangNgan((PhiMayCatDecalTron(O$14,$D26)+ PhiMayInToner4M_Recoh(ROUNDUP(O$14/$F26,0)*$E$6)+ (ROUNDUP(O$14/$F26,0)*$D$11))*(1+$D$7))</f>
        <v>258000</v>
      </c>
      <c r="P26" s="7">
        <f>LamChanHangNgan((PhiMayCatDecalTron(P$14,$D26)+ PhiMayInToner4M_Recoh(ROUNDUP(P$14/$F26,0)*$E$6)+ (ROUNDUP(P$14/$F26,0)*$D$11))*(1+$D$7))</f>
        <v>276000</v>
      </c>
      <c r="Q26" s="7">
        <f>LamChanHangNgan((PhiMayCatDecalTron(Q$14,$D26)+ PhiMayInToner4M_Recoh(ROUNDUP(Q$14/$F26,0)*$E$6)+ (ROUNDUP(Q$14/$F26,0)*$D$11))*(1+$D$7))</f>
        <v>367000</v>
      </c>
      <c r="R26" s="7">
        <f>LamChanHangNgan((PhiMayCatDecalTron(R$14,$D26)+ PhiMayInToner4M_Recoh(ROUNDUP(R$14/$F26,0)*$E$6)+ (ROUNDUP(R$14/$F26,0)*$D$11))*(1+$D$7))</f>
        <v>458000</v>
      </c>
      <c r="S26" s="7">
        <f>LamChanHangNgan((PhiMayCatDecalTron(S$14,$D26)+ PhiMayInToner4M_Recoh(ROUNDUP(S$14/$F26,0)*$E$6)+ (ROUNDUP(S$14/$F26,0)*$D$11))*(1+$D$7))</f>
        <v>549000</v>
      </c>
      <c r="T26" s="7">
        <f>LamChanHangNgan((PhiMayCatDecalTron(T$14,$D26)+ PhiMayInToner4M_Recoh(ROUNDUP(T$14/$F26,0)*$E$6)+ (ROUNDUP(T$14/$F26,0)*$D$11))*(1+$D$7))</f>
        <v>640000</v>
      </c>
      <c r="U26" s="7">
        <f>LamChanHangNgan((PhiMayCatDecalTron(U$14,$D26)+ PhiMayInToner4M_Recoh(ROUNDUP(U$14/$F26,0)*$E$6)+ (ROUNDUP(U$14/$F26,0)*$D$11))*(1+$D$7))</f>
        <v>731000</v>
      </c>
      <c r="V26" s="7">
        <f>LamChanHangNgan((PhiMayCatDecalTron(V$14,$D26)+ PhiMayInToner4M_Recoh(ROUNDUP(V$14/$F26,0)*$E$6)+ (ROUNDUP(V$14/$F26,0)*$D$11))*(1+$D$7))</f>
        <v>822000</v>
      </c>
      <c r="W26" s="7">
        <f>LamChanHangNgan((PhiMayCatDecalTron(W$14,$D26)+ PhiMayInToner4M_Recoh(ROUNDUP(W$14/$F26,0)*$E$6)+ (ROUNDUP(W$14/$F26,0)*$D$11))*(1+$D$7))</f>
        <v>913000</v>
      </c>
      <c r="X26" s="7">
        <f>LamChanHangNgan((PhiMayCatDecalTron(X$14,$D26)+ PhiMayInToner4M_Recoh(ROUNDUP(X$14/$F26,0)*$E$6)+ (ROUNDUP(X$14/$F26,0)*$D$11))*(1+$D$7))</f>
        <v>1004000</v>
      </c>
      <c r="Y26" s="7">
        <f>LamChanHangNgan((PhiMayCatDecalTron(Y$14,$D26)+ PhiMayInToner4M_Recoh(ROUNDUP(Y$14/$F26,0)*$E$6)+ (ROUNDUP(Y$14/$F26,0)*$D$11))*(1+$D$7))</f>
        <v>1914000</v>
      </c>
    </row>
    <row r="27" spans="1:25" x14ac:dyDescent="0.4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3">
        <f t="shared" si="5"/>
        <v>20</v>
      </c>
      <c r="G27" s="7">
        <f>LamChanHangNgan((PhiMayCatDecalTron(G$14,$D27)+ PhiMayInToner4M_Recoh(ROUNDUP(G$14/$F27,0)*$E$6)+ (ROUNDUP(G$14/$F27,0)*$D$11))*(1+$D$7))</f>
        <v>113000</v>
      </c>
      <c r="H27" s="7">
        <f>LamChanHangNgan((PhiMayCatDecalTron(H$14,$D27)+ PhiMayInToner4M_Recoh(ROUNDUP(H$14/$F27,0)*$E$6)+ (ROUNDUP(H$14/$F27,0)*$D$11))*(1+$D$7))</f>
        <v>131000</v>
      </c>
      <c r="I27" s="7">
        <f>LamChanHangNgan((PhiMayCatDecalTron(I$14,$D27)+ PhiMayInToner4M_Recoh(ROUNDUP(I$14/$F27,0)*$E$6)+ (ROUNDUP(I$14/$F27,0)*$D$11))*(1+$D$7))</f>
        <v>149000</v>
      </c>
      <c r="J27" s="7">
        <f>LamChanHangNgan((PhiMayCatDecalTron(J$14,$D27)+ PhiMayInToner4M_Recoh(ROUNDUP(J$14/$F27,0)*$E$6)+ (ROUNDUP(J$14/$F27,0)*$D$11))*(1+$D$7))</f>
        <v>167000</v>
      </c>
      <c r="K27" s="7">
        <f>LamChanHangNgan((PhiMayCatDecalTron(K$14,$D27)+ PhiMayInToner4M_Recoh(ROUNDUP(K$14/$F27,0)*$E$6)+ (ROUNDUP(K$14/$F27,0)*$D$11))*(1+$D$7))</f>
        <v>186000</v>
      </c>
      <c r="L27" s="7">
        <f>LamChanHangNgan((PhiMayCatDecalTron(L$14,$D27)+ PhiMayInToner4M_Recoh(ROUNDUP(L$14/$F27,0)*$E$6)+ (ROUNDUP(L$14/$F27,0)*$D$11))*(1+$D$7))</f>
        <v>204000</v>
      </c>
      <c r="M27" s="7">
        <f>LamChanHangNgan((PhiMayCatDecalTron(M$14,$D27)+ PhiMayInToner4M_Recoh(ROUNDUP(M$14/$F27,0)*$E$6)+ (ROUNDUP(M$14/$F27,0)*$D$11))*(1+$D$7))</f>
        <v>222000</v>
      </c>
      <c r="N27" s="7">
        <f>LamChanHangNgan((PhiMayCatDecalTron(N$14,$D27)+ PhiMayInToner4M_Recoh(ROUNDUP(N$14/$F27,0)*$E$6)+ (ROUNDUP(N$14/$F27,0)*$D$11))*(1+$D$7))</f>
        <v>240000</v>
      </c>
      <c r="O27" s="7">
        <f>LamChanHangNgan((PhiMayCatDecalTron(O$14,$D27)+ PhiMayInToner4M_Recoh(ROUNDUP(O$14/$F27,0)*$E$6)+ (ROUNDUP(O$14/$F27,0)*$D$11))*(1+$D$7))</f>
        <v>259000</v>
      </c>
      <c r="P27" s="7">
        <f>LamChanHangNgan((PhiMayCatDecalTron(P$14,$D27)+ PhiMayInToner4M_Recoh(ROUNDUP(P$14/$F27,0)*$E$6)+ (ROUNDUP(P$14/$F27,0)*$D$11))*(1+$D$7))</f>
        <v>277000</v>
      </c>
      <c r="Q27" s="7">
        <f>LamChanHangNgan((PhiMayCatDecalTron(Q$14,$D27)+ PhiMayInToner4M_Recoh(ROUNDUP(Q$14/$F27,0)*$E$6)+ (ROUNDUP(Q$14/$F27,0)*$D$11))*(1+$D$7))</f>
        <v>368000</v>
      </c>
      <c r="R27" s="7">
        <f>LamChanHangNgan((PhiMayCatDecalTron(R$14,$D27)+ PhiMayInToner4M_Recoh(ROUNDUP(R$14/$F27,0)*$E$6)+ (ROUNDUP(R$14/$F27,0)*$D$11))*(1+$D$7))</f>
        <v>459000</v>
      </c>
      <c r="S27" s="7">
        <f>LamChanHangNgan((PhiMayCatDecalTron(S$14,$D27)+ PhiMayInToner4M_Recoh(ROUNDUP(S$14/$F27,0)*$E$6)+ (ROUNDUP(S$14/$F27,0)*$D$11))*(1+$D$7))</f>
        <v>551000</v>
      </c>
      <c r="T27" s="7">
        <f>LamChanHangNgan((PhiMayCatDecalTron(T$14,$D27)+ PhiMayInToner4M_Recoh(ROUNDUP(T$14/$F27,0)*$E$6)+ (ROUNDUP(T$14/$F27,0)*$D$11))*(1+$D$7))</f>
        <v>642000</v>
      </c>
      <c r="U27" s="7">
        <f>LamChanHangNgan((PhiMayCatDecalTron(U$14,$D27)+ PhiMayInToner4M_Recoh(ROUNDUP(U$14/$F27,0)*$E$6)+ (ROUNDUP(U$14/$F27,0)*$D$11))*(1+$D$7))</f>
        <v>733000</v>
      </c>
      <c r="V27" s="7">
        <f>LamChanHangNgan((PhiMayCatDecalTron(V$14,$D27)+ PhiMayInToner4M_Recoh(ROUNDUP(V$14/$F27,0)*$E$6)+ (ROUNDUP(V$14/$F27,0)*$D$11))*(1+$D$7))</f>
        <v>824000</v>
      </c>
      <c r="W27" s="7">
        <f>LamChanHangNgan((PhiMayCatDecalTron(W$14,$D27)+ PhiMayInToner4M_Recoh(ROUNDUP(W$14/$F27,0)*$E$6)+ (ROUNDUP(W$14/$F27,0)*$D$11))*(1+$D$7))</f>
        <v>916000</v>
      </c>
      <c r="X27" s="7">
        <f>LamChanHangNgan((PhiMayCatDecalTron(X$14,$D27)+ PhiMayInToner4M_Recoh(ROUNDUP(X$14/$F27,0)*$E$6)+ (ROUNDUP(X$14/$F27,0)*$D$11))*(1+$D$7))</f>
        <v>1007000</v>
      </c>
      <c r="Y27" s="7">
        <f>LamChanHangNgan((PhiMayCatDecalTron(Y$14,$D27)+ PhiMayInToner4M_Recoh(ROUNDUP(Y$14/$F27,0)*$E$6)+ (ROUNDUP(Y$14/$F27,0)*$D$11))*(1+$D$7))</f>
        <v>1920000</v>
      </c>
    </row>
    <row r="28" spans="1:25" x14ac:dyDescent="0.4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3">
        <f t="shared" si="5"/>
        <v>20</v>
      </c>
      <c r="G28" s="7">
        <f>LamChanHangNgan((PhiMayCatDecalTron(G$14,$D28)+ PhiMayInToner4M_Recoh(ROUNDUP(G$14/$F28,0)*$E$6)+ (ROUNDUP(G$14/$F28,0)*$D$11))*(1+$D$7))</f>
        <v>113000</v>
      </c>
      <c r="H28" s="7">
        <f>LamChanHangNgan((PhiMayCatDecalTron(H$14,$D28)+ PhiMayInToner4M_Recoh(ROUNDUP(H$14/$F28,0)*$E$6)+ (ROUNDUP(H$14/$F28,0)*$D$11))*(1+$D$7))</f>
        <v>131000</v>
      </c>
      <c r="I28" s="7">
        <f>LamChanHangNgan((PhiMayCatDecalTron(I$14,$D28)+ PhiMayInToner4M_Recoh(ROUNDUP(I$14/$F28,0)*$E$6)+ (ROUNDUP(I$14/$F28,0)*$D$11))*(1+$D$7))</f>
        <v>149000</v>
      </c>
      <c r="J28" s="7">
        <f>LamChanHangNgan((PhiMayCatDecalTron(J$14,$D28)+ PhiMayInToner4M_Recoh(ROUNDUP(J$14/$F28,0)*$E$6)+ (ROUNDUP(J$14/$F28,0)*$D$11))*(1+$D$7))</f>
        <v>167000</v>
      </c>
      <c r="K28" s="7">
        <f>LamChanHangNgan((PhiMayCatDecalTron(K$14,$D28)+ PhiMayInToner4M_Recoh(ROUNDUP(K$14/$F28,0)*$E$6)+ (ROUNDUP(K$14/$F28,0)*$D$11))*(1+$D$7))</f>
        <v>186000</v>
      </c>
      <c r="L28" s="7">
        <f>LamChanHangNgan((PhiMayCatDecalTron(L$14,$D28)+ PhiMayInToner4M_Recoh(ROUNDUP(L$14/$F28,0)*$E$6)+ (ROUNDUP(L$14/$F28,0)*$D$11))*(1+$D$7))</f>
        <v>204000</v>
      </c>
      <c r="M28" s="7">
        <f>LamChanHangNgan((PhiMayCatDecalTron(M$14,$D28)+ PhiMayInToner4M_Recoh(ROUNDUP(M$14/$F28,0)*$E$6)+ (ROUNDUP(M$14/$F28,0)*$D$11))*(1+$D$7))</f>
        <v>222000</v>
      </c>
      <c r="N28" s="7">
        <f>LamChanHangNgan((PhiMayCatDecalTron(N$14,$D28)+ PhiMayInToner4M_Recoh(ROUNDUP(N$14/$F28,0)*$E$6)+ (ROUNDUP(N$14/$F28,0)*$D$11))*(1+$D$7))</f>
        <v>241000</v>
      </c>
      <c r="O28" s="7">
        <f>LamChanHangNgan((PhiMayCatDecalTron(O$14,$D28)+ PhiMayInToner4M_Recoh(ROUNDUP(O$14/$F28,0)*$E$6)+ (ROUNDUP(O$14/$F28,0)*$D$11))*(1+$D$7))</f>
        <v>259000</v>
      </c>
      <c r="P28" s="7">
        <f>LamChanHangNgan((PhiMayCatDecalTron(P$14,$D28)+ PhiMayInToner4M_Recoh(ROUNDUP(P$14/$F28,0)*$E$6)+ (ROUNDUP(P$14/$F28,0)*$D$11))*(1+$D$7))</f>
        <v>277000</v>
      </c>
      <c r="Q28" s="7">
        <f>LamChanHangNgan((PhiMayCatDecalTron(Q$14,$D28)+ PhiMayInToner4M_Recoh(ROUNDUP(Q$14/$F28,0)*$E$6)+ (ROUNDUP(Q$14/$F28,0)*$D$11))*(1+$D$7))</f>
        <v>368000</v>
      </c>
      <c r="R28" s="7">
        <f>LamChanHangNgan((PhiMayCatDecalTron(R$14,$D28)+ PhiMayInToner4M_Recoh(ROUNDUP(R$14/$F28,0)*$E$6)+ (ROUNDUP(R$14/$F28,0)*$D$11))*(1+$D$7))</f>
        <v>460000</v>
      </c>
      <c r="S28" s="7">
        <f>LamChanHangNgan((PhiMayCatDecalTron(S$14,$D28)+ PhiMayInToner4M_Recoh(ROUNDUP(S$14/$F28,0)*$E$6)+ (ROUNDUP(S$14/$F28,0)*$D$11))*(1+$D$7))</f>
        <v>551000</v>
      </c>
      <c r="T28" s="7">
        <f>LamChanHangNgan((PhiMayCatDecalTron(T$14,$D28)+ PhiMayInToner4M_Recoh(ROUNDUP(T$14/$F28,0)*$E$6)+ (ROUNDUP(T$14/$F28,0)*$D$11))*(1+$D$7))</f>
        <v>643000</v>
      </c>
      <c r="U28" s="7">
        <f>LamChanHangNgan((PhiMayCatDecalTron(U$14,$D28)+ PhiMayInToner4M_Recoh(ROUNDUP(U$14/$F28,0)*$E$6)+ (ROUNDUP(U$14/$F28,0)*$D$11))*(1+$D$7))</f>
        <v>734000</v>
      </c>
      <c r="V28" s="7">
        <f>LamChanHangNgan((PhiMayCatDecalTron(V$14,$D28)+ PhiMayInToner4M_Recoh(ROUNDUP(V$14/$F28,0)*$E$6)+ (ROUNDUP(V$14/$F28,0)*$D$11))*(1+$D$7))</f>
        <v>825000</v>
      </c>
      <c r="W28" s="7">
        <f>LamChanHangNgan((PhiMayCatDecalTron(W$14,$D28)+ PhiMayInToner4M_Recoh(ROUNDUP(W$14/$F28,0)*$E$6)+ (ROUNDUP(W$14/$F28,0)*$D$11))*(1+$D$7))</f>
        <v>917000</v>
      </c>
      <c r="X28" s="7">
        <f>LamChanHangNgan((PhiMayCatDecalTron(X$14,$D28)+ PhiMayInToner4M_Recoh(ROUNDUP(X$14/$F28,0)*$E$6)+ (ROUNDUP(X$14/$F28,0)*$D$11))*(1+$D$7))</f>
        <v>1008000</v>
      </c>
      <c r="Y28" s="7">
        <f>LamChanHangNgan((PhiMayCatDecalTron(Y$14,$D28)+ PhiMayInToner4M_Recoh(ROUNDUP(Y$14/$F28,0)*$E$6)+ (ROUNDUP(Y$14/$F28,0)*$D$11))*(1+$D$7))</f>
        <v>1922000</v>
      </c>
    </row>
    <row r="29" spans="1:25" x14ac:dyDescent="0.4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3">
        <f t="shared" si="5"/>
        <v>16</v>
      </c>
      <c r="G29" s="7">
        <f>LamChanHangNgan((PhiMayCatDecalTron(G$14,$D29)+ PhiMayInToner4M_Recoh(ROUNDUP(G$14/$F29,0)*$E$6)+ (ROUNDUP(G$14/$F29,0)*$D$11))*(1+$D$7))</f>
        <v>120000</v>
      </c>
      <c r="H29" s="7">
        <f>LamChanHangNgan((PhiMayCatDecalTron(H$14,$D29)+ PhiMayInToner4M_Recoh(ROUNDUP(H$14/$F29,0)*$E$6)+ (ROUNDUP(H$14/$F29,0)*$D$11))*(1+$D$7))</f>
        <v>141000</v>
      </c>
      <c r="I29" s="7">
        <f>LamChanHangNgan((PhiMayCatDecalTron(I$14,$D29)+ PhiMayInToner4M_Recoh(ROUNDUP(I$14/$F29,0)*$E$6)+ (ROUNDUP(I$14/$F29,0)*$D$11))*(1+$D$7))</f>
        <v>163000</v>
      </c>
      <c r="J29" s="7">
        <f>LamChanHangNgan((PhiMayCatDecalTron(J$14,$D29)+ PhiMayInToner4M_Recoh(ROUNDUP(J$14/$F29,0)*$E$6)+ (ROUNDUP(J$14/$F29,0)*$D$11))*(1+$D$7))</f>
        <v>185000</v>
      </c>
      <c r="K29" s="7">
        <f>LamChanHangNgan((PhiMayCatDecalTron(K$14,$D29)+ PhiMayInToner4M_Recoh(ROUNDUP(K$14/$F29,0)*$E$6)+ (ROUNDUP(K$14/$F29,0)*$D$11))*(1+$D$7))</f>
        <v>210000</v>
      </c>
      <c r="L29" s="7">
        <f>LamChanHangNgan((PhiMayCatDecalTron(L$14,$D29)+ PhiMayInToner4M_Recoh(ROUNDUP(L$14/$F29,0)*$E$6)+ (ROUNDUP(L$14/$F29,0)*$D$11))*(1+$D$7))</f>
        <v>232000</v>
      </c>
      <c r="M29" s="7">
        <f>LamChanHangNgan((PhiMayCatDecalTron(M$14,$D29)+ PhiMayInToner4M_Recoh(ROUNDUP(M$14/$F29,0)*$E$6)+ (ROUNDUP(M$14/$F29,0)*$D$11))*(1+$D$7))</f>
        <v>254000</v>
      </c>
      <c r="N29" s="7">
        <f>LamChanHangNgan((PhiMayCatDecalTron(N$14,$D29)+ PhiMayInToner4M_Recoh(ROUNDUP(N$14/$F29,0)*$E$6)+ (ROUNDUP(N$14/$F29,0)*$D$11))*(1+$D$7))</f>
        <v>276000</v>
      </c>
      <c r="O29" s="7">
        <f>LamChanHangNgan((PhiMayCatDecalTron(O$14,$D29)+ PhiMayInToner4M_Recoh(ROUNDUP(O$14/$F29,0)*$E$6)+ (ROUNDUP(O$14/$F29,0)*$D$11))*(1+$D$7))</f>
        <v>301000</v>
      </c>
      <c r="P29" s="7">
        <f>LamChanHangNgan((PhiMayCatDecalTron(P$14,$D29)+ PhiMayInToner4M_Recoh(ROUNDUP(P$14/$F29,0)*$E$6)+ (ROUNDUP(P$14/$F29,0)*$D$11))*(1+$D$7))</f>
        <v>323000</v>
      </c>
      <c r="Q29" s="7">
        <f>LamChanHangNgan((PhiMayCatDecalTron(Q$14,$D29)+ PhiMayInToner4M_Recoh(ROUNDUP(Q$14/$F29,0)*$E$6)+ (ROUNDUP(Q$14/$F29,0)*$D$11))*(1+$D$7))</f>
        <v>435000</v>
      </c>
      <c r="R29" s="7">
        <f>LamChanHangNgan((PhiMayCatDecalTron(R$14,$D29)+ PhiMayInToner4M_Recoh(ROUNDUP(R$14/$F29,0)*$E$6)+ (ROUNDUP(R$14/$F29,0)*$D$11))*(1+$D$7))</f>
        <v>548000</v>
      </c>
      <c r="S29" s="7">
        <f>LamChanHangNgan((PhiMayCatDecalTron(S$14,$D29)+ PhiMayInToner4M_Recoh(ROUNDUP(S$14/$F29,0)*$E$6)+ (ROUNDUP(S$14/$F29,0)*$D$11))*(1+$D$7))</f>
        <v>664000</v>
      </c>
      <c r="T29" s="7">
        <f>LamChanHangNgan((PhiMayCatDecalTron(T$14,$D29)+ PhiMayInToner4M_Recoh(ROUNDUP(T$14/$F29,0)*$E$6)+ (ROUNDUP(T$14/$F29,0)*$D$11))*(1+$D$7))</f>
        <v>776000</v>
      </c>
      <c r="U29" s="7">
        <f>LamChanHangNgan((PhiMayCatDecalTron(U$14,$D29)+ PhiMayInToner4M_Recoh(ROUNDUP(U$14/$F29,0)*$E$6)+ (ROUNDUP(U$14/$F29,0)*$D$11))*(1+$D$7))</f>
        <v>889000</v>
      </c>
      <c r="V29" s="7">
        <f>LamChanHangNgan((PhiMayCatDecalTron(V$14,$D29)+ PhiMayInToner4M_Recoh(ROUNDUP(V$14/$F29,0)*$E$6)+ (ROUNDUP(V$14/$F29,0)*$D$11))*(1+$D$7))</f>
        <v>1001000</v>
      </c>
      <c r="W29" s="7">
        <f>LamChanHangNgan((PhiMayCatDecalTron(W$14,$D29)+ PhiMayInToner4M_Recoh(ROUNDUP(W$14/$F29,0)*$E$6)+ (ROUNDUP(W$14/$F29,0)*$D$11))*(1+$D$7))</f>
        <v>1117000</v>
      </c>
      <c r="X29" s="7">
        <f>LamChanHangNgan((PhiMayCatDecalTron(X$14,$D29)+ PhiMayInToner4M_Recoh(ROUNDUP(X$14/$F29,0)*$E$6)+ (ROUNDUP(X$14/$F29,0)*$D$11))*(1+$D$7))</f>
        <v>1229000</v>
      </c>
      <c r="Y29" s="7">
        <f>LamChanHangNgan((PhiMayCatDecalTron(Y$14,$D29)+ PhiMayInToner4M_Recoh(ROUNDUP(Y$14/$F29,0)*$E$6)+ (ROUNDUP(Y$14/$F29,0)*$D$11))*(1+$D$7))</f>
        <v>2361000</v>
      </c>
    </row>
    <row r="30" spans="1:25" x14ac:dyDescent="0.4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3">
        <f t="shared" si="5"/>
        <v>12</v>
      </c>
      <c r="G30" s="7">
        <f>LamChanHangNgan((PhiMayCatDecalTron(G$14,$D30)+ PhiMayInToner4M_Recoh(ROUNDUP(G$14/$F30,0)*$E$6)+ (ROUNDUP(G$14/$F30,0)*$D$11))*(1+$D$7))</f>
        <v>127000</v>
      </c>
      <c r="H30" s="7">
        <f>LamChanHangNgan((PhiMayCatDecalTron(H$14,$D30)+ PhiMayInToner4M_Recoh(ROUNDUP(H$14/$F30,0)*$E$6)+ (ROUNDUP(H$14/$F30,0)*$D$11))*(1+$D$7))</f>
        <v>156000</v>
      </c>
      <c r="I30" s="7">
        <f>LamChanHangNgan((PhiMayCatDecalTron(I$14,$D30)+ PhiMayInToner4M_Recoh(ROUNDUP(I$14/$F30,0)*$E$6)+ (ROUNDUP(I$14/$F30,0)*$D$11))*(1+$D$7))</f>
        <v>184000</v>
      </c>
      <c r="J30" s="7">
        <f>LamChanHangNgan((PhiMayCatDecalTron(J$14,$D30)+ PhiMayInToner4M_Recoh(ROUNDUP(J$14/$F30,0)*$E$6)+ (ROUNDUP(J$14/$F30,0)*$D$11))*(1+$D$7))</f>
        <v>217000</v>
      </c>
      <c r="K30" s="7">
        <f>LamChanHangNgan((PhiMayCatDecalTron(K$14,$D30)+ PhiMayInToner4M_Recoh(ROUNDUP(K$14/$F30,0)*$E$6)+ (ROUNDUP(K$14/$F30,0)*$D$11))*(1+$D$7))</f>
        <v>246000</v>
      </c>
      <c r="L30" s="7">
        <f>LamChanHangNgan((PhiMayCatDecalTron(L$14,$D30)+ PhiMayInToner4M_Recoh(ROUNDUP(L$14/$F30,0)*$E$6)+ (ROUNDUP(L$14/$F30,0)*$D$11))*(1+$D$7))</f>
        <v>275000</v>
      </c>
      <c r="M30" s="7">
        <f>LamChanHangNgan((PhiMayCatDecalTron(M$14,$D30)+ PhiMayInToner4M_Recoh(ROUNDUP(M$14/$F30,0)*$E$6)+ (ROUNDUP(M$14/$F30,0)*$D$11))*(1+$D$7))</f>
        <v>307000</v>
      </c>
      <c r="N30" s="7">
        <f>LamChanHangNgan((PhiMayCatDecalTron(N$14,$D30)+ PhiMayInToner4M_Recoh(ROUNDUP(N$14/$F30,0)*$E$6)+ (ROUNDUP(N$14/$F30,0)*$D$11))*(1+$D$7))</f>
        <v>336000</v>
      </c>
      <c r="O30" s="7">
        <f>LamChanHangNgan((PhiMayCatDecalTron(O$14,$D30)+ PhiMayInToner4M_Recoh(ROUNDUP(O$14/$F30,0)*$E$6)+ (ROUNDUP(O$14/$F30,0)*$D$11))*(1+$D$7))</f>
        <v>365000</v>
      </c>
      <c r="P30" s="7">
        <f>LamChanHangNgan((PhiMayCatDecalTron(P$14,$D30)+ PhiMayInToner4M_Recoh(ROUNDUP(P$14/$F30,0)*$E$6)+ (ROUNDUP(P$14/$F30,0)*$D$11))*(1+$D$7))</f>
        <v>397000</v>
      </c>
      <c r="Q30" s="7">
        <f>LamChanHangNgan((PhiMayCatDecalTron(Q$14,$D30)+ PhiMayInToner4M_Recoh(ROUNDUP(Q$14/$F30,0)*$E$6)+ (ROUNDUP(Q$14/$F30,0)*$D$11))*(1+$D$7))</f>
        <v>545000</v>
      </c>
      <c r="R30" s="7">
        <f>LamChanHangNgan((PhiMayCatDecalTron(R$14,$D30)+ PhiMayInToner4M_Recoh(ROUNDUP(R$14/$F30,0)*$E$6)+ (ROUNDUP(R$14/$F30,0)*$D$11))*(1+$D$7))</f>
        <v>696000</v>
      </c>
      <c r="S30" s="7">
        <f>LamChanHangNgan((PhiMayCatDecalTron(S$14,$D30)+ PhiMayInToner4M_Recoh(ROUNDUP(S$14/$F30,0)*$E$6)+ (ROUNDUP(S$14/$F30,0)*$D$11))*(1+$D$7))</f>
        <v>848000</v>
      </c>
      <c r="T30" s="7">
        <f>LamChanHangNgan((PhiMayCatDecalTron(T$14,$D30)+ PhiMayInToner4M_Recoh(ROUNDUP(T$14/$F30,0)*$E$6)+ (ROUNDUP(T$14/$F30,0)*$D$11))*(1+$D$7))</f>
        <v>996000</v>
      </c>
      <c r="U30" s="7">
        <f>LamChanHangNgan((PhiMayCatDecalTron(U$14,$D30)+ PhiMayInToner4M_Recoh(ROUNDUP(U$14/$F30,0)*$E$6)+ (ROUNDUP(U$14/$F30,0)*$D$11))*(1+$D$7))</f>
        <v>1147000</v>
      </c>
      <c r="V30" s="7">
        <f>LamChanHangNgan((PhiMayCatDecalTron(V$14,$D30)+ PhiMayInToner4M_Recoh(ROUNDUP(V$14/$F30,0)*$E$6)+ (ROUNDUP(V$14/$F30,0)*$D$11))*(1+$D$7))</f>
        <v>1298000</v>
      </c>
      <c r="W30" s="7">
        <f>LamChanHangNgan((PhiMayCatDecalTron(W$14,$D30)+ PhiMayInToner4M_Recoh(ROUNDUP(W$14/$F30,0)*$E$6)+ (ROUNDUP(W$14/$F30,0)*$D$11))*(1+$D$7))</f>
        <v>1446000</v>
      </c>
      <c r="X30" s="7">
        <f>LamChanHangNgan((PhiMayCatDecalTron(X$14,$D30)+ PhiMayInToner4M_Recoh(ROUNDUP(X$14/$F30,0)*$E$6)+ (ROUNDUP(X$14/$F30,0)*$D$11))*(1+$D$7))</f>
        <v>1598000</v>
      </c>
      <c r="Y30" s="7">
        <f>LamChanHangNgan((PhiMayCatDecalTron(Y$14,$D30)+ PhiMayInToner4M_Recoh(ROUNDUP(Y$14/$F30,0)*$E$6)+ (ROUNDUP(Y$14/$F30,0)*$D$11))*(1+$D$7))</f>
        <v>3101000</v>
      </c>
    </row>
    <row r="31" spans="1:25" x14ac:dyDescent="0.4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3">
        <f t="shared" si="5"/>
        <v>9</v>
      </c>
      <c r="G31" s="7">
        <f>LamChanHangNgan((PhiMayCatDecalTron(G$14,$D31)+ PhiMayInToner4M_Recoh(ROUNDUP(G$14/$F31,0)*$E$6)+ (ROUNDUP(G$14/$F31,0)*$D$11))*(1+$D$7))</f>
        <v>137000</v>
      </c>
      <c r="H31" s="7">
        <f>LamChanHangNgan((PhiMayCatDecalTron(H$14,$D31)+ PhiMayInToner4M_Recoh(ROUNDUP(H$14/$F31,0)*$E$6)+ (ROUNDUP(H$14/$F31,0)*$D$11))*(1+$D$7))</f>
        <v>177000</v>
      </c>
      <c r="I31" s="7">
        <f>LamChanHangNgan((PhiMayCatDecalTron(I$14,$D31)+ PhiMayInToner4M_Recoh(ROUNDUP(I$14/$F31,0)*$E$6)+ (ROUNDUP(I$14/$F31,0)*$D$11))*(1+$D$7))</f>
        <v>216000</v>
      </c>
      <c r="J31" s="7">
        <f>LamChanHangNgan((PhiMayCatDecalTron(J$14,$D31)+ PhiMayInToner4M_Recoh(ROUNDUP(J$14/$F31,0)*$E$6)+ (ROUNDUP(J$14/$F31,0)*$D$11))*(1+$D$7))</f>
        <v>256000</v>
      </c>
      <c r="K31" s="7">
        <f>LamChanHangNgan((PhiMayCatDecalTron(K$14,$D31)+ PhiMayInToner4M_Recoh(ROUNDUP(K$14/$F31,0)*$E$6)+ (ROUNDUP(K$14/$F31,0)*$D$11))*(1+$D$7))</f>
        <v>295000</v>
      </c>
      <c r="L31" s="7">
        <f>LamChanHangNgan((PhiMayCatDecalTron(L$14,$D31)+ PhiMayInToner4M_Recoh(ROUNDUP(L$14/$F31,0)*$E$6)+ (ROUNDUP(L$14/$F31,0)*$D$11))*(1+$D$7))</f>
        <v>335000</v>
      </c>
      <c r="M31" s="7">
        <f>LamChanHangNgan((PhiMayCatDecalTron(M$14,$D31)+ PhiMayInToner4M_Recoh(ROUNDUP(M$14/$F31,0)*$E$6)+ (ROUNDUP(M$14/$F31,0)*$D$11))*(1+$D$7))</f>
        <v>374000</v>
      </c>
      <c r="N31" s="7">
        <f>LamChanHangNgan((PhiMayCatDecalTron(N$14,$D31)+ PhiMayInToner4M_Recoh(ROUNDUP(N$14/$F31,0)*$E$6)+ (ROUNDUP(N$14/$F31,0)*$D$11))*(1+$D$7))</f>
        <v>413000</v>
      </c>
      <c r="O31" s="7">
        <f>LamChanHangNgan((PhiMayCatDecalTron(O$14,$D31)+ PhiMayInToner4M_Recoh(ROUNDUP(O$14/$F31,0)*$E$6)+ (ROUNDUP(O$14/$F31,0)*$D$11))*(1+$D$7))</f>
        <v>453000</v>
      </c>
      <c r="P31" s="7">
        <f>LamChanHangNgan((PhiMayCatDecalTron(P$14,$D31)+ PhiMayInToner4M_Recoh(ROUNDUP(P$14/$F31,0)*$E$6)+ (ROUNDUP(P$14/$F31,0)*$D$11))*(1+$D$7))</f>
        <v>496000</v>
      </c>
      <c r="Q31" s="7">
        <f>LamChanHangNgan((PhiMayCatDecalTron(Q$14,$D31)+ PhiMayInToner4M_Recoh(ROUNDUP(Q$14/$F31,0)*$E$6)+ (ROUNDUP(Q$14/$F31,0)*$D$11))*(1+$D$7))</f>
        <v>693000</v>
      </c>
      <c r="R31" s="7">
        <f>LamChanHangNgan((PhiMayCatDecalTron(R$14,$D31)+ PhiMayInToner4M_Recoh(ROUNDUP(R$14/$F31,0)*$E$6)+ (ROUNDUP(R$14/$F31,0)*$D$11))*(1+$D$7))</f>
        <v>894000</v>
      </c>
      <c r="S31" s="7">
        <f>LamChanHangNgan((PhiMayCatDecalTron(S$14,$D31)+ PhiMayInToner4M_Recoh(ROUNDUP(S$14/$F31,0)*$E$6)+ (ROUNDUP(S$14/$F31,0)*$D$11))*(1+$D$7))</f>
        <v>1091000</v>
      </c>
      <c r="T31" s="7">
        <f>LamChanHangNgan((PhiMayCatDecalTron(T$14,$D31)+ PhiMayInToner4M_Recoh(ROUNDUP(T$14/$F31,0)*$E$6)+ (ROUNDUP(T$14/$F31,0)*$D$11))*(1+$D$7))</f>
        <v>1292000</v>
      </c>
      <c r="U31" s="7">
        <f>LamChanHangNgan((PhiMayCatDecalTron(U$14,$D31)+ PhiMayInToner4M_Recoh(ROUNDUP(U$14/$F31,0)*$E$6)+ (ROUNDUP(U$14/$F31,0)*$D$11))*(1+$D$7))</f>
        <v>1489000</v>
      </c>
      <c r="V31" s="7">
        <f>LamChanHangNgan((PhiMayCatDecalTron(V$14,$D31)+ PhiMayInToner4M_Recoh(ROUNDUP(V$14/$F31,0)*$E$6)+ (ROUNDUP(V$14/$F31,0)*$D$11))*(1+$D$7))</f>
        <v>1690000</v>
      </c>
      <c r="W31" s="7">
        <f>LamChanHangNgan((PhiMayCatDecalTron(W$14,$D31)+ PhiMayInToner4M_Recoh(ROUNDUP(W$14/$F31,0)*$E$6)+ (ROUNDUP(W$14/$F31,0)*$D$11))*(1+$D$7))</f>
        <v>1887000</v>
      </c>
      <c r="X31" s="7">
        <f>LamChanHangNgan((PhiMayCatDecalTron(X$14,$D31)+ PhiMayInToner4M_Recoh(ROUNDUP(X$14/$F31,0)*$E$6)+ (ROUNDUP(X$14/$F31,0)*$D$11))*(1+$D$7))</f>
        <v>2088000</v>
      </c>
      <c r="Y31" s="7">
        <f>LamChanHangNgan((PhiMayCatDecalTron(Y$14,$D31)+ PhiMayInToner4M_Recoh(ROUNDUP(Y$14/$F31,0)*$E$6)+ (ROUNDUP(Y$14/$F31,0)*$D$11))*(1+$D$7))</f>
        <v>4082000</v>
      </c>
    </row>
    <row r="32" spans="1:25" x14ac:dyDescent="0.45">
      <c r="A32" s="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45">
      <c r="A33" s="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45"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45">
      <c r="A35" t="s">
        <v>473</v>
      </c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45">
      <c r="F36" s="43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45">
      <c r="A37" s="2"/>
      <c r="F37" s="43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45">
      <c r="C38" s="7"/>
      <c r="F38" s="43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45">
      <c r="C39" s="7"/>
      <c r="F39" s="4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45">
      <c r="C40" s="7"/>
      <c r="F40" s="43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O3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4.25" x14ac:dyDescent="0.45"/>
  <cols>
    <col min="1" max="1" width="23.86328125" bestFit="1" customWidth="1"/>
    <col min="2" max="2" width="16.86328125" customWidth="1"/>
    <col min="3" max="3" width="17" customWidth="1"/>
    <col min="4" max="4" width="15.86328125" bestFit="1" customWidth="1"/>
    <col min="5" max="5" width="18.265625" bestFit="1" customWidth="1"/>
    <col min="6" max="6" width="10.86328125" customWidth="1"/>
    <col min="7" max="9" width="15" bestFit="1" customWidth="1"/>
    <col min="10" max="11" width="14.86328125" bestFit="1" customWidth="1"/>
    <col min="12" max="23" width="13.265625" bestFit="1" customWidth="1"/>
    <col min="24" max="25" width="14.86328125" bestFit="1" customWidth="1"/>
  </cols>
  <sheetData>
    <row r="1" spans="1:25" x14ac:dyDescent="0.45">
      <c r="A1" s="1" t="s">
        <v>476</v>
      </c>
      <c r="B1" t="s">
        <v>458</v>
      </c>
    </row>
    <row r="2" spans="1:25" x14ac:dyDescent="0.45">
      <c r="A2" t="s">
        <v>289</v>
      </c>
      <c r="B2" s="35">
        <v>43609</v>
      </c>
    </row>
    <row r="3" spans="1:25" x14ac:dyDescent="0.45">
      <c r="B3" t="s">
        <v>206</v>
      </c>
      <c r="C3" t="s">
        <v>207</v>
      </c>
    </row>
    <row r="4" spans="1:25" x14ac:dyDescent="0.45">
      <c r="A4" t="s">
        <v>276</v>
      </c>
      <c r="B4">
        <v>32</v>
      </c>
      <c r="C4">
        <v>39</v>
      </c>
    </row>
    <row r="5" spans="1:25" ht="28.5" x14ac:dyDescent="0.4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45">
      <c r="A6" t="s">
        <v>287</v>
      </c>
      <c r="D6" s="1">
        <v>1</v>
      </c>
      <c r="E6">
        <v>1</v>
      </c>
    </row>
    <row r="7" spans="1:25" x14ac:dyDescent="0.45">
      <c r="A7" t="s">
        <v>203</v>
      </c>
      <c r="D7" s="37">
        <v>0.75</v>
      </c>
      <c r="E7" s="38" t="s">
        <v>301</v>
      </c>
    </row>
    <row r="8" spans="1:25" x14ac:dyDescent="0.45">
      <c r="B8" t="s">
        <v>283</v>
      </c>
      <c r="C8" t="s">
        <v>284</v>
      </c>
      <c r="D8" t="s">
        <v>286</v>
      </c>
      <c r="E8" t="s">
        <v>285</v>
      </c>
    </row>
    <row r="9" spans="1:25" x14ac:dyDescent="0.4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4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45">
      <c r="A11" t="s">
        <v>455</v>
      </c>
      <c r="B11" t="s">
        <v>456</v>
      </c>
      <c r="D11">
        <v>1250</v>
      </c>
      <c r="E11" s="7"/>
    </row>
    <row r="12" spans="1:25" x14ac:dyDescent="0.45">
      <c r="E12" s="7"/>
    </row>
    <row r="13" spans="1:25" x14ac:dyDescent="0.4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2.75" x14ac:dyDescent="0.4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45">
      <c r="A15" t="s">
        <v>448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3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131000</v>
      </c>
      <c r="J15" s="7">
        <f>LamChanHangNgan((PhiMayCatDecalVuong(J$14,$D15,$E15)+ PhiMayInToner4M(ROUNDUP(J$14/$F15,0)*$E$6)+ (ROUNDUP(J$14/$F15,0)*$D$11))*(1+$D$7))</f>
        <v>131000</v>
      </c>
      <c r="K15" s="7">
        <f>LamChanHangNgan((PhiMayCatDecalVuong(K$14,$D15,$E15)+ PhiMayInToner4M(ROUNDUP(K$14/$F15,0)*$E$6)+ (ROUNDUP(K$14/$F15,0)*$D$11))*(1+$D$7))</f>
        <v>135000</v>
      </c>
      <c r="L15" s="7">
        <f>LamChanHangNgan((PhiMayCatDecalVuong(L$14,$D15,$E15)+ PhiMayInToner4M(ROUNDUP(L$14/$F15,0)*$E$6)+ (ROUNDUP(L$14/$F15,0)*$D$11))*(1+$D$7))</f>
        <v>135000</v>
      </c>
      <c r="M15" s="7">
        <f>LamChanHangNgan((PhiMayCatDecalVuong(M$14,$D15,$E15)+ PhiMayInToner4M(ROUNDUP(M$14/$F15,0)*$E$6)+ (ROUNDUP(M$14/$F15,0)*$D$11))*(1+$D$7))</f>
        <v>135000</v>
      </c>
      <c r="N15" s="7">
        <f>LamChanHangNgan((PhiMayCatDecalVuong(N$14,$D15,$E15)+ PhiMayInToner4M_Recoh(ROUNDUP(N$14/$F15,0)*$E$6)+ (ROUNDUP(N$14/$F15,0)*$D$11))*(1+$D$7))</f>
        <v>110000</v>
      </c>
      <c r="O15" s="7">
        <f>LamChanHangNgan((PhiMayCatDecalVuong(O$14,$D15,$E15)+ PhiMayInToner4M_Recoh(ROUNDUP(O$14/$F15,0)*$E$6)+ (ROUNDUP(O$14/$F15,0)*$D$11))*(1+$D$7))</f>
        <v>110000</v>
      </c>
      <c r="P15" s="7">
        <f>LamChanHangNgan((PhiMayCatDecalVuong(P$14,$D15,$E15)+ PhiMayInToner4M_Recoh(ROUNDUP(P$14/$F15,0)*$E$6)+ (ROUNDUP(P$14/$F15,0)*$D$11))*(1+$D$7))</f>
        <v>114000</v>
      </c>
      <c r="Q15" s="7">
        <f>LamChanHangNgan((PhiMayCatDecalVuong(Q$14,$D15,$E15)+ PhiMayInToner4M_Recoh(ROUNDUP(Q$14/$F15,0)*$E$6)+ (ROUNDUP(Q$14/$F15,0)*$D$11))*(1+$D$7))</f>
        <v>122000</v>
      </c>
      <c r="R15" s="7">
        <f>LamChanHangNgan((PhiMayCatDecalVuong(R$14,$D15,$E15)+ PhiMayInToner4M_Recoh(ROUNDUP(R$14/$F15,0)*$E$6)+ (ROUNDUP(R$14/$F15,0)*$D$11))*(1+$D$7))</f>
        <v>130000</v>
      </c>
      <c r="S15" s="7">
        <f>LamChanHangNgan((PhiMayCatDecalVuong(S$14,$D15,$E15)+ PhiMayInToner4M_Recoh(ROUNDUP(S$14/$F15,0)*$E$6)+ (ROUNDUP(S$14/$F15,0)*$D$11))*(1+$D$7))</f>
        <v>138000</v>
      </c>
      <c r="T15" s="7">
        <f>LamChanHangNgan((PhiMayCatDecalVuong(T$14,$D15,$E15)+ PhiMayInToner4M_Recoh(ROUNDUP(T$14/$F15,0)*$E$6)+ (ROUNDUP(T$14/$F15,0)*$D$11))*(1+$D$7))</f>
        <v>146000</v>
      </c>
      <c r="U15" s="7">
        <f>LamChanHangNgan((PhiMayCatDecalVuong(U$14,$D15,$E15)+ PhiMayInToner4M_Recoh(ROUNDUP(U$14/$F15,0)*$E$6)+ (ROUNDUP(U$14/$F15,0)*$D$11))*(1+$D$7))</f>
        <v>154000</v>
      </c>
      <c r="V15" s="7">
        <f>LamChanHangNgan((PhiMayCatDecalVuong(V$14,$D15,$E15)+ PhiMayInToner4M_Recoh(ROUNDUP(V$14/$F15,0)*$E$6)+ (ROUNDUP(V$14/$F15,0)*$D$11))*(1+$D$7))</f>
        <v>162000</v>
      </c>
      <c r="W15" s="7">
        <f>LamChanHangNgan((PhiMayCatDecalVuong(W$14,$D15,$E15)+ PhiMayInToner4M_Recoh(ROUNDUP(W$14/$F15,0)*$E$6)+ (ROUNDUP(W$14/$F15,0)*$D$11))*(1+$D$7))</f>
        <v>170000</v>
      </c>
      <c r="X15" s="7">
        <f>LamChanHangNgan((PhiMayCatDecalVuong(X$14,$D15,$E15)+ PhiMayInToner4M_Recoh(ROUNDUP(X$14/$F15,0)*$E$6)+ (ROUNDUP(X$14/$F15,0)*$D$11))*(1+$D$7))</f>
        <v>178000</v>
      </c>
      <c r="Y15" s="7">
        <f>LamChanHangNgan((PhiMayCatDecalVuong(Y$14,$D15,$E15)+ PhiMayInToner4M_Recoh(ROUNDUP(Y$14/$F15,0)*$E$6)+ (ROUNDUP(Y$14/$F15,0)*$D$11))*(1+$D$7))</f>
        <v>262000</v>
      </c>
    </row>
    <row r="16" spans="1:25" x14ac:dyDescent="0.4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3">
        <f t="shared" si="2"/>
        <v>208</v>
      </c>
      <c r="G16" s="7">
        <f>LamChanHangNgan((PhiMayCatDecalVuong(G$14,$D16,$E16)+ PhiMayInToner4M(ROUNDUP(G$14/$F16,0)*$E$6)+ (ROUNDUP(G$14/$F16,0)*$D$11))*(1+$D$7))</f>
        <v>127000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131000</v>
      </c>
      <c r="J16" s="7">
        <f>LamChanHangNgan((PhiMayCatDecalVuong(J$14,$D16,$E16)+ PhiMayInToner4M(ROUNDUP(J$14/$F16,0)*$E$6)+ (ROUNDUP(J$14/$F16,0)*$D$11))*(1+$D$7))</f>
        <v>131000</v>
      </c>
      <c r="K16" s="7">
        <f>LamChanHangNgan((PhiMayCatDecalVuong(K$14,$D16,$E16)+ PhiMayInToner4M(ROUNDUP(K$14/$F16,0)*$E$6)+ (ROUNDUP(K$14/$F16,0)*$D$11))*(1+$D$7))</f>
        <v>135000</v>
      </c>
      <c r="L16" s="7">
        <f>LamChanHangNgan((PhiMayCatDecalVuong(L$14,$D16,$E16)+ PhiMayInToner4M(ROUNDUP(L$14/$F16,0)*$E$6)+ (ROUNDUP(L$14/$F16,0)*$D$11))*(1+$D$7))</f>
        <v>135000</v>
      </c>
      <c r="M16" s="7">
        <f>LamChanHangNgan((PhiMayCatDecalVuong(M$14,$D16,$E16)+ PhiMayInToner4M(ROUNDUP(M$14/$F16,0)*$E$6)+ (ROUNDUP(M$14/$F16,0)*$D$11))*(1+$D$7))</f>
        <v>139000</v>
      </c>
      <c r="N16" s="7">
        <f>LamChanHangNgan((PhiMayCatDecalVuong(N$14,$D16,$E16)+ PhiMayInToner4M_Recoh(ROUNDUP(N$14/$F16,0)*$E$6)+ (ROUNDUP(N$14/$F16,0)*$D$11))*(1+$D$7))</f>
        <v>110000</v>
      </c>
      <c r="O16" s="7">
        <f>LamChanHangNgan((PhiMayCatDecalVuong(O$14,$D16,$E16)+ PhiMayInToner4M_Recoh(ROUNDUP(O$14/$F16,0)*$E$6)+ (ROUNDUP(O$14/$F16,0)*$D$11))*(1+$D$7))</f>
        <v>114000</v>
      </c>
      <c r="P16" s="7">
        <f>LamChanHangNgan((PhiMayCatDecalVuong(P$14,$D16,$E16)+ PhiMayInToner4M_Recoh(ROUNDUP(P$14/$F16,0)*$E$6)+ (ROUNDUP(P$14/$F16,0)*$D$11))*(1+$D$7))</f>
        <v>114000</v>
      </c>
      <c r="Q16" s="7">
        <f>LamChanHangNgan((PhiMayCatDecalVuong(Q$14,$D16,$E16)+ PhiMayInToner4M_Recoh(ROUNDUP(Q$14/$F16,0)*$E$6)+ (ROUNDUP(Q$14/$F16,0)*$D$11))*(1+$D$7))</f>
        <v>126000</v>
      </c>
      <c r="R16" s="7">
        <f>LamChanHangNgan((PhiMayCatDecalVuong(R$14,$D16,$E16)+ PhiMayInToner4M_Recoh(ROUNDUP(R$14/$F16,0)*$E$6)+ (ROUNDUP(R$14/$F16,0)*$D$11))*(1+$D$7))</f>
        <v>134000</v>
      </c>
      <c r="S16" s="7">
        <f>LamChanHangNgan((PhiMayCatDecalVuong(S$14,$D16,$E16)+ PhiMayInToner4M_Recoh(ROUNDUP(S$14/$F16,0)*$E$6)+ (ROUNDUP(S$14/$F16,0)*$D$11))*(1+$D$7))</f>
        <v>146000</v>
      </c>
      <c r="T16" s="7">
        <f>LamChanHangNgan((PhiMayCatDecalVuong(T$14,$D16,$E16)+ PhiMayInToner4M_Recoh(ROUNDUP(T$14/$F16,0)*$E$6)+ (ROUNDUP(T$14/$F16,0)*$D$11))*(1+$D$7))</f>
        <v>154000</v>
      </c>
      <c r="U16" s="7">
        <f>LamChanHangNgan((PhiMayCatDecalVuong(U$14,$D16,$E16)+ PhiMayInToner4M_Recoh(ROUNDUP(U$14/$F16,0)*$E$6)+ (ROUNDUP(U$14/$F16,0)*$D$11))*(1+$D$7))</f>
        <v>162000</v>
      </c>
      <c r="V16" s="7">
        <f>LamChanHangNgan((PhiMayCatDecalVuong(V$14,$D16,$E16)+ PhiMayInToner4M_Recoh(ROUNDUP(V$14/$F16,0)*$E$6)+ (ROUNDUP(V$14/$F16,0)*$D$11))*(1+$D$7))</f>
        <v>173000</v>
      </c>
      <c r="W16" s="7">
        <f>LamChanHangNgan((PhiMayCatDecalVuong(W$14,$D16,$E16)+ PhiMayInToner4M_Recoh(ROUNDUP(W$14/$F16,0)*$E$6)+ (ROUNDUP(W$14/$F16,0)*$D$11))*(1+$D$7))</f>
        <v>182000</v>
      </c>
      <c r="X16" s="7">
        <f>LamChanHangNgan((PhiMayCatDecalVuong(X$14,$D16,$E16)+ PhiMayInToner4M_Recoh(ROUNDUP(X$14/$F16,0)*$E$6)+ (ROUNDUP(X$14/$F16,0)*$D$11))*(1+$D$7))</f>
        <v>193000</v>
      </c>
      <c r="Y16" s="7">
        <f>LamChanHangNgan((PhiMayCatDecalVuong(Y$14,$D16,$E16)+ PhiMayInToner4M_Recoh(ROUNDUP(Y$14/$F16,0)*$E$6)+ (ROUNDUP(Y$14/$F16,0)*$D$11))*(1+$D$7))</f>
        <v>289000</v>
      </c>
    </row>
    <row r="17" spans="1:25" x14ac:dyDescent="0.45">
      <c r="B17">
        <v>3</v>
      </c>
      <c r="C17" t="str">
        <f t="shared" si="3"/>
        <v>2 x 3.5 cm</v>
      </c>
      <c r="D17">
        <v>2</v>
      </c>
      <c r="E17">
        <v>3.5</v>
      </c>
      <c r="F17" s="43">
        <f t="shared" si="2"/>
        <v>176</v>
      </c>
      <c r="G17" s="7">
        <f>LamChanHangNgan((PhiMayCatDecalVuong(G$14,$D17,$E17)+ PhiMayInToner4M(ROUNDUP(G$14/$F17,0)*$E$6)+ (ROUNDUP(G$14/$F17,0)*$D$11))*(1+$D$7))</f>
        <v>127000</v>
      </c>
      <c r="H17" s="7">
        <f>LamChanHangNgan((PhiMayCatDecalVuong(H$14,$D17,$E17)+ PhiMayInToner4M(ROUNDUP(H$14/$F17,0)*$E$6)+ (ROUNDUP(H$14/$F17,0)*$D$11))*(1+$D$7))</f>
        <v>131000</v>
      </c>
      <c r="I17" s="7">
        <f>LamChanHangNgan((PhiMayCatDecalVuong(I$14,$D17,$E17)+ PhiMayInToner4M(ROUNDUP(I$14/$F17,0)*$E$6)+ (ROUNDUP(I$14/$F17,0)*$D$11))*(1+$D$7))</f>
        <v>131000</v>
      </c>
      <c r="J17" s="7">
        <f>LamChanHangNgan((PhiMayCatDecalVuong(J$14,$D17,$E17)+ PhiMayInToner4M(ROUNDUP(J$14/$F17,0)*$E$6)+ (ROUNDUP(J$14/$F17,0)*$D$11))*(1+$D$7))</f>
        <v>135000</v>
      </c>
      <c r="K17" s="7">
        <f>LamChanHangNgan((PhiMayCatDecalVuong(K$14,$D17,$E17)+ PhiMayInToner4M(ROUNDUP(K$14/$F17,0)*$E$6)+ (ROUNDUP(K$14/$F17,0)*$D$11))*(1+$D$7))</f>
        <v>135000</v>
      </c>
      <c r="L17" s="7">
        <f>LamChanHangNgan((PhiMayCatDecalVuong(L$14,$D17,$E17)+ PhiMayInToner4M(ROUNDUP(L$14/$F17,0)*$E$6)+ (ROUNDUP(L$14/$F17,0)*$D$11))*(1+$D$7))</f>
        <v>139000</v>
      </c>
      <c r="M17" s="7">
        <f>LamChanHangNgan((PhiMayCatDecalVuong(M$14,$D17,$E17)+ PhiMayInToner4M(ROUNDUP(M$14/$F17,0)*$E$6)+ (ROUNDUP(M$14/$F17,0)*$D$11))*(1+$D$7))</f>
        <v>139000</v>
      </c>
      <c r="N17" s="7">
        <f>LamChanHangNgan((PhiMayCatDecalVuong(N$14,$D17,$E17)+ PhiMayInToner4M_Recoh(ROUNDUP(N$14/$F17,0)*$E$6)+ (ROUNDUP(N$14/$F17,0)*$D$11))*(1+$D$7))</f>
        <v>114000</v>
      </c>
      <c r="O17" s="7">
        <f>LamChanHangNgan((PhiMayCatDecalVuong(O$14,$D17,$E17)+ PhiMayInToner4M_Recoh(ROUNDUP(O$14/$F17,0)*$E$6)+ (ROUNDUP(O$14/$F17,0)*$D$11))*(1+$D$7))</f>
        <v>118000</v>
      </c>
      <c r="P17" s="7">
        <f>LamChanHangNgan((PhiMayCatDecalVuong(P$14,$D17,$E17)+ PhiMayInToner4M_Recoh(ROUNDUP(P$14/$F17,0)*$E$6)+ (ROUNDUP(P$14/$F17,0)*$D$11))*(1+$D$7))</f>
        <v>118000</v>
      </c>
      <c r="Q17" s="7">
        <f>LamChanHangNgan((PhiMayCatDecalVuong(Q$14,$D17,$E17)+ PhiMayInToner4M_Recoh(ROUNDUP(Q$14/$F17,0)*$E$6)+ (ROUNDUP(Q$14/$F17,0)*$D$11))*(1+$D$7))</f>
        <v>130000</v>
      </c>
      <c r="R17" s="7">
        <f>LamChanHangNgan((PhiMayCatDecalVuong(R$14,$D17,$E17)+ PhiMayInToner4M_Recoh(ROUNDUP(R$14/$F17,0)*$E$6)+ (ROUNDUP(R$14/$F17,0)*$D$11))*(1+$D$7))</f>
        <v>141000</v>
      </c>
      <c r="S17" s="7">
        <f>LamChanHangNgan((PhiMayCatDecalVuong(S$14,$D17,$E17)+ PhiMayInToner4M_Recoh(ROUNDUP(S$14/$F17,0)*$E$6)+ (ROUNDUP(S$14/$F17,0)*$D$11))*(1+$D$7))</f>
        <v>153000</v>
      </c>
      <c r="T17" s="7">
        <f>LamChanHangNgan((PhiMayCatDecalVuong(T$14,$D17,$E17)+ PhiMayInToner4M_Recoh(ROUNDUP(T$14/$F17,0)*$E$6)+ (ROUNDUP(T$14/$F17,0)*$D$11))*(1+$D$7))</f>
        <v>165000</v>
      </c>
      <c r="U17" s="7">
        <f>LamChanHangNgan((PhiMayCatDecalVuong(U$14,$D17,$E17)+ PhiMayInToner4M_Recoh(ROUNDUP(U$14/$F17,0)*$E$6)+ (ROUNDUP(U$14/$F17,0)*$D$11))*(1+$D$7))</f>
        <v>173000</v>
      </c>
      <c r="V17" s="7">
        <f>LamChanHangNgan((PhiMayCatDecalVuong(V$14,$D17,$E17)+ PhiMayInToner4M_Recoh(ROUNDUP(V$14/$F17,0)*$E$6)+ (ROUNDUP(V$14/$F17,0)*$D$11))*(1+$D$7))</f>
        <v>185000</v>
      </c>
      <c r="W17" s="7">
        <f>LamChanHangNgan((PhiMayCatDecalVuong(W$14,$D17,$E17)+ PhiMayInToner4M_Recoh(ROUNDUP(W$14/$F17,0)*$E$6)+ (ROUNDUP(W$14/$F17,0)*$D$11))*(1+$D$7))</f>
        <v>197000</v>
      </c>
      <c r="X17" s="7">
        <f>LamChanHangNgan((PhiMayCatDecalVuong(X$14,$D17,$E17)+ PhiMayInToner4M_Recoh(ROUNDUP(X$14/$F17,0)*$E$6)+ (ROUNDUP(X$14/$F17,0)*$D$11))*(1+$D$7))</f>
        <v>208000</v>
      </c>
      <c r="Y17" s="7">
        <f>LamChanHangNgan((PhiMayCatDecalVuong(Y$14,$D17,$E17)+ PhiMayInToner4M_Recoh(ROUNDUP(Y$14/$F17,0)*$E$6)+ (ROUNDUP(Y$14/$F17,0)*$D$11))*(1+$D$7))</f>
        <v>319000</v>
      </c>
    </row>
    <row r="18" spans="1:25" x14ac:dyDescent="0.45">
      <c r="A18" s="1" t="s">
        <v>449</v>
      </c>
      <c r="B18">
        <v>4</v>
      </c>
      <c r="C18" t="str">
        <f t="shared" si="3"/>
        <v>2.5 x 3.5 cm</v>
      </c>
      <c r="D18">
        <v>2.5</v>
      </c>
      <c r="E18">
        <v>3.5</v>
      </c>
      <c r="F18" s="43">
        <f t="shared" si="2"/>
        <v>135</v>
      </c>
      <c r="G18" s="7">
        <f>LamChanHangNgan((PhiMayCatDecalVuong(G$14,$D18,$E18)+ PhiMayInToner4M(ROUNDUP(G$14/$F18,0)*$E$6)+ (ROUNDUP(G$14/$F18,0)*$D$11))*(1+$D$7))</f>
        <v>127000</v>
      </c>
      <c r="H18" s="7">
        <f>LamChanHangNgan((PhiMayCatDecalVuong(H$14,$D18,$E18)+ PhiMayInToner4M(ROUNDUP(H$14/$F18,0)*$E$6)+ (ROUNDUP(H$14/$F18,0)*$D$11))*(1+$D$7))</f>
        <v>131000</v>
      </c>
      <c r="I18" s="7">
        <f>LamChanHangNgan((PhiMayCatDecalVuong(I$14,$D18,$E18)+ PhiMayInToner4M(ROUNDUP(I$14/$F18,0)*$E$6)+ (ROUNDUP(I$14/$F18,0)*$D$11))*(1+$D$7))</f>
        <v>135000</v>
      </c>
      <c r="J18" s="7">
        <f>LamChanHangNgan((PhiMayCatDecalVuong(J$14,$D18,$E18)+ PhiMayInToner4M(ROUNDUP(J$14/$F18,0)*$E$6)+ (ROUNDUP(J$14/$F18,0)*$D$11))*(1+$D$7))</f>
        <v>135000</v>
      </c>
      <c r="K18" s="7">
        <f>LamChanHangNgan((PhiMayCatDecalVuong(K$14,$D18,$E18)+ PhiMayInToner4M(ROUNDUP(K$14/$F18,0)*$E$6)+ (ROUNDUP(K$14/$F18,0)*$D$11))*(1+$D$7))</f>
        <v>139000</v>
      </c>
      <c r="L18" s="7">
        <f>LamChanHangNgan((PhiMayCatDecalVuong(L$14,$D18,$E18)+ PhiMayInToner4M(ROUNDUP(L$14/$F18,0)*$E$6)+ (ROUNDUP(L$14/$F18,0)*$D$11))*(1+$D$7))</f>
        <v>143000</v>
      </c>
      <c r="M18" s="7">
        <f>LamChanHangNgan((PhiMayCatDecalVuong(M$14,$D18,$E18)+ PhiMayInToner4M(ROUNDUP(M$14/$F18,0)*$E$6)+ (ROUNDUP(M$14/$F18,0)*$D$11))*(1+$D$7))</f>
        <v>146000</v>
      </c>
      <c r="N18" s="7">
        <f>LamChanHangNgan((PhiMayCatDecalVuong(N$14,$D18,$E18)+ PhiMayInToner4M_Recoh(ROUNDUP(N$14/$F18,0)*$E$6)+ (ROUNDUP(N$14/$F18,0)*$D$11))*(1+$D$7))</f>
        <v>117000</v>
      </c>
      <c r="O18" s="7">
        <f>LamChanHangNgan((PhiMayCatDecalVuong(O$14,$D18,$E18)+ PhiMayInToner4M_Recoh(ROUNDUP(O$14/$F18,0)*$E$6)+ (ROUNDUP(O$14/$F18,0)*$D$11))*(1+$D$7))</f>
        <v>121000</v>
      </c>
      <c r="P18" s="7">
        <f>LamChanHangNgan((PhiMayCatDecalVuong(P$14,$D18,$E18)+ PhiMayInToner4M_Recoh(ROUNDUP(P$14/$F18,0)*$E$6)+ (ROUNDUP(P$14/$F18,0)*$D$11))*(1+$D$7))</f>
        <v>125000</v>
      </c>
      <c r="Q18" s="7">
        <f>LamChanHangNgan((PhiMayCatDecalVuong(Q$14,$D18,$E18)+ PhiMayInToner4M_Recoh(ROUNDUP(Q$14/$F18,0)*$E$6)+ (ROUNDUP(Q$14/$F18,0)*$D$11))*(1+$D$7))</f>
        <v>140000</v>
      </c>
      <c r="R18" s="7">
        <f>LamChanHangNgan((PhiMayCatDecalVuong(R$14,$D18,$E18)+ PhiMayInToner4M_Recoh(ROUNDUP(R$14/$F18,0)*$E$6)+ (ROUNDUP(R$14/$F18,0)*$D$11))*(1+$D$7))</f>
        <v>152000</v>
      </c>
      <c r="S18" s="7">
        <f>LamChanHangNgan((PhiMayCatDecalVuong(S$14,$D18,$E18)+ PhiMayInToner4M_Recoh(ROUNDUP(S$14/$F18,0)*$E$6)+ (ROUNDUP(S$14/$F18,0)*$D$11))*(1+$D$7))</f>
        <v>168000</v>
      </c>
      <c r="T18" s="7">
        <f>LamChanHangNgan((PhiMayCatDecalVuong(T$14,$D18,$E18)+ PhiMayInToner4M_Recoh(ROUNDUP(T$14/$F18,0)*$E$6)+ (ROUNDUP(T$14/$F18,0)*$D$11))*(1+$D$7))</f>
        <v>183000</v>
      </c>
      <c r="U18" s="7">
        <f>LamChanHangNgan((PhiMayCatDecalVuong(U$14,$D18,$E18)+ PhiMayInToner4M_Recoh(ROUNDUP(U$14/$F18,0)*$E$6)+ (ROUNDUP(U$14/$F18,0)*$D$11))*(1+$D$7))</f>
        <v>195000</v>
      </c>
      <c r="V18" s="7">
        <f>LamChanHangNgan((PhiMayCatDecalVuong(V$14,$D18,$E18)+ PhiMayInToner4M_Recoh(ROUNDUP(V$14/$F18,0)*$E$6)+ (ROUNDUP(V$14/$F18,0)*$D$11))*(1+$D$7))</f>
        <v>210000</v>
      </c>
      <c r="W18" s="7">
        <f>LamChanHangNgan((PhiMayCatDecalVuong(W$14,$D18,$E18)+ PhiMayInToner4M_Recoh(ROUNDUP(W$14/$F18,0)*$E$6)+ (ROUNDUP(W$14/$F18,0)*$D$11))*(1+$D$7))</f>
        <v>226000</v>
      </c>
      <c r="X18" s="7">
        <f>LamChanHangNgan((PhiMayCatDecalVuong(X$14,$D18,$E18)+ PhiMayInToner4M_Recoh(ROUNDUP(X$14/$F18,0)*$E$6)+ (ROUNDUP(X$14/$F18,0)*$D$11))*(1+$D$7))</f>
        <v>241000</v>
      </c>
      <c r="Y18" s="7">
        <f>LamChanHangNgan((PhiMayCatDecalVuong(Y$14,$D18,$E18)+ PhiMayInToner4M_Recoh(ROUNDUP(Y$14/$F18,0)*$E$6)+ (ROUNDUP(Y$14/$F18,0)*$D$11))*(1+$D$7))</f>
        <v>384000</v>
      </c>
    </row>
    <row r="19" spans="1:25" ht="28.5" x14ac:dyDescent="0.45">
      <c r="A19" s="2" t="s">
        <v>450</v>
      </c>
      <c r="B19">
        <v>5</v>
      </c>
      <c r="C19" t="str">
        <f t="shared" si="3"/>
        <v>2.5 x 4 cm</v>
      </c>
      <c r="D19">
        <v>2.5</v>
      </c>
      <c r="E19">
        <v>4</v>
      </c>
      <c r="F19" s="43">
        <f t="shared" si="2"/>
        <v>120</v>
      </c>
      <c r="G19" s="7">
        <f>LamChanHangNgan((PhiMayCatDecalVuong(G$14,$D19,$E19)+ PhiMayInToner4M(ROUNDUP(G$14/$F19,0)*$E$6)+ (ROUNDUP(G$14/$F19,0)*$D$11))*(1+$D$7))</f>
        <v>127000</v>
      </c>
      <c r="H19" s="7">
        <f>LamChanHangNgan((PhiMayCatDecalVuong(H$14,$D19,$E19)+ PhiMayInToner4M(ROUNDUP(H$14/$F19,0)*$E$6)+ (ROUNDUP(H$14/$F19,0)*$D$11))*(1+$D$7))</f>
        <v>131000</v>
      </c>
      <c r="I19" s="7">
        <f>LamChanHangNgan((PhiMayCatDecalVuong(I$14,$D19,$E19)+ PhiMayInToner4M(ROUNDUP(I$14/$F19,0)*$E$6)+ (ROUNDUP(I$14/$F19,0)*$D$11))*(1+$D$7))</f>
        <v>135000</v>
      </c>
      <c r="J19" s="7">
        <f>LamChanHangNgan((PhiMayCatDecalVuong(J$14,$D19,$E19)+ PhiMayInToner4M(ROUNDUP(J$14/$F19,0)*$E$6)+ (ROUNDUP(J$14/$F19,0)*$D$11))*(1+$D$7))</f>
        <v>139000</v>
      </c>
      <c r="K19" s="7">
        <f>LamChanHangNgan((PhiMayCatDecalVuong(K$14,$D19,$E19)+ PhiMayInToner4M(ROUNDUP(K$14/$F19,0)*$E$6)+ (ROUNDUP(K$14/$F19,0)*$D$11))*(1+$D$7))</f>
        <v>142000</v>
      </c>
      <c r="L19" s="7">
        <f>LamChanHangNgan((PhiMayCatDecalVuong(L$14,$D19,$E19)+ PhiMayInToner4M(ROUNDUP(L$14/$F19,0)*$E$6)+ (ROUNDUP(L$14/$F19,0)*$D$11))*(1+$D$7))</f>
        <v>143000</v>
      </c>
      <c r="M19" s="7">
        <f>LamChanHangNgan((PhiMayCatDecalVuong(M$14,$D19,$E19)+ PhiMayInToner4M(ROUNDUP(M$14/$F19,0)*$E$6)+ (ROUNDUP(M$14/$F19,0)*$D$11))*(1+$D$7))</f>
        <v>147000</v>
      </c>
      <c r="N19" s="7">
        <f>LamChanHangNgan((PhiMayCatDecalVuong(N$14,$D19,$E19)+ PhiMayInToner4M_Recoh(ROUNDUP(N$14/$F19,0)*$E$6)+ (ROUNDUP(N$14/$F19,0)*$D$11))*(1+$D$7))</f>
        <v>121000</v>
      </c>
      <c r="O19" s="7">
        <f>LamChanHangNgan((PhiMayCatDecalVuong(O$14,$D19,$E19)+ PhiMayInToner4M_Recoh(ROUNDUP(O$14/$F19,0)*$E$6)+ (ROUNDUP(O$14/$F19,0)*$D$11))*(1+$D$7))</f>
        <v>125000</v>
      </c>
      <c r="P19" s="7">
        <f>LamChanHangNgan((PhiMayCatDecalVuong(P$14,$D19,$E19)+ PhiMayInToner4M_Recoh(ROUNDUP(P$14/$F19,0)*$E$6)+ (ROUNDUP(P$14/$F19,0)*$D$11))*(1+$D$7))</f>
        <v>129000</v>
      </c>
      <c r="Q19" s="7">
        <f>LamChanHangNgan((PhiMayCatDecalVuong(Q$14,$D19,$E19)+ PhiMayInToner4M_Recoh(ROUNDUP(Q$14/$F19,0)*$E$6)+ (ROUNDUP(Q$14/$F19,0)*$D$11))*(1+$D$7))</f>
        <v>144000</v>
      </c>
      <c r="R19" s="7">
        <f>LamChanHangNgan((PhiMayCatDecalVuong(R$14,$D19,$E19)+ PhiMayInToner4M_Recoh(ROUNDUP(R$14/$F19,0)*$E$6)+ (ROUNDUP(R$14/$F19,0)*$D$11))*(1+$D$7))</f>
        <v>160000</v>
      </c>
      <c r="S19" s="7">
        <f>LamChanHangNgan((PhiMayCatDecalVuong(S$14,$D19,$E19)+ PhiMayInToner4M_Recoh(ROUNDUP(S$14/$F19,0)*$E$6)+ (ROUNDUP(S$14/$F19,0)*$D$11))*(1+$D$7))</f>
        <v>175000</v>
      </c>
      <c r="T19" s="7">
        <f>LamChanHangNgan((PhiMayCatDecalVuong(T$14,$D19,$E19)+ PhiMayInToner4M_Recoh(ROUNDUP(T$14/$F19,0)*$E$6)+ (ROUNDUP(T$14/$F19,0)*$D$11))*(1+$D$7))</f>
        <v>191000</v>
      </c>
      <c r="U19" s="7">
        <f>LamChanHangNgan((PhiMayCatDecalVuong(U$14,$D19,$E19)+ PhiMayInToner4M_Recoh(ROUNDUP(U$14/$F19,0)*$E$6)+ (ROUNDUP(U$14/$F19,0)*$D$11))*(1+$D$7))</f>
        <v>210000</v>
      </c>
      <c r="V19" s="7">
        <f>LamChanHangNgan((PhiMayCatDecalVuong(V$14,$D19,$E19)+ PhiMayInToner4M_Recoh(ROUNDUP(V$14/$F19,0)*$E$6)+ (ROUNDUP(V$14/$F19,0)*$D$11))*(1+$D$7))</f>
        <v>225000</v>
      </c>
      <c r="W19" s="7">
        <f>LamChanHangNgan((PhiMayCatDecalVuong(W$14,$D19,$E19)+ PhiMayInToner4M_Recoh(ROUNDUP(W$14/$F19,0)*$E$6)+ (ROUNDUP(W$14/$F19,0)*$D$11))*(1+$D$7))</f>
        <v>241000</v>
      </c>
      <c r="X19" s="7">
        <f>LamChanHangNgan((PhiMayCatDecalVuong(X$14,$D19,$E19)+ PhiMayInToner4M_Recoh(ROUNDUP(X$14/$F19,0)*$E$6)+ (ROUNDUP(X$14/$F19,0)*$D$11))*(1+$D$7))</f>
        <v>256000</v>
      </c>
      <c r="Y19" s="7">
        <f>LamChanHangNgan((PhiMayCatDecalVuong(Y$14,$D19,$E19)+ PhiMayInToner4M_Recoh(ROUNDUP(Y$14/$F19,0)*$E$6)+ (ROUNDUP(Y$14/$F19,0)*$D$11))*(1+$D$7))</f>
        <v>418000</v>
      </c>
    </row>
    <row r="20" spans="1:25" x14ac:dyDescent="0.45">
      <c r="A20" s="2" t="s">
        <v>451</v>
      </c>
      <c r="B20">
        <v>6</v>
      </c>
      <c r="C20" t="str">
        <f t="shared" si="3"/>
        <v>2.5 x 4.5 cm</v>
      </c>
      <c r="D20">
        <v>2.5</v>
      </c>
      <c r="E20">
        <v>4.5</v>
      </c>
      <c r="F20" s="43">
        <f t="shared" si="2"/>
        <v>105</v>
      </c>
      <c r="G20" s="7">
        <f>LamChanHangNgan((PhiMayCatDecalVuong(G$14,$D20,$E20)+ PhiMayInToner4M(ROUNDUP(G$14/$F20,0)*$E$6)+ (ROUNDUP(G$14/$F20,0)*$D$11))*(1+$D$7))</f>
        <v>127000</v>
      </c>
      <c r="H20" s="7">
        <f>LamChanHangNgan((PhiMayCatDecalVuong(H$14,$D20,$E20)+ PhiMayInToner4M(ROUNDUP(H$14/$F20,0)*$E$6)+ (ROUNDUP(H$14/$F20,0)*$D$11))*(1+$D$7))</f>
        <v>131000</v>
      </c>
      <c r="I20" s="7">
        <f>LamChanHangNgan((PhiMayCatDecalVuong(I$14,$D20,$E20)+ PhiMayInToner4M(ROUNDUP(I$14/$F20,0)*$E$6)+ (ROUNDUP(I$14/$F20,0)*$D$11))*(1+$D$7))</f>
        <v>135000</v>
      </c>
      <c r="J20" s="7">
        <f>LamChanHangNgan((PhiMayCatDecalVuong(J$14,$D20,$E20)+ PhiMayInToner4M(ROUNDUP(J$14/$F20,0)*$E$6)+ (ROUNDUP(J$14/$F20,0)*$D$11))*(1+$D$7))</f>
        <v>139000</v>
      </c>
      <c r="K20" s="7">
        <f>LamChanHangNgan((PhiMayCatDecalVuong(K$14,$D20,$E20)+ PhiMayInToner4M(ROUNDUP(K$14/$F20,0)*$E$6)+ (ROUNDUP(K$14/$F20,0)*$D$11))*(1+$D$7))</f>
        <v>143000</v>
      </c>
      <c r="L20" s="7">
        <f>LamChanHangNgan((PhiMayCatDecalVuong(L$14,$D20,$E20)+ PhiMayInToner4M(ROUNDUP(L$14/$F20,0)*$E$6)+ (ROUNDUP(L$14/$F20,0)*$D$11))*(1+$D$7))</f>
        <v>146000</v>
      </c>
      <c r="M20" s="7">
        <f>LamChanHangNgan((PhiMayCatDecalVuong(M$14,$D20,$E20)+ PhiMayInToner4M(ROUNDUP(M$14/$F20,0)*$E$6)+ (ROUNDUP(M$14/$F20,0)*$D$11))*(1+$D$7))</f>
        <v>150000</v>
      </c>
      <c r="N20" s="7">
        <f>LamChanHangNgan((PhiMayCatDecalVuong(N$14,$D20,$E20)+ PhiMayInToner4M_Recoh(ROUNDUP(N$14/$F20,0)*$E$6)+ (ROUNDUP(N$14/$F20,0)*$D$11))*(1+$D$7))</f>
        <v>125000</v>
      </c>
      <c r="O20" s="7">
        <f>LamChanHangNgan((PhiMayCatDecalVuong(O$14,$D20,$E20)+ PhiMayInToner4M_Recoh(ROUNDUP(O$14/$F20,0)*$E$6)+ (ROUNDUP(O$14/$F20,0)*$D$11))*(1+$D$7))</f>
        <v>129000</v>
      </c>
      <c r="P20" s="7">
        <f>LamChanHangNgan((PhiMayCatDecalVuong(P$14,$D20,$E20)+ PhiMayInToner4M_Recoh(ROUNDUP(P$14/$F20,0)*$E$6)+ (ROUNDUP(P$14/$F20,0)*$D$11))*(1+$D$7))</f>
        <v>132000</v>
      </c>
      <c r="Q20" s="7">
        <f>LamChanHangNgan((PhiMayCatDecalVuong(Q$14,$D20,$E20)+ PhiMayInToner4M_Recoh(ROUNDUP(Q$14/$F20,0)*$E$6)+ (ROUNDUP(Q$14/$F20,0)*$D$11))*(1+$D$7))</f>
        <v>152000</v>
      </c>
      <c r="R20" s="7">
        <f>LamChanHangNgan((PhiMayCatDecalVuong(R$14,$D20,$E20)+ PhiMayInToner4M_Recoh(ROUNDUP(R$14/$F20,0)*$E$6)+ (ROUNDUP(R$14/$F20,0)*$D$11))*(1+$D$7))</f>
        <v>171000</v>
      </c>
      <c r="S20" s="7">
        <f>LamChanHangNgan((PhiMayCatDecalVuong(S$14,$D20,$E20)+ PhiMayInToner4M_Recoh(ROUNDUP(S$14/$F20,0)*$E$6)+ (ROUNDUP(S$14/$F20,0)*$D$11))*(1+$D$7))</f>
        <v>186000</v>
      </c>
      <c r="T20" s="7">
        <f>LamChanHangNgan((PhiMayCatDecalVuong(T$14,$D20,$E20)+ PhiMayInToner4M_Recoh(ROUNDUP(T$14/$F20,0)*$E$6)+ (ROUNDUP(T$14/$F20,0)*$D$11))*(1+$D$7))</f>
        <v>205000</v>
      </c>
      <c r="U20" s="7">
        <f>LamChanHangNgan((PhiMayCatDecalVuong(U$14,$D20,$E20)+ PhiMayInToner4M_Recoh(ROUNDUP(U$14/$F20,0)*$E$6)+ (ROUNDUP(U$14/$F20,0)*$D$11))*(1+$D$7))</f>
        <v>224000</v>
      </c>
      <c r="V20" s="7">
        <f>LamChanHangNgan((PhiMayCatDecalVuong(V$14,$D20,$E20)+ PhiMayInToner4M_Recoh(ROUNDUP(V$14/$F20,0)*$E$6)+ (ROUNDUP(V$14/$F20,0)*$D$11))*(1+$D$7))</f>
        <v>244000</v>
      </c>
      <c r="W20" s="7">
        <f>LamChanHangNgan((PhiMayCatDecalVuong(W$14,$D20,$E20)+ PhiMayInToner4M_Recoh(ROUNDUP(W$14/$F20,0)*$E$6)+ (ROUNDUP(W$14/$F20,0)*$D$11))*(1+$D$7))</f>
        <v>259000</v>
      </c>
      <c r="X20" s="7">
        <f>LamChanHangNgan((PhiMayCatDecalVuong(X$14,$D20,$E20)+ PhiMayInToner4M_Recoh(ROUNDUP(X$14/$F20,0)*$E$6)+ (ROUNDUP(X$14/$F20,0)*$D$11))*(1+$D$7))</f>
        <v>278000</v>
      </c>
      <c r="Y20" s="7">
        <f>LamChanHangNgan((PhiMayCatDecalVuong(Y$14,$D20,$E20)+ PhiMayInToner4M_Recoh(ROUNDUP(Y$14/$F20,0)*$E$6)+ (ROUNDUP(Y$14/$F20,0)*$D$11))*(1+$D$7))</f>
        <v>462000</v>
      </c>
    </row>
    <row r="21" spans="1:25" x14ac:dyDescent="0.45">
      <c r="A21" s="2" t="s">
        <v>452</v>
      </c>
      <c r="B21">
        <v>7</v>
      </c>
      <c r="C21" t="str">
        <f t="shared" si="3"/>
        <v>2.7 x 3.5 cm</v>
      </c>
      <c r="D21">
        <v>2.7</v>
      </c>
      <c r="E21">
        <v>3.5</v>
      </c>
      <c r="F21" s="43">
        <f t="shared" si="2"/>
        <v>126</v>
      </c>
      <c r="G21" s="7">
        <f>LamChanHangNgan((PhiMayCatDecalVuong(G$14,$D21,$E21)+ PhiMayInToner4M(ROUNDUP(G$14/$F21,0)*$E$6)+ (ROUNDUP(G$14/$F21,0)*$D$11))*(1+$D$7))</f>
        <v>127000</v>
      </c>
      <c r="H21" s="7">
        <f>LamChanHangNgan((PhiMayCatDecalVuong(H$14,$D21,$E21)+ PhiMayInToner4M(ROUNDUP(H$14/$F21,0)*$E$6)+ (ROUNDUP(H$14/$F21,0)*$D$11))*(1+$D$7))</f>
        <v>131000</v>
      </c>
      <c r="I21" s="7">
        <f>LamChanHangNgan((PhiMayCatDecalVuong(I$14,$D21,$E21)+ PhiMayInToner4M(ROUNDUP(I$14/$F21,0)*$E$6)+ (ROUNDUP(I$14/$F21,0)*$D$11))*(1+$D$7))</f>
        <v>135000</v>
      </c>
      <c r="J21" s="7">
        <f>LamChanHangNgan((PhiMayCatDecalVuong(J$14,$D21,$E21)+ PhiMayInToner4M(ROUNDUP(J$14/$F21,0)*$E$6)+ (ROUNDUP(J$14/$F21,0)*$D$11))*(1+$D$7))</f>
        <v>139000</v>
      </c>
      <c r="K21" s="7">
        <f>LamChanHangNgan((PhiMayCatDecalVuong(K$14,$D21,$E21)+ PhiMayInToner4M(ROUNDUP(K$14/$F21,0)*$E$6)+ (ROUNDUP(K$14/$F21,0)*$D$11))*(1+$D$7))</f>
        <v>139000</v>
      </c>
      <c r="L21" s="7">
        <f>LamChanHangNgan((PhiMayCatDecalVuong(L$14,$D21,$E21)+ PhiMayInToner4M(ROUNDUP(L$14/$F21,0)*$E$6)+ (ROUNDUP(L$14/$F21,0)*$D$11))*(1+$D$7))</f>
        <v>143000</v>
      </c>
      <c r="M21" s="7">
        <f>LamChanHangNgan((PhiMayCatDecalVuong(M$14,$D21,$E21)+ PhiMayInToner4M(ROUNDUP(M$14/$F21,0)*$E$6)+ (ROUNDUP(M$14/$F21,0)*$D$11))*(1+$D$7))</f>
        <v>146000</v>
      </c>
      <c r="N21" s="7">
        <f>LamChanHangNgan((PhiMayCatDecalVuong(N$14,$D21,$E21)+ PhiMayInToner4M_Recoh(ROUNDUP(N$14/$F21,0)*$E$6)+ (ROUNDUP(N$14/$F21,0)*$D$11))*(1+$D$7))</f>
        <v>121000</v>
      </c>
      <c r="O21" s="7">
        <f>LamChanHangNgan((PhiMayCatDecalVuong(O$14,$D21,$E21)+ PhiMayInToner4M_Recoh(ROUNDUP(O$14/$F21,0)*$E$6)+ (ROUNDUP(O$14/$F21,0)*$D$11))*(1+$D$7))</f>
        <v>125000</v>
      </c>
      <c r="P21" s="7">
        <f>LamChanHangNgan((PhiMayCatDecalVuong(P$14,$D21,$E21)+ PhiMayInToner4M_Recoh(ROUNDUP(P$14/$F21,0)*$E$6)+ (ROUNDUP(P$14/$F21,0)*$D$11))*(1+$D$7))</f>
        <v>125000</v>
      </c>
      <c r="Q21" s="7">
        <f>LamChanHangNgan((PhiMayCatDecalVuong(Q$14,$D21,$E21)+ PhiMayInToner4M_Recoh(ROUNDUP(Q$14/$F21,0)*$E$6)+ (ROUNDUP(Q$14/$F21,0)*$D$11))*(1+$D$7))</f>
        <v>141000</v>
      </c>
      <c r="R21" s="7">
        <f>LamChanHangNgan((PhiMayCatDecalVuong(R$14,$D21,$E21)+ PhiMayInToner4M_Recoh(ROUNDUP(R$14/$F21,0)*$E$6)+ (ROUNDUP(R$14/$F21,0)*$D$11))*(1+$D$7))</f>
        <v>156000</v>
      </c>
      <c r="S21" s="7">
        <f>LamChanHangNgan((PhiMayCatDecalVuong(S$14,$D21,$E21)+ PhiMayInToner4M_Recoh(ROUNDUP(S$14/$F21,0)*$E$6)+ (ROUNDUP(S$14/$F21,0)*$D$11))*(1+$D$7))</f>
        <v>171000</v>
      </c>
      <c r="T21" s="7">
        <f>LamChanHangNgan((PhiMayCatDecalVuong(T$14,$D21,$E21)+ PhiMayInToner4M_Recoh(ROUNDUP(T$14/$F21,0)*$E$6)+ (ROUNDUP(T$14/$F21,0)*$D$11))*(1+$D$7))</f>
        <v>187000</v>
      </c>
      <c r="U21" s="7">
        <f>LamChanHangNgan((PhiMayCatDecalVuong(U$14,$D21,$E21)+ PhiMayInToner4M_Recoh(ROUNDUP(U$14/$F21,0)*$E$6)+ (ROUNDUP(U$14/$F21,0)*$D$11))*(1+$D$7))</f>
        <v>202000</v>
      </c>
      <c r="V21" s="7">
        <f>LamChanHangNgan((PhiMayCatDecalVuong(V$14,$D21,$E21)+ PhiMayInToner4M_Recoh(ROUNDUP(V$14/$F21,0)*$E$6)+ (ROUNDUP(V$14/$F21,0)*$D$11))*(1+$D$7))</f>
        <v>218000</v>
      </c>
      <c r="W21" s="7">
        <f>LamChanHangNgan((PhiMayCatDecalVuong(W$14,$D21,$E21)+ PhiMayInToner4M_Recoh(ROUNDUP(W$14/$F21,0)*$E$6)+ (ROUNDUP(W$14/$F21,0)*$D$11))*(1+$D$7))</f>
        <v>233000</v>
      </c>
      <c r="X21" s="7">
        <f>LamChanHangNgan((PhiMayCatDecalVuong(X$14,$D21,$E21)+ PhiMayInToner4M_Recoh(ROUNDUP(X$14/$F21,0)*$E$6)+ (ROUNDUP(X$14/$F21,0)*$D$11))*(1+$D$7))</f>
        <v>248000</v>
      </c>
      <c r="Y21" s="7">
        <f>LamChanHangNgan((PhiMayCatDecalVuong(Y$14,$D21,$E21)+ PhiMayInToner4M_Recoh(ROUNDUP(Y$14/$F21,0)*$E$6)+ (ROUNDUP(Y$14/$F21,0)*$D$11))*(1+$D$7))</f>
        <v>403000</v>
      </c>
    </row>
    <row r="22" spans="1:25" x14ac:dyDescent="0.45">
      <c r="A22" s="2" t="s">
        <v>453</v>
      </c>
      <c r="B22">
        <v>8</v>
      </c>
      <c r="C22" t="str">
        <f t="shared" si="3"/>
        <v>3 x 3.5 cm</v>
      </c>
      <c r="D22">
        <v>3</v>
      </c>
      <c r="E22">
        <v>3.5</v>
      </c>
      <c r="F22" s="43">
        <f t="shared" si="2"/>
        <v>117</v>
      </c>
      <c r="G22" s="7">
        <f>LamChanHangNgan((PhiMayCatDecalVuong(G$14,$D22,$E22)+ PhiMayInToner4M(ROUNDUP(G$14/$F22,0)*$E$6)+ (ROUNDUP(G$14/$F22,0)*$D$11))*(1+$D$7))</f>
        <v>127000</v>
      </c>
      <c r="H22" s="7">
        <f>LamChanHangNgan((PhiMayCatDecalVuong(H$14,$D22,$E22)+ PhiMayInToner4M(ROUNDUP(H$14/$F22,0)*$E$6)+ (ROUNDUP(H$14/$F22,0)*$D$11))*(1+$D$7))</f>
        <v>131000</v>
      </c>
      <c r="I22" s="7">
        <f>LamChanHangNgan((PhiMayCatDecalVuong(I$14,$D22,$E22)+ PhiMayInToner4M(ROUNDUP(I$14/$F22,0)*$E$6)+ (ROUNDUP(I$14/$F22,0)*$D$11))*(1+$D$7))</f>
        <v>135000</v>
      </c>
      <c r="J22" s="7">
        <f>LamChanHangNgan((PhiMayCatDecalVuong(J$14,$D22,$E22)+ PhiMayInToner4M(ROUNDUP(J$14/$F22,0)*$E$6)+ (ROUNDUP(J$14/$F22,0)*$D$11))*(1+$D$7))</f>
        <v>139000</v>
      </c>
      <c r="K22" s="7">
        <f>LamChanHangNgan((PhiMayCatDecalVuong(K$14,$D22,$E22)+ PhiMayInToner4M(ROUNDUP(K$14/$F22,0)*$E$6)+ (ROUNDUP(K$14/$F22,0)*$D$11))*(1+$D$7))</f>
        <v>142000</v>
      </c>
      <c r="L22" s="7">
        <f>LamChanHangNgan((PhiMayCatDecalVuong(L$14,$D22,$E22)+ PhiMayInToner4M(ROUNDUP(L$14/$F22,0)*$E$6)+ (ROUNDUP(L$14/$F22,0)*$D$11))*(1+$D$7))</f>
        <v>146000</v>
      </c>
      <c r="M22" s="7">
        <f>LamChanHangNgan((PhiMayCatDecalVuong(M$14,$D22,$E22)+ PhiMayInToner4M(ROUNDUP(M$14/$F22,0)*$E$6)+ (ROUNDUP(M$14/$F22,0)*$D$11))*(1+$D$7))</f>
        <v>147000</v>
      </c>
      <c r="N22" s="7">
        <f>LamChanHangNgan((PhiMayCatDecalVuong(N$14,$D22,$E22)+ PhiMayInToner4M_Recoh(ROUNDUP(N$14/$F22,0)*$E$6)+ (ROUNDUP(N$14/$F22,0)*$D$11))*(1+$D$7))</f>
        <v>121000</v>
      </c>
      <c r="O22" s="7">
        <f>LamChanHangNgan((PhiMayCatDecalVuong(O$14,$D22,$E22)+ PhiMayInToner4M_Recoh(ROUNDUP(O$14/$F22,0)*$E$6)+ (ROUNDUP(O$14/$F22,0)*$D$11))*(1+$D$7))</f>
        <v>125000</v>
      </c>
      <c r="P22" s="7">
        <f>LamChanHangNgan((PhiMayCatDecalVuong(P$14,$D22,$E22)+ PhiMayInToner4M_Recoh(ROUNDUP(P$14/$F22,0)*$E$6)+ (ROUNDUP(P$14/$F22,0)*$D$11))*(1+$D$7))</f>
        <v>129000</v>
      </c>
      <c r="Q22" s="7">
        <f>LamChanHangNgan((PhiMayCatDecalVuong(Q$14,$D22,$E22)+ PhiMayInToner4M_Recoh(ROUNDUP(Q$14/$F22,0)*$E$6)+ (ROUNDUP(Q$14/$F22,0)*$D$11))*(1+$D$7))</f>
        <v>144000</v>
      </c>
      <c r="R22" s="7">
        <f>LamChanHangNgan((PhiMayCatDecalVuong(R$14,$D22,$E22)+ PhiMayInToner4M_Recoh(ROUNDUP(R$14/$F22,0)*$E$6)+ (ROUNDUP(R$14/$F22,0)*$D$11))*(1+$D$7))</f>
        <v>163000</v>
      </c>
      <c r="S22" s="7">
        <f>LamChanHangNgan((PhiMayCatDecalVuong(S$14,$D22,$E22)+ PhiMayInToner4M_Recoh(ROUNDUP(S$14/$F22,0)*$E$6)+ (ROUNDUP(S$14/$F22,0)*$D$11))*(1+$D$7))</f>
        <v>179000</v>
      </c>
      <c r="T22" s="7">
        <f>LamChanHangNgan((PhiMayCatDecalVuong(T$14,$D22,$E22)+ PhiMayInToner4M_Recoh(ROUNDUP(T$14/$F22,0)*$E$6)+ (ROUNDUP(T$14/$F22,0)*$D$11))*(1+$D$7))</f>
        <v>194000</v>
      </c>
      <c r="U22" s="7">
        <f>LamChanHangNgan((PhiMayCatDecalVuong(U$14,$D22,$E22)+ PhiMayInToner4M_Recoh(ROUNDUP(U$14/$F22,0)*$E$6)+ (ROUNDUP(U$14/$F22,0)*$D$11))*(1+$D$7))</f>
        <v>210000</v>
      </c>
      <c r="V22" s="7">
        <f>LamChanHangNgan((PhiMayCatDecalVuong(V$14,$D22,$E22)+ PhiMayInToner4M_Recoh(ROUNDUP(V$14/$F22,0)*$E$6)+ (ROUNDUP(V$14/$F22,0)*$D$11))*(1+$D$7))</f>
        <v>229000</v>
      </c>
      <c r="W22" s="7">
        <f>LamChanHangNgan((PhiMayCatDecalVuong(W$14,$D22,$E22)+ PhiMayInToner4M_Recoh(ROUNDUP(W$14/$F22,0)*$E$6)+ (ROUNDUP(W$14/$F22,0)*$D$11))*(1+$D$7))</f>
        <v>244000</v>
      </c>
      <c r="X22" s="7">
        <f>LamChanHangNgan((PhiMayCatDecalVuong(X$14,$D22,$E22)+ PhiMayInToner4M_Recoh(ROUNDUP(X$14/$F22,0)*$E$6)+ (ROUNDUP(X$14/$F22,0)*$D$11))*(1+$D$7))</f>
        <v>260000</v>
      </c>
      <c r="Y22" s="7">
        <f>LamChanHangNgan((PhiMayCatDecalVuong(Y$14,$D22,$E22)+ PhiMayInToner4M_Recoh(ROUNDUP(Y$14/$F22,0)*$E$6)+ (ROUNDUP(Y$14/$F22,0)*$D$11))*(1+$D$7))</f>
        <v>425000</v>
      </c>
    </row>
    <row r="23" spans="1:25" x14ac:dyDescent="0.4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3">
        <f t="shared" si="2"/>
        <v>104</v>
      </c>
      <c r="G23" s="7">
        <f>LamChanHangNgan((PhiMayCatDecalVuong(G$14,$D23,$E23)+ PhiMayInToner4M(ROUNDUP(G$14/$F23,0)*$E$6)+ (ROUNDUP(G$14/$F23,0)*$D$11))*(1+$D$7))</f>
        <v>127000</v>
      </c>
      <c r="H23" s="7">
        <f>LamChanHangNgan((PhiMayCatDecalVuong(H$14,$D23,$E23)+ PhiMayInToner4M(ROUNDUP(H$14/$F23,0)*$E$6)+ (ROUNDUP(H$14/$F23,0)*$D$11))*(1+$D$7))</f>
        <v>131000</v>
      </c>
      <c r="I23" s="7">
        <f>LamChanHangNgan((PhiMayCatDecalVuong(I$14,$D23,$E23)+ PhiMayInToner4M(ROUNDUP(I$14/$F23,0)*$E$6)+ (ROUNDUP(I$14/$F23,0)*$D$11))*(1+$D$7))</f>
        <v>135000</v>
      </c>
      <c r="J23" s="7">
        <f>LamChanHangNgan((PhiMayCatDecalVuong(J$14,$D23,$E23)+ PhiMayInToner4M(ROUNDUP(J$14/$F23,0)*$E$6)+ (ROUNDUP(J$14/$F23,0)*$D$11))*(1+$D$7))</f>
        <v>139000</v>
      </c>
      <c r="K23" s="7">
        <f>LamChanHangNgan((PhiMayCatDecalVuong(K$14,$D23,$E23)+ PhiMayInToner4M(ROUNDUP(K$14/$F23,0)*$E$6)+ (ROUNDUP(K$14/$F23,0)*$D$11))*(1+$D$7))</f>
        <v>143000</v>
      </c>
      <c r="L23" s="7">
        <f>LamChanHangNgan((PhiMayCatDecalVuong(L$14,$D23,$E23)+ PhiMayInToner4M(ROUNDUP(L$14/$F23,0)*$E$6)+ (ROUNDUP(L$14/$F23,0)*$D$11))*(1+$D$7))</f>
        <v>146000</v>
      </c>
      <c r="M23" s="7">
        <f>LamChanHangNgan((PhiMayCatDecalVuong(M$14,$D23,$E23)+ PhiMayInToner4M(ROUNDUP(M$14/$F23,0)*$E$6)+ (ROUNDUP(M$14/$F23,0)*$D$11))*(1+$D$7))</f>
        <v>150000</v>
      </c>
      <c r="N23" s="7">
        <f>LamChanHangNgan((PhiMayCatDecalVuong(N$14,$D23,$E23)+ PhiMayInToner4M_Recoh(ROUNDUP(N$14/$F23,0)*$E$6)+ (ROUNDUP(N$14/$F23,0)*$D$11))*(1+$D$7))</f>
        <v>125000</v>
      </c>
      <c r="O23" s="7">
        <f>LamChanHangNgan((PhiMayCatDecalVuong(O$14,$D23,$E23)+ PhiMayInToner4M_Recoh(ROUNDUP(O$14/$F23,0)*$E$6)+ (ROUNDUP(O$14/$F23,0)*$D$11))*(1+$D$7))</f>
        <v>129000</v>
      </c>
      <c r="P23" s="7">
        <f>LamChanHangNgan((PhiMayCatDecalVuong(P$14,$D23,$E23)+ PhiMayInToner4M_Recoh(ROUNDUP(P$14/$F23,0)*$E$6)+ (ROUNDUP(P$14/$F23,0)*$D$11))*(1+$D$7))</f>
        <v>132000</v>
      </c>
      <c r="Q23" s="7">
        <f>LamChanHangNgan((PhiMayCatDecalVuong(Q$14,$D23,$E23)+ PhiMayInToner4M_Recoh(ROUNDUP(Q$14/$F23,0)*$E$6)+ (ROUNDUP(Q$14/$F23,0)*$D$11))*(1+$D$7))</f>
        <v>152000</v>
      </c>
      <c r="R23" s="7">
        <f>LamChanHangNgan((PhiMayCatDecalVuong(R$14,$D23,$E23)+ PhiMayInToner4M_Recoh(ROUNDUP(R$14/$F23,0)*$E$6)+ (ROUNDUP(R$14/$F23,0)*$D$11))*(1+$D$7))</f>
        <v>171000</v>
      </c>
      <c r="S23" s="7">
        <f>LamChanHangNgan((PhiMayCatDecalVuong(S$14,$D23,$E23)+ PhiMayInToner4M_Recoh(ROUNDUP(S$14/$F23,0)*$E$6)+ (ROUNDUP(S$14/$F23,0)*$D$11))*(1+$D$7))</f>
        <v>190000</v>
      </c>
      <c r="T23" s="7">
        <f>LamChanHangNgan((PhiMayCatDecalVuong(T$14,$D23,$E23)+ PhiMayInToner4M_Recoh(ROUNDUP(T$14/$F23,0)*$E$6)+ (ROUNDUP(T$14/$F23,0)*$D$11))*(1+$D$7))</f>
        <v>205000</v>
      </c>
      <c r="U23" s="7">
        <f>LamChanHangNgan((PhiMayCatDecalVuong(U$14,$D23,$E23)+ PhiMayInToner4M_Recoh(ROUNDUP(U$14/$F23,0)*$E$6)+ (ROUNDUP(U$14/$F23,0)*$D$11))*(1+$D$7))</f>
        <v>224000</v>
      </c>
      <c r="V23" s="7">
        <f>LamChanHangNgan((PhiMayCatDecalVuong(V$14,$D23,$E23)+ PhiMayInToner4M_Recoh(ROUNDUP(V$14/$F23,0)*$E$6)+ (ROUNDUP(V$14/$F23,0)*$D$11))*(1+$D$7))</f>
        <v>244000</v>
      </c>
      <c r="W23" s="7">
        <f>LamChanHangNgan((PhiMayCatDecalVuong(W$14,$D23,$E23)+ PhiMayInToner4M_Recoh(ROUNDUP(W$14/$F23,0)*$E$6)+ (ROUNDUP(W$14/$F23,0)*$D$11))*(1+$D$7))</f>
        <v>263000</v>
      </c>
      <c r="X23" s="7">
        <f>LamChanHangNgan((PhiMayCatDecalVuong(X$14,$D23,$E23)+ PhiMayInToner4M_Recoh(ROUNDUP(X$14/$F23,0)*$E$6)+ (ROUNDUP(X$14/$F23,0)*$D$11))*(1+$D$7))</f>
        <v>282000</v>
      </c>
      <c r="Y23" s="7">
        <f>LamChanHangNgan((PhiMayCatDecalVuong(Y$14,$D23,$E23)+ PhiMayInToner4M_Recoh(ROUNDUP(Y$14/$F23,0)*$E$6)+ (ROUNDUP(Y$14/$F23,0)*$D$11))*(1+$D$7))</f>
        <v>466000</v>
      </c>
    </row>
    <row r="24" spans="1:25" x14ac:dyDescent="0.4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3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131000</v>
      </c>
      <c r="H24" s="7">
        <f>LamChanHangNgan((PhiMayCatDecalVuong(H$14,$D24,$E24)+ PhiMayInToner4M(ROUNDUP(H$14/$F24,0)*$E$6)+ (ROUNDUP(H$14/$F24,0)*$D$11))*(1+$D$7))</f>
        <v>135000</v>
      </c>
      <c r="I24" s="7">
        <f>LamChanHangNgan((PhiMayCatDecalVuong(I$14,$D24,$E24)+ PhiMayInToner4M(ROUNDUP(I$14/$F24,0)*$E$6)+ (ROUNDUP(I$14/$F24,0)*$D$11))*(1+$D$7))</f>
        <v>138000</v>
      </c>
      <c r="J24" s="7">
        <f>LamChanHangNgan((PhiMayCatDecalVuong(J$14,$D24,$E24)+ PhiMayInToner4M(ROUNDUP(J$14/$F24,0)*$E$6)+ (ROUNDUP(J$14/$F24,0)*$D$11))*(1+$D$7))</f>
        <v>142000</v>
      </c>
      <c r="K24" s="7">
        <f>LamChanHangNgan((PhiMayCatDecalVuong(K$14,$D24,$E24)+ PhiMayInToner4M(ROUNDUP(K$14/$F24,0)*$E$6)+ (ROUNDUP(K$14/$F24,0)*$D$11))*(1+$D$7))</f>
        <v>146000</v>
      </c>
      <c r="L24" s="7">
        <f>LamChanHangNgan((PhiMayCatDecalVuong(L$14,$D24,$E24)+ PhiMayInToner4M(ROUNDUP(L$14/$F24,0)*$E$6)+ (ROUNDUP(L$14/$F24,0)*$D$11))*(1+$D$7))</f>
        <v>150000</v>
      </c>
      <c r="M24" s="7">
        <f>LamChanHangNgan((PhiMayCatDecalVuong(M$14,$D24,$E24)+ PhiMayInToner4M(ROUNDUP(M$14/$F24,0)*$E$6)+ (ROUNDUP(M$14/$F24,0)*$D$11))*(1+$D$7))</f>
        <v>154000</v>
      </c>
      <c r="N24" s="7">
        <f>LamChanHangNgan((PhiMayCatDecalVuong(N$14,$D24,$E24)+ PhiMayInToner4M_Recoh(ROUNDUP(N$14/$F24,0)*$E$6)+ (ROUNDUP(N$14/$F24,0)*$D$11))*(1+$D$7))</f>
        <v>129000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159000</v>
      </c>
      <c r="R24" s="7">
        <f>LamChanHangNgan((PhiMayCatDecalVuong(R$14,$D24,$E24)+ PhiMayInToner4M_Recoh(ROUNDUP(R$14/$F24,0)*$E$6)+ (ROUNDUP(R$14/$F24,0)*$D$11))*(1+$D$7))</f>
        <v>178000</v>
      </c>
      <c r="S24" s="7">
        <f>LamChanHangNgan((PhiMayCatDecalVuong(S$14,$D24,$E24)+ PhiMayInToner4M_Recoh(ROUNDUP(S$14/$F24,0)*$E$6)+ (ROUNDUP(S$14/$F24,0)*$D$11))*(1+$D$7))</f>
        <v>201000</v>
      </c>
      <c r="T24" s="7">
        <f>LamChanHangNgan((PhiMayCatDecalVuong(T$14,$D24,$E24)+ PhiMayInToner4M_Recoh(ROUNDUP(T$14/$F24,0)*$E$6)+ (ROUNDUP(T$14/$F24,0)*$D$11))*(1+$D$7))</f>
        <v>220000</v>
      </c>
      <c r="U24" s="7">
        <f>LamChanHangNgan((PhiMayCatDecalVuong(U$14,$D24,$E24)+ PhiMayInToner4M_Recoh(ROUNDUP(U$14/$F24,0)*$E$6)+ (ROUNDUP(U$14/$F24,0)*$D$11))*(1+$D$7))</f>
        <v>243000</v>
      </c>
      <c r="V24" s="7">
        <f>LamChanHangNgan((PhiMayCatDecalVuong(V$14,$D24,$E24)+ PhiMayInToner4M_Recoh(ROUNDUP(V$14/$F24,0)*$E$6)+ (ROUNDUP(V$14/$F24,0)*$D$11))*(1+$D$7))</f>
        <v>262000</v>
      </c>
      <c r="W24" s="7">
        <f>LamChanHangNgan((PhiMayCatDecalVuong(W$14,$D24,$E24)+ PhiMayInToner4M_Recoh(ROUNDUP(W$14/$F24,0)*$E$6)+ (ROUNDUP(W$14/$F24,0)*$D$11))*(1+$D$7))</f>
        <v>285000</v>
      </c>
      <c r="X24" s="7">
        <f>LamChanHangNgan((PhiMayCatDecalVuong(X$14,$D24,$E24)+ PhiMayInToner4M_Recoh(ROUNDUP(X$14/$F24,0)*$E$6)+ (ROUNDUP(X$14/$F24,0)*$D$11))*(1+$D$7))</f>
        <v>304000</v>
      </c>
      <c r="Y24" s="7">
        <f>LamChanHangNgan((PhiMayCatDecalVuong(Y$14,$D24,$E24)+ PhiMayInToner4M_Recoh(ROUNDUP(Y$14/$F24,0)*$E$6)+ (ROUNDUP(Y$14/$F24,0)*$D$11))*(1+$D$7))</f>
        <v>513000</v>
      </c>
    </row>
    <row r="25" spans="1:25" x14ac:dyDescent="0.4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3">
        <f t="shared" si="4"/>
        <v>78</v>
      </c>
      <c r="G25" s="7">
        <f>LamChanHangNgan((PhiMayCatDecalVuong(G$14,$D25,$E25)+ PhiMayInToner4M(ROUNDUP(G$14/$F25,0)*$E$6)+ (ROUNDUP(G$14/$F25,0)*$D$11))*(1+$D$7))</f>
        <v>131000</v>
      </c>
      <c r="H25" s="7">
        <f>LamChanHangNgan((PhiMayCatDecalVuong(H$14,$D25,$E25)+ PhiMayInToner4M(ROUNDUP(H$14/$F25,0)*$E$6)+ (ROUNDUP(H$14/$F25,0)*$D$11))*(1+$D$7))</f>
        <v>135000</v>
      </c>
      <c r="I25" s="7">
        <f>LamChanHangNgan((PhiMayCatDecalVuong(I$14,$D25,$E25)+ PhiMayInToner4M(ROUNDUP(I$14/$F25,0)*$E$6)+ (ROUNDUP(I$14/$F25,0)*$D$11))*(1+$D$7))</f>
        <v>139000</v>
      </c>
      <c r="J25" s="7">
        <f>LamChanHangNgan((PhiMayCatDecalVuong(J$14,$D25,$E25)+ PhiMayInToner4M(ROUNDUP(J$14/$F25,0)*$E$6)+ (ROUNDUP(J$14/$F25,0)*$D$11))*(1+$D$7))</f>
        <v>146000</v>
      </c>
      <c r="K25" s="7">
        <f>LamChanHangNgan((PhiMayCatDecalVuong(K$14,$D25,$E25)+ PhiMayInToner4M(ROUNDUP(K$14/$F25,0)*$E$6)+ (ROUNDUP(K$14/$F25,0)*$D$11))*(1+$D$7))</f>
        <v>150000</v>
      </c>
      <c r="L25" s="7">
        <f>LamChanHangNgan((PhiMayCatDecalVuong(L$14,$D25,$E25)+ PhiMayInToner4M(ROUNDUP(L$14/$F25,0)*$E$6)+ (ROUNDUP(L$14/$F25,0)*$D$11))*(1+$D$7))</f>
        <v>154000</v>
      </c>
      <c r="M25" s="7">
        <f>LamChanHangNgan((PhiMayCatDecalVuong(M$14,$D25,$E25)+ PhiMayInToner4M(ROUNDUP(M$14/$F25,0)*$E$6)+ (ROUNDUP(M$14/$F25,0)*$D$11))*(1+$D$7))</f>
        <v>157000</v>
      </c>
      <c r="N25" s="7">
        <f>LamChanHangNgan((PhiMayCatDecalVuong(N$14,$D25,$E25)+ PhiMayInToner4M_Recoh(ROUNDUP(N$14/$F25,0)*$E$6)+ (ROUNDUP(N$14/$F25,0)*$D$11))*(1+$D$7))</f>
        <v>136000</v>
      </c>
      <c r="O25" s="7">
        <f>LamChanHangNgan((PhiMayCatDecalVuong(O$14,$D25,$E25)+ PhiMayInToner4M_Recoh(ROUNDUP(O$14/$F25,0)*$E$6)+ (ROUNDUP(O$14/$F25,0)*$D$11))*(1+$D$7))</f>
        <v>140000</v>
      </c>
      <c r="P25" s="7">
        <f>LamChanHangNgan((PhiMayCatDecalVuong(P$14,$D25,$E25)+ PhiMayInToner4M_Recoh(ROUNDUP(P$14/$F25,0)*$E$6)+ (ROUNDUP(P$14/$F25,0)*$D$11))*(1+$D$7))</f>
        <v>143000</v>
      </c>
      <c r="Q25" s="7">
        <f>LamChanHangNgan((PhiMayCatDecalVuong(Q$14,$D25,$E25)+ PhiMayInToner4M_Recoh(ROUNDUP(Q$14/$F25,0)*$E$6)+ (ROUNDUP(Q$14/$F25,0)*$D$11))*(1+$D$7))</f>
        <v>170000</v>
      </c>
      <c r="R25" s="7">
        <f>LamChanHangNgan((PhiMayCatDecalVuong(R$14,$D25,$E25)+ PhiMayInToner4M_Recoh(ROUNDUP(R$14/$F25,0)*$E$6)+ (ROUNDUP(R$14/$F25,0)*$D$11))*(1+$D$7))</f>
        <v>193000</v>
      </c>
      <c r="S25" s="7">
        <f>LamChanHangNgan((PhiMayCatDecalVuong(S$14,$D25,$E25)+ PhiMayInToner4M_Recoh(ROUNDUP(S$14/$F25,0)*$E$6)+ (ROUNDUP(S$14/$F25,0)*$D$11))*(1+$D$7))</f>
        <v>219000</v>
      </c>
      <c r="T25" s="7">
        <f>LamChanHangNgan((PhiMayCatDecalVuong(T$14,$D25,$E25)+ PhiMayInToner4M_Recoh(ROUNDUP(T$14/$F25,0)*$E$6)+ (ROUNDUP(T$14/$F25,0)*$D$11))*(1+$D$7))</f>
        <v>242000</v>
      </c>
      <c r="U25" s="7">
        <f>LamChanHangNgan((PhiMayCatDecalVuong(U$14,$D25,$E25)+ PhiMayInToner4M_Recoh(ROUNDUP(U$14/$F25,0)*$E$6)+ (ROUNDUP(U$14/$F25,0)*$D$11))*(1+$D$7))</f>
        <v>264000</v>
      </c>
      <c r="V25" s="7">
        <f>LamChanHangNgan((PhiMayCatDecalVuong(V$14,$D25,$E25)+ PhiMayInToner4M_Recoh(ROUNDUP(V$14/$F25,0)*$E$6)+ (ROUNDUP(V$14/$F25,0)*$D$11))*(1+$D$7))</f>
        <v>291000</v>
      </c>
      <c r="W25" s="7">
        <f>LamChanHangNgan((PhiMayCatDecalVuong(W$14,$D25,$E25)+ PhiMayInToner4M_Recoh(ROUNDUP(W$14/$F25,0)*$E$6)+ (ROUNDUP(W$14/$F25,0)*$D$11))*(1+$D$7))</f>
        <v>314000</v>
      </c>
      <c r="X25" s="7">
        <f>LamChanHangNgan((PhiMayCatDecalVuong(X$14,$D25,$E25)+ PhiMayInToner4M_Recoh(ROUNDUP(X$14/$F25,0)*$E$6)+ (ROUNDUP(X$14/$F25,0)*$D$11))*(1+$D$7))</f>
        <v>340000</v>
      </c>
      <c r="Y25" s="7">
        <f>LamChanHangNgan((PhiMayCatDecalVuong(Y$14,$D25,$E25)+ PhiMayInToner4M_Recoh(ROUNDUP(Y$14/$F25,0)*$E$6)+ (ROUNDUP(Y$14/$F25,0)*$D$11))*(1+$D$7))</f>
        <v>582000</v>
      </c>
    </row>
    <row r="26" spans="1:25" x14ac:dyDescent="0.4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3">
        <f t="shared" si="4"/>
        <v>70</v>
      </c>
      <c r="G26" s="7">
        <f>LamChanHangNgan((PhiMayCatDecalVuong(G$14,$D26,$E26)+ PhiMayInToner4M(ROUNDUP(G$14/$F26,0)*$E$6)+ (ROUNDUP(G$14/$F26,0)*$D$11))*(1+$D$7))</f>
        <v>131000</v>
      </c>
      <c r="H26" s="7">
        <f>LamChanHangNgan((PhiMayCatDecalVuong(H$14,$D26,$E26)+ PhiMayInToner4M(ROUNDUP(H$14/$F26,0)*$E$6)+ (ROUNDUP(H$14/$F26,0)*$D$11))*(1+$D$7))</f>
        <v>135000</v>
      </c>
      <c r="I26" s="7">
        <f>LamChanHangNgan((PhiMayCatDecalVuong(I$14,$D26,$E26)+ PhiMayInToner4M(ROUNDUP(I$14/$F26,0)*$E$6)+ (ROUNDUP(I$14/$F26,0)*$D$11))*(1+$D$7))</f>
        <v>142000</v>
      </c>
      <c r="J26" s="7">
        <f>LamChanHangNgan((PhiMayCatDecalVuong(J$14,$D26,$E26)+ PhiMayInToner4M(ROUNDUP(J$14/$F26,0)*$E$6)+ (ROUNDUP(J$14/$F26,0)*$D$11))*(1+$D$7))</f>
        <v>146000</v>
      </c>
      <c r="K26" s="7">
        <f>LamChanHangNgan((PhiMayCatDecalVuong(K$14,$D26,$E26)+ PhiMayInToner4M(ROUNDUP(K$14/$F26,0)*$E$6)+ (ROUNDUP(K$14/$F26,0)*$D$11))*(1+$D$7))</f>
        <v>153000</v>
      </c>
      <c r="L26" s="7">
        <f>LamChanHangNgan((PhiMayCatDecalVuong(L$14,$D26,$E26)+ PhiMayInToner4M(ROUNDUP(L$14/$F26,0)*$E$6)+ (ROUNDUP(L$14/$F26,0)*$D$11))*(1+$D$7))</f>
        <v>157000</v>
      </c>
      <c r="M26" s="7">
        <f>LamChanHangNgan((PhiMayCatDecalVuong(M$14,$D26,$E26)+ PhiMayInToner4M(ROUNDUP(M$14/$F26,0)*$E$6)+ (ROUNDUP(M$14/$F26,0)*$D$11))*(1+$D$7))</f>
        <v>161000</v>
      </c>
      <c r="N26" s="7">
        <f>LamChanHangNgan((PhiMayCatDecalVuong(N$14,$D26,$E26)+ PhiMayInToner4M_Recoh(ROUNDUP(N$14/$F26,0)*$E$6)+ (ROUNDUP(N$14/$F26,0)*$D$11))*(1+$D$7))</f>
        <v>139000</v>
      </c>
      <c r="O26" s="7">
        <f>LamChanHangNgan((PhiMayCatDecalVuong(O$14,$D26,$E26)+ PhiMayInToner4M_Recoh(ROUNDUP(O$14/$F26,0)*$E$6)+ (ROUNDUP(O$14/$F26,0)*$D$11))*(1+$D$7))</f>
        <v>143000</v>
      </c>
      <c r="P26" s="7">
        <f>LamChanHangNgan((PhiMayCatDecalVuong(P$14,$D26,$E26)+ PhiMayInToner4M_Recoh(ROUNDUP(P$14/$F26,0)*$E$6)+ (ROUNDUP(P$14/$F26,0)*$D$11))*(1+$D$7))</f>
        <v>151000</v>
      </c>
      <c r="Q26" s="7">
        <f>LamChanHangNgan((PhiMayCatDecalVuong(Q$14,$D26,$E26)+ PhiMayInToner4M_Recoh(ROUNDUP(Q$14/$F26,0)*$E$6)+ (ROUNDUP(Q$14/$F26,0)*$D$11))*(1+$D$7))</f>
        <v>177000</v>
      </c>
      <c r="R26" s="7">
        <f>LamChanHangNgan((PhiMayCatDecalVuong(R$14,$D26,$E26)+ PhiMayInToner4M_Recoh(ROUNDUP(R$14/$F26,0)*$E$6)+ (ROUNDUP(R$14/$F26,0)*$D$11))*(1+$D$7))</f>
        <v>203000</v>
      </c>
      <c r="S26" s="7">
        <f>LamChanHangNgan((PhiMayCatDecalVuong(S$14,$D26,$E26)+ PhiMayInToner4M_Recoh(ROUNDUP(S$14/$F26,0)*$E$6)+ (ROUNDUP(S$14/$F26,0)*$D$11))*(1+$D$7))</f>
        <v>230000</v>
      </c>
      <c r="T26" s="7">
        <f>LamChanHangNgan((PhiMayCatDecalVuong(T$14,$D26,$E26)+ PhiMayInToner4M_Recoh(ROUNDUP(T$14/$F26,0)*$E$6)+ (ROUNDUP(T$14/$F26,0)*$D$11))*(1+$D$7))</f>
        <v>256000</v>
      </c>
      <c r="U26" s="7">
        <f>LamChanHangNgan((PhiMayCatDecalVuong(U$14,$D26,$E26)+ PhiMayInToner4M_Recoh(ROUNDUP(U$14/$F26,0)*$E$6)+ (ROUNDUP(U$14/$F26,0)*$D$11))*(1+$D$7))</f>
        <v>283000</v>
      </c>
      <c r="V26" s="7">
        <f>LamChanHangNgan((PhiMayCatDecalVuong(V$14,$D26,$E26)+ PhiMayInToner4M_Recoh(ROUNDUP(V$14/$F26,0)*$E$6)+ (ROUNDUP(V$14/$F26,0)*$D$11))*(1+$D$7))</f>
        <v>313000</v>
      </c>
      <c r="W26" s="7">
        <f>LamChanHangNgan((PhiMayCatDecalVuong(W$14,$D26,$E26)+ PhiMayInToner4M_Recoh(ROUNDUP(W$14/$F26,0)*$E$6)+ (ROUNDUP(W$14/$F26,0)*$D$11))*(1+$D$7))</f>
        <v>339000</v>
      </c>
      <c r="X26" s="7">
        <f>LamChanHangNgan((PhiMayCatDecalVuong(X$14,$D26,$E26)+ PhiMayInToner4M_Recoh(ROUNDUP(X$14/$F26,0)*$E$6)+ (ROUNDUP(X$14/$F26,0)*$D$11))*(1+$D$7))</f>
        <v>366000</v>
      </c>
      <c r="Y26" s="7">
        <f>LamChanHangNgan((PhiMayCatDecalVuong(Y$14,$D26,$E26)+ PhiMayInToner4M_Recoh(ROUNDUP(Y$14/$F26,0)*$E$6)+ (ROUNDUP(Y$14/$F26,0)*$D$11))*(1+$D$7))</f>
        <v>633000</v>
      </c>
    </row>
    <row r="27" spans="1:25" x14ac:dyDescent="0.4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3">
        <f t="shared" si="4"/>
        <v>65</v>
      </c>
      <c r="G27" s="7">
        <f>LamChanHangNgan((PhiMayCatDecalVuong(G$14,$D27,$E27)+ PhiMayInToner4M(ROUNDUP(G$14/$F27,0)*$E$6)+ (ROUNDUP(G$14/$F27,0)*$D$11))*(1+$D$7))</f>
        <v>131000</v>
      </c>
      <c r="H27" s="7">
        <f>LamChanHangNgan((PhiMayCatDecalVuong(H$14,$D27,$E27)+ PhiMayInToner4M(ROUNDUP(H$14/$F27,0)*$E$6)+ (ROUNDUP(H$14/$F27,0)*$D$11))*(1+$D$7))</f>
        <v>138000</v>
      </c>
      <c r="I27" s="7">
        <f>LamChanHangNgan((PhiMayCatDecalVuong(I$14,$D27,$E27)+ PhiMayInToner4M(ROUNDUP(I$14/$F27,0)*$E$6)+ (ROUNDUP(I$14/$F27,0)*$D$11))*(1+$D$7))</f>
        <v>142000</v>
      </c>
      <c r="J27" s="7">
        <f>LamChanHangNgan((PhiMayCatDecalVuong(J$14,$D27,$E27)+ PhiMayInToner4M(ROUNDUP(J$14/$F27,0)*$E$6)+ (ROUNDUP(J$14/$F27,0)*$D$11))*(1+$D$7))</f>
        <v>150000</v>
      </c>
      <c r="K27" s="7">
        <f>LamChanHangNgan((PhiMayCatDecalVuong(K$14,$D27,$E27)+ PhiMayInToner4M(ROUNDUP(K$14/$F27,0)*$E$6)+ (ROUNDUP(K$14/$F27,0)*$D$11))*(1+$D$7))</f>
        <v>153000</v>
      </c>
      <c r="L27" s="7">
        <f>LamChanHangNgan((PhiMayCatDecalVuong(L$14,$D27,$E27)+ PhiMayInToner4M(ROUNDUP(L$14/$F27,0)*$E$6)+ (ROUNDUP(L$14/$F27,0)*$D$11))*(1+$D$7))</f>
        <v>161000</v>
      </c>
      <c r="M27" s="7">
        <f>LamChanHangNgan((PhiMayCatDecalVuong(M$14,$D27,$E27)+ PhiMayInToner4M(ROUNDUP(M$14/$F27,0)*$E$6)+ (ROUNDUP(M$14/$F27,0)*$D$11))*(1+$D$7))</f>
        <v>165000</v>
      </c>
      <c r="N27" s="7">
        <f>LamChanHangNgan((PhiMayCatDecalVuong(N$14,$D27,$E27)+ PhiMayInToner4M_Recoh(ROUNDUP(N$14/$F27,0)*$E$6)+ (ROUNDUP(N$14/$F27,0)*$D$11))*(1+$D$7))</f>
        <v>143000</v>
      </c>
      <c r="O27" s="7">
        <f>LamChanHangNgan((PhiMayCatDecalVuong(O$14,$D27,$E27)+ PhiMayInToner4M_Recoh(ROUNDUP(O$14/$F27,0)*$E$6)+ (ROUNDUP(O$14/$F27,0)*$D$11))*(1+$D$7))</f>
        <v>147000</v>
      </c>
      <c r="P27" s="7">
        <f>LamChanHangNgan((PhiMayCatDecalVuong(P$14,$D27,$E27)+ PhiMayInToner4M_Recoh(ROUNDUP(P$14/$F27,0)*$E$6)+ (ROUNDUP(P$14/$F27,0)*$D$11))*(1+$D$7))</f>
        <v>154000</v>
      </c>
      <c r="Q27" s="7">
        <f>LamChanHangNgan((PhiMayCatDecalVuong(Q$14,$D27,$E27)+ PhiMayInToner4M_Recoh(ROUNDUP(Q$14/$F27,0)*$E$6)+ (ROUNDUP(Q$14/$F27,0)*$D$11))*(1+$D$7))</f>
        <v>184000</v>
      </c>
      <c r="R27" s="7">
        <f>LamChanHangNgan((PhiMayCatDecalVuong(R$14,$D27,$E27)+ PhiMayInToner4M_Recoh(ROUNDUP(R$14/$F27,0)*$E$6)+ (ROUNDUP(R$14/$F27,0)*$D$11))*(1+$D$7))</f>
        <v>211000</v>
      </c>
      <c r="S27" s="7">
        <f>LamChanHangNgan((PhiMayCatDecalVuong(S$14,$D27,$E27)+ PhiMayInToner4M_Recoh(ROUNDUP(S$14/$F27,0)*$E$6)+ (ROUNDUP(S$14/$F27,0)*$D$11))*(1+$D$7))</f>
        <v>241000</v>
      </c>
      <c r="T27" s="7">
        <f>LamChanHangNgan((PhiMayCatDecalVuong(T$14,$D27,$E27)+ PhiMayInToner4M_Recoh(ROUNDUP(T$14/$F27,0)*$E$6)+ (ROUNDUP(T$14/$F27,0)*$D$11))*(1+$D$7))</f>
        <v>271000</v>
      </c>
      <c r="U27" s="7">
        <f>LamChanHangNgan((PhiMayCatDecalVuong(U$14,$D27,$E27)+ PhiMayInToner4M_Recoh(ROUNDUP(U$14/$F27,0)*$E$6)+ (ROUNDUP(U$14/$F27,0)*$D$11))*(1+$D$7))</f>
        <v>298000</v>
      </c>
      <c r="V27" s="7">
        <f>LamChanHangNgan((PhiMayCatDecalVuong(V$14,$D27,$E27)+ PhiMayInToner4M_Recoh(ROUNDUP(V$14/$F27,0)*$E$6)+ (ROUNDUP(V$14/$F27,0)*$D$11))*(1+$D$7))</f>
        <v>328000</v>
      </c>
      <c r="W27" s="7">
        <f>LamChanHangNgan((PhiMayCatDecalVuong(W$14,$D27,$E27)+ PhiMayInToner4M_Recoh(ROUNDUP(W$14/$F27,0)*$E$6)+ (ROUNDUP(W$14/$F27,0)*$D$11))*(1+$D$7))</f>
        <v>358000</v>
      </c>
      <c r="X27" s="7">
        <f>LamChanHangNgan((PhiMayCatDecalVuong(X$14,$D27,$E27)+ PhiMayInToner4M_Recoh(ROUNDUP(X$14/$F27,0)*$E$6)+ (ROUNDUP(X$14/$F27,0)*$D$11))*(1+$D$7))</f>
        <v>384000</v>
      </c>
      <c r="Y27" s="7">
        <f>LamChanHangNgan((PhiMayCatDecalVuong(Y$14,$D27,$E27)+ PhiMayInToner4M_Recoh(ROUNDUP(Y$14/$F27,0)*$E$6)+ (ROUNDUP(Y$14/$F27,0)*$D$11))*(1+$D$7))</f>
        <v>674000</v>
      </c>
    </row>
    <row r="28" spans="1:25" x14ac:dyDescent="0.4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3">
        <f t="shared" si="4"/>
        <v>60</v>
      </c>
      <c r="G28" s="7">
        <f>LamChanHangNgan((PhiMayCatDecalVuong(G$14,$D28,$E28)+ PhiMayInToner4M(ROUNDUP(G$14/$F28,0)*$E$6)+ (ROUNDUP(G$14/$F28,0)*$D$11))*(1+$D$7))</f>
        <v>131000</v>
      </c>
      <c r="H28" s="7">
        <f>LamChanHangNgan((PhiMayCatDecalVuong(H$14,$D28,$E28)+ PhiMayInToner4M(ROUNDUP(H$14/$F28,0)*$E$6)+ (ROUNDUP(H$14/$F28,0)*$D$11))*(1+$D$7))</f>
        <v>138000</v>
      </c>
      <c r="I28" s="7">
        <f>LamChanHangNgan((PhiMayCatDecalVuong(I$14,$D28,$E28)+ PhiMayInToner4M(ROUNDUP(I$14/$F28,0)*$E$6)+ (ROUNDUP(I$14/$F28,0)*$D$11))*(1+$D$7))</f>
        <v>142000</v>
      </c>
      <c r="J28" s="7">
        <f>LamChanHangNgan((PhiMayCatDecalVuong(J$14,$D28,$E28)+ PhiMayInToner4M(ROUNDUP(J$14/$F28,0)*$E$6)+ (ROUNDUP(J$14/$F28,0)*$D$11))*(1+$D$7))</f>
        <v>150000</v>
      </c>
      <c r="K28" s="7">
        <f>LamChanHangNgan((PhiMayCatDecalVuong(K$14,$D28,$E28)+ PhiMayInToner4M(ROUNDUP(K$14/$F28,0)*$E$6)+ (ROUNDUP(K$14/$F28,0)*$D$11))*(1+$D$7))</f>
        <v>157000</v>
      </c>
      <c r="L28" s="7">
        <f>LamChanHangNgan((PhiMayCatDecalVuong(L$14,$D28,$E28)+ PhiMayInToner4M(ROUNDUP(L$14/$F28,0)*$E$6)+ (ROUNDUP(L$14/$F28,0)*$D$11))*(1+$D$7))</f>
        <v>161000</v>
      </c>
      <c r="M28" s="7">
        <f>LamChanHangNgan((PhiMayCatDecalVuong(M$14,$D28,$E28)+ PhiMayInToner4M(ROUNDUP(M$14/$F28,0)*$E$6)+ (ROUNDUP(M$14/$F28,0)*$D$11))*(1+$D$7))</f>
        <v>168000</v>
      </c>
      <c r="N28" s="7">
        <f>LamChanHangNgan((PhiMayCatDecalVuong(N$14,$D28,$E28)+ PhiMayInToner4M_Recoh(ROUNDUP(N$14/$F28,0)*$E$6)+ (ROUNDUP(N$14/$F28,0)*$D$11))*(1+$D$7))</f>
        <v>147000</v>
      </c>
      <c r="O28" s="7">
        <f>LamChanHangNgan((PhiMayCatDecalVuong(O$14,$D28,$E28)+ PhiMayInToner4M_Recoh(ROUNDUP(O$14/$F28,0)*$E$6)+ (ROUNDUP(O$14/$F28,0)*$D$11))*(1+$D$7))</f>
        <v>151000</v>
      </c>
      <c r="P28" s="7">
        <f>LamChanHangNgan((PhiMayCatDecalVuong(P$14,$D28,$E28)+ PhiMayInToner4M_Recoh(ROUNDUP(P$14/$F28,0)*$E$6)+ (ROUNDUP(P$14/$F28,0)*$D$11))*(1+$D$7))</f>
        <v>158000</v>
      </c>
      <c r="Q28" s="7">
        <f>LamChanHangNgan((PhiMayCatDecalVuong(Q$14,$D28,$E28)+ PhiMayInToner4M_Recoh(ROUNDUP(Q$14/$F28,0)*$E$6)+ (ROUNDUP(Q$14/$F28,0)*$D$11))*(1+$D$7))</f>
        <v>188000</v>
      </c>
      <c r="R28" s="7">
        <f>LamChanHangNgan((PhiMayCatDecalVuong(R$14,$D28,$E28)+ PhiMayInToner4M_Recoh(ROUNDUP(R$14/$F28,0)*$E$6)+ (ROUNDUP(R$14/$F28,0)*$D$11))*(1+$D$7))</f>
        <v>222000</v>
      </c>
      <c r="S28" s="7">
        <f>LamChanHangNgan((PhiMayCatDecalVuong(S$14,$D28,$E28)+ PhiMayInToner4M_Recoh(ROUNDUP(S$14/$F28,0)*$E$6)+ (ROUNDUP(S$14/$F28,0)*$D$11))*(1+$D$7))</f>
        <v>252000</v>
      </c>
      <c r="T28" s="7">
        <f>LamChanHangNgan((PhiMayCatDecalVuong(T$14,$D28,$E28)+ PhiMayInToner4M_Recoh(ROUNDUP(T$14/$F28,0)*$E$6)+ (ROUNDUP(T$14/$F28,0)*$D$11))*(1+$D$7))</f>
        <v>282000</v>
      </c>
      <c r="U28" s="7">
        <f>LamChanHangNgan((PhiMayCatDecalVuong(U$14,$D28,$E28)+ PhiMayInToner4M_Recoh(ROUNDUP(U$14/$F28,0)*$E$6)+ (ROUNDUP(U$14/$F28,0)*$D$11))*(1+$D$7))</f>
        <v>316000</v>
      </c>
      <c r="V28" s="7">
        <f>LamChanHangNgan((PhiMayCatDecalVuong(V$14,$D28,$E28)+ PhiMayInToner4M_Recoh(ROUNDUP(V$14/$F28,0)*$E$6)+ (ROUNDUP(V$14/$F28,0)*$D$11))*(1+$D$7))</f>
        <v>346000</v>
      </c>
      <c r="W28" s="7">
        <f>LamChanHangNgan((PhiMayCatDecalVuong(W$14,$D28,$E28)+ PhiMayInToner4M_Recoh(ROUNDUP(W$14/$F28,0)*$E$6)+ (ROUNDUP(W$14/$F28,0)*$D$11))*(1+$D$7))</f>
        <v>376000</v>
      </c>
      <c r="X28" s="7">
        <f>LamChanHangNgan((PhiMayCatDecalVuong(X$14,$D28,$E28)+ PhiMayInToner4M_Recoh(ROUNDUP(X$14/$F28,0)*$E$6)+ (ROUNDUP(X$14/$F28,0)*$D$11))*(1+$D$7))</f>
        <v>410000</v>
      </c>
      <c r="Y28" s="7">
        <f>LamChanHangNgan((PhiMayCatDecalVuong(Y$14,$D28,$E28)+ PhiMayInToner4M_Recoh(ROUNDUP(Y$14/$F28,0)*$E$6)+ (ROUNDUP(Y$14/$F28,0)*$D$11))*(1+$D$7))</f>
        <v>722000</v>
      </c>
    </row>
    <row r="29" spans="1:25" x14ac:dyDescent="0.4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3">
        <f t="shared" si="4"/>
        <v>52</v>
      </c>
      <c r="G29" s="7">
        <f>LamChanHangNgan((PhiMayCatDecalVuong(G$14,$D29,$E29)+ PhiMayInToner4M(ROUNDUP(G$14/$F29,0)*$E$6)+ (ROUNDUP(G$14/$F29,0)*$D$11))*(1+$D$7))</f>
        <v>131000</v>
      </c>
      <c r="H29" s="7">
        <f>LamChanHangNgan((PhiMayCatDecalVuong(H$14,$D29,$E29)+ PhiMayInToner4M(ROUNDUP(H$14/$F29,0)*$E$6)+ (ROUNDUP(H$14/$F29,0)*$D$11))*(1+$D$7))</f>
        <v>138000</v>
      </c>
      <c r="I29" s="7">
        <f>LamChanHangNgan((PhiMayCatDecalVuong(I$14,$D29,$E29)+ PhiMayInToner4M(ROUNDUP(I$14/$F29,0)*$E$6)+ (ROUNDUP(I$14/$F29,0)*$D$11))*(1+$D$7))</f>
        <v>146000</v>
      </c>
      <c r="J29" s="7">
        <f>LamChanHangNgan((PhiMayCatDecalVuong(J$14,$D29,$E29)+ PhiMayInToner4M(ROUNDUP(J$14/$F29,0)*$E$6)+ (ROUNDUP(J$14/$F29,0)*$D$11))*(1+$D$7))</f>
        <v>153000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PhiMayInToner4M_Recoh(ROUNDUP(N$14/$F29,0)*$E$6)+ (ROUNDUP(N$14/$F29,0)*$D$11))*(1+$D$7))</f>
        <v>154000</v>
      </c>
      <c r="O29" s="7">
        <f>LamChanHangNgan((PhiMayCatDecalVuong(O$14,$D29,$E29)+ PhiMayInToner4M_Recoh(ROUNDUP(O$14/$F29,0)*$E$6)+ (ROUNDUP(O$14/$F29,0)*$D$11))*(1+$D$7))</f>
        <v>161000</v>
      </c>
      <c r="P29" s="7">
        <f>LamChanHangNgan((PhiMayCatDecalVuong(P$14,$D29,$E29)+ PhiMayInToner4M_Recoh(ROUNDUP(P$14/$F29,0)*$E$6)+ (ROUNDUP(P$14/$F29,0)*$D$11))*(1+$D$7))</f>
        <v>169000</v>
      </c>
      <c r="Q29" s="7">
        <f>LamChanHangNgan((PhiMayCatDecalVuong(Q$14,$D29,$E29)+ PhiMayInToner4M_Recoh(ROUNDUP(Q$14/$F29,0)*$E$6)+ (ROUNDUP(Q$14/$F29,0)*$D$11))*(1+$D$7))</f>
        <v>203000</v>
      </c>
      <c r="R29" s="7">
        <f>LamChanHangNgan((PhiMayCatDecalVuong(R$14,$D29,$E29)+ PhiMayInToner4M_Recoh(ROUNDUP(R$14/$F29,0)*$E$6)+ (ROUNDUP(R$14/$F29,0)*$D$11))*(1+$D$7))</f>
        <v>240000</v>
      </c>
      <c r="S29" s="7">
        <f>LamChanHangNgan((PhiMayCatDecalVuong(S$14,$D29,$E29)+ PhiMayInToner4M_Recoh(ROUNDUP(S$14/$F29,0)*$E$6)+ (ROUNDUP(S$14/$F29,0)*$D$11))*(1+$D$7))</f>
        <v>277000</v>
      </c>
      <c r="T29" s="7">
        <f>LamChanHangNgan((PhiMayCatDecalVuong(T$14,$D29,$E29)+ PhiMayInToner4M_Recoh(ROUNDUP(T$14/$F29,0)*$E$6)+ (ROUNDUP(T$14/$F29,0)*$D$11))*(1+$D$7))</f>
        <v>311000</v>
      </c>
      <c r="U29" s="7">
        <f>LamChanHangNgan((PhiMayCatDecalVuong(U$14,$D29,$E29)+ PhiMayInToner4M_Recoh(ROUNDUP(U$14/$F29,0)*$E$6)+ (ROUNDUP(U$14/$F29,0)*$D$11))*(1+$D$7))</f>
        <v>348000</v>
      </c>
      <c r="V29" s="7">
        <f>LamChanHangNgan((PhiMayCatDecalVuong(V$14,$D29,$E29)+ PhiMayInToner4M_Recoh(ROUNDUP(V$14/$F29,0)*$E$6)+ (ROUNDUP(V$14/$F29,0)*$D$11))*(1+$D$7))</f>
        <v>382000</v>
      </c>
      <c r="W29" s="7">
        <f>LamChanHangNgan((PhiMayCatDecalVuong(W$14,$D29,$E29)+ PhiMayInToner4M_Recoh(ROUNDUP(W$14/$F29,0)*$E$6)+ (ROUNDUP(W$14/$F29,0)*$D$11))*(1+$D$7))</f>
        <v>419000</v>
      </c>
      <c r="X29" s="7">
        <f>LamChanHangNgan((PhiMayCatDecalVuong(X$14,$D29,$E29)+ PhiMayInToner4M_Recoh(ROUNDUP(X$14/$F29,0)*$E$6)+ (ROUNDUP(X$14/$F29,0)*$D$11))*(1+$D$7))</f>
        <v>456000</v>
      </c>
      <c r="Y29" s="7">
        <f>LamChanHangNgan((PhiMayCatDecalVuong(Y$14,$D29,$E29)+ PhiMayInToner4M_Recoh(ROUNDUP(Y$14/$F29,0)*$E$6)+ (ROUNDUP(Y$14/$F29,0)*$D$11))*(1+$D$7))</f>
        <v>815000</v>
      </c>
    </row>
    <row r="30" spans="1:25" x14ac:dyDescent="0.4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3">
        <f t="shared" si="4"/>
        <v>64</v>
      </c>
      <c r="G30" s="7">
        <f>LamChanHangNgan((PhiMayCatDecalVuong(G$14,$D30,$E30)+ PhiMayInToner4M(ROUNDUP(G$14/$F30,0)*$E$6)+ (ROUNDUP(G$14/$F30,0)*$D$11))*(1+$D$7))</f>
        <v>131000</v>
      </c>
      <c r="H30" s="7">
        <f>LamChanHangNgan((PhiMayCatDecalVuong(H$14,$D30,$E30)+ PhiMayInToner4M(ROUNDUP(H$14/$F30,0)*$E$6)+ (ROUNDUP(H$14/$F30,0)*$D$11))*(1+$D$7))</f>
        <v>138000</v>
      </c>
      <c r="I30" s="7">
        <f>LamChanHangNgan((PhiMayCatDecalVuong(I$14,$D30,$E30)+ PhiMayInToner4M(ROUNDUP(I$14/$F30,0)*$E$6)+ (ROUNDUP(I$14/$F30,0)*$D$11))*(1+$D$7))</f>
        <v>142000</v>
      </c>
      <c r="J30" s="7">
        <f>LamChanHangNgan((PhiMayCatDecalVuong(J$14,$D30,$E30)+ PhiMayInToner4M(ROUNDUP(J$14/$F30,0)*$E$6)+ (ROUNDUP(J$14/$F30,0)*$D$11))*(1+$D$7))</f>
        <v>149000</v>
      </c>
      <c r="K30" s="7">
        <f>LamChanHangNgan((PhiMayCatDecalVuong(K$14,$D30,$E30)+ PhiMayInToner4M(ROUNDUP(K$14/$F30,0)*$E$6)+ (ROUNDUP(K$14/$F30,0)*$D$11))*(1+$D$7))</f>
        <v>153000</v>
      </c>
      <c r="L30" s="7">
        <f>LamChanHangNgan((PhiMayCatDecalVuong(L$14,$D30,$E30)+ PhiMayInToner4M(ROUNDUP(L$14/$F30,0)*$E$6)+ (ROUNDUP(L$14/$F30,0)*$D$11))*(1+$D$7))</f>
        <v>161000</v>
      </c>
      <c r="M30" s="7">
        <f>LamChanHangNgan((PhiMayCatDecalVuong(M$14,$D30,$E30)+ PhiMayInToner4M(ROUNDUP(M$14/$F30,0)*$E$6)+ (ROUNDUP(M$14/$F30,0)*$D$11))*(1+$D$7))</f>
        <v>165000</v>
      </c>
      <c r="N30" s="7">
        <f>LamChanHangNgan((PhiMayCatDecalVuong(N$14,$D30,$E30)+ PhiMayInToner4M_Recoh(ROUNDUP(N$14/$F30,0)*$E$6)+ (ROUNDUP(N$14/$F30,0)*$D$11))*(1+$D$7))</f>
        <v>143000</v>
      </c>
      <c r="O30" s="7">
        <f>LamChanHangNgan((PhiMayCatDecalVuong(O$14,$D30,$E30)+ PhiMayInToner4M_Recoh(ROUNDUP(O$14/$F30,0)*$E$6)+ (ROUNDUP(O$14/$F30,0)*$D$11))*(1+$D$7))</f>
        <v>150000</v>
      </c>
      <c r="P30" s="7">
        <f>LamChanHangNgan((PhiMayCatDecalVuong(P$14,$D30,$E30)+ PhiMayInToner4M_Recoh(ROUNDUP(P$14/$F30,0)*$E$6)+ (ROUNDUP(P$14/$F30,0)*$D$11))*(1+$D$7))</f>
        <v>154000</v>
      </c>
      <c r="Q30" s="7">
        <f>LamChanHangNgan((PhiMayCatDecalVuong(Q$14,$D30,$E30)+ PhiMayInToner4M_Recoh(ROUNDUP(Q$14/$F30,0)*$E$6)+ (ROUNDUP(Q$14/$F30,0)*$D$11))*(1+$D$7))</f>
        <v>184000</v>
      </c>
      <c r="R30" s="7">
        <f>LamChanHangNgan((PhiMayCatDecalVuong(R$14,$D30,$E30)+ PhiMayInToner4M_Recoh(ROUNDUP(R$14/$F30,0)*$E$6)+ (ROUNDUP(R$14/$F30,0)*$D$11))*(1+$D$7))</f>
        <v>214000</v>
      </c>
      <c r="S30" s="7">
        <f>LamChanHangNgan((PhiMayCatDecalVuong(S$14,$D30,$E30)+ PhiMayInToner4M_Recoh(ROUNDUP(S$14/$F30,0)*$E$6)+ (ROUNDUP(S$14/$F30,0)*$D$11))*(1+$D$7))</f>
        <v>244000</v>
      </c>
      <c r="T30" s="7">
        <f>LamChanHangNgan((PhiMayCatDecalVuong(T$14,$D30,$E30)+ PhiMayInToner4M_Recoh(ROUNDUP(T$14/$F30,0)*$E$6)+ (ROUNDUP(T$14/$F30,0)*$D$11))*(1+$D$7))</f>
        <v>270000</v>
      </c>
      <c r="U30" s="7">
        <f>LamChanHangNgan((PhiMayCatDecalVuong(U$14,$D30,$E30)+ PhiMayInToner4M_Recoh(ROUNDUP(U$14/$F30,0)*$E$6)+ (ROUNDUP(U$14/$F30,0)*$D$11))*(1+$D$7))</f>
        <v>300000</v>
      </c>
      <c r="V30" s="7">
        <f>LamChanHangNgan((PhiMayCatDecalVuong(V$14,$D30,$E30)+ PhiMayInToner4M_Recoh(ROUNDUP(V$14/$F30,0)*$E$6)+ (ROUNDUP(V$14/$F30,0)*$D$11))*(1+$D$7))</f>
        <v>330000</v>
      </c>
      <c r="W30" s="7">
        <f>LamChanHangNgan((PhiMayCatDecalVuong(W$14,$D30,$E30)+ PhiMayInToner4M_Recoh(ROUNDUP(W$14/$F30,0)*$E$6)+ (ROUNDUP(W$14/$F30,0)*$D$11))*(1+$D$7))</f>
        <v>360000</v>
      </c>
      <c r="X30" s="7">
        <f>LamChanHangNgan((PhiMayCatDecalVuong(X$14,$D30,$E30)+ PhiMayInToner4M_Recoh(ROUNDUP(X$14/$F30,0)*$E$6)+ (ROUNDUP(X$14/$F30,0)*$D$11))*(1+$D$7))</f>
        <v>390000</v>
      </c>
      <c r="Y30" s="7">
        <f>LamChanHangNgan((PhiMayCatDecalVuong(Y$14,$D30,$E30)+ PhiMayInToner4M_Recoh(ROUNDUP(Y$14/$F30,0)*$E$6)+ (ROUNDUP(Y$14/$F30,0)*$D$11))*(1+$D$7))</f>
        <v>682000</v>
      </c>
    </row>
    <row r="31" spans="1:25" x14ac:dyDescent="0.4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3">
        <f t="shared" si="4"/>
        <v>56</v>
      </c>
      <c r="G31" s="7">
        <f>LamChanHangNgan((PhiMayCatDecalVuong(G$14,$D31,$E31)+ PhiMayInToner4M(ROUNDUP(G$14/$F31,0)*$E$6)+ (ROUNDUP(G$14/$F31,0)*$D$11))*(1+$D$7))</f>
        <v>131000</v>
      </c>
      <c r="H31" s="7">
        <f>LamChanHangNgan((PhiMayCatDecalVuong(H$14,$D31,$E31)+ PhiMayInToner4M(ROUNDUP(H$14/$F31,0)*$E$6)+ (ROUNDUP(H$14/$F31,0)*$D$11))*(1+$D$7))</f>
        <v>138000</v>
      </c>
      <c r="I31" s="7">
        <f>LamChanHangNgan((PhiMayCatDecalVuong(I$14,$D31,$E31)+ PhiMayInToner4M(ROUNDUP(I$14/$F31,0)*$E$6)+ (ROUNDUP(I$14/$F31,0)*$D$11))*(1+$D$7))</f>
        <v>146000</v>
      </c>
      <c r="J31" s="7">
        <f>LamChanHangNgan((PhiMayCatDecalVuong(J$14,$D31,$E31)+ PhiMayInToner4M(ROUNDUP(J$14/$F31,0)*$E$6)+ (ROUNDUP(J$14/$F31,0)*$D$11))*(1+$D$7))</f>
        <v>153000</v>
      </c>
      <c r="K31" s="7">
        <f>LamChanHangNgan((PhiMayCatDecalVuong(K$14,$D31,$E31)+ PhiMayInToner4M(ROUNDUP(K$14/$F31,0)*$E$6)+ (ROUNDUP(K$14/$F31,0)*$D$11))*(1+$D$7))</f>
        <v>157000</v>
      </c>
      <c r="L31" s="7">
        <f>LamChanHangNgan((PhiMayCatDecalVuong(L$14,$D31,$E31)+ PhiMayInToner4M(ROUNDUP(L$14/$F31,0)*$E$6)+ (ROUNDUP(L$14/$F31,0)*$D$11))*(1+$D$7))</f>
        <v>164000</v>
      </c>
      <c r="M31" s="7">
        <f>LamChanHangNgan((PhiMayCatDecalVuong(M$14,$D31,$E31)+ PhiMayInToner4M(ROUNDUP(M$14/$F31,0)*$E$6)+ (ROUNDUP(M$14/$F31,0)*$D$11))*(1+$D$7))</f>
        <v>172000</v>
      </c>
      <c r="N31" s="7">
        <f>LamChanHangNgan((PhiMayCatDecalVuong(N$14,$D31,$E31)+ PhiMayInToner4M_Recoh(ROUNDUP(N$14/$F31,0)*$E$6)+ (ROUNDUP(N$14/$F31,0)*$D$11))*(1+$D$7))</f>
        <v>150000</v>
      </c>
      <c r="O31" s="7">
        <f>LamChanHangNgan((PhiMayCatDecalVuong(O$14,$D31,$E31)+ PhiMayInToner4M_Recoh(ROUNDUP(O$14/$F31,0)*$E$6)+ (ROUNDUP(O$14/$F31,0)*$D$11))*(1+$D$7))</f>
        <v>157000</v>
      </c>
      <c r="P31" s="7">
        <f>LamChanHangNgan((PhiMayCatDecalVuong(P$14,$D31,$E31)+ PhiMayInToner4M_Recoh(ROUNDUP(P$14/$F31,0)*$E$6)+ (ROUNDUP(P$14/$F31,0)*$D$11))*(1+$D$7))</f>
        <v>161000</v>
      </c>
      <c r="Q31" s="7">
        <f>LamChanHangNgan((PhiMayCatDecalVuong(Q$14,$D31,$E31)+ PhiMayInToner4M_Recoh(ROUNDUP(Q$14/$F31,0)*$E$6)+ (ROUNDUP(Q$14/$F31,0)*$D$11))*(1+$D$7))</f>
        <v>195000</v>
      </c>
      <c r="R31" s="7">
        <f>LamChanHangNgan((PhiMayCatDecalVuong(R$14,$D31,$E31)+ PhiMayInToner4M_Recoh(ROUNDUP(R$14/$F31,0)*$E$6)+ (ROUNDUP(R$14/$F31,0)*$D$11))*(1+$D$7))</f>
        <v>228000</v>
      </c>
      <c r="S31" s="7">
        <f>LamChanHangNgan((PhiMayCatDecalVuong(S$14,$D31,$E31)+ PhiMayInToner4M_Recoh(ROUNDUP(S$14/$F31,0)*$E$6)+ (ROUNDUP(S$14/$F31,0)*$D$11))*(1+$D$7))</f>
        <v>262000</v>
      </c>
      <c r="T31" s="7">
        <f>LamChanHangNgan((PhiMayCatDecalVuong(T$14,$D31,$E31)+ PhiMayInToner4M_Recoh(ROUNDUP(T$14/$F31,0)*$E$6)+ (ROUNDUP(T$14/$F31,0)*$D$11))*(1+$D$7))</f>
        <v>295000</v>
      </c>
      <c r="U31" s="7">
        <f>LamChanHangNgan((PhiMayCatDecalVuong(U$14,$D31,$E31)+ PhiMayInToner4M_Recoh(ROUNDUP(U$14/$F31,0)*$E$6)+ (ROUNDUP(U$14/$F31,0)*$D$11))*(1+$D$7))</f>
        <v>329000</v>
      </c>
      <c r="V31" s="7">
        <f>LamChanHangNgan((PhiMayCatDecalVuong(V$14,$D31,$E31)+ PhiMayInToner4M_Recoh(ROUNDUP(V$14/$F31,0)*$E$6)+ (ROUNDUP(V$14/$F31,0)*$D$11))*(1+$D$7))</f>
        <v>362000</v>
      </c>
      <c r="W31" s="7">
        <f>LamChanHangNgan((PhiMayCatDecalVuong(W$14,$D31,$E31)+ PhiMayInToner4M_Recoh(ROUNDUP(W$14/$F31,0)*$E$6)+ (ROUNDUP(W$14/$F31,0)*$D$11))*(1+$D$7))</f>
        <v>396000</v>
      </c>
      <c r="X31" s="7">
        <f>LamChanHangNgan((PhiMayCatDecalVuong(X$14,$D31,$E31)+ PhiMayInToner4M_Recoh(ROUNDUP(X$14/$F31,0)*$E$6)+ (ROUNDUP(X$14/$F31,0)*$D$11))*(1+$D$7))</f>
        <v>430000</v>
      </c>
      <c r="Y31" s="7">
        <f>LamChanHangNgan((PhiMayCatDecalVuong(Y$14,$D31,$E31)+ PhiMayInToner4M_Recoh(ROUNDUP(Y$14/$F31,0)*$E$6)+ (ROUNDUP(Y$14/$F31,0)*$D$11))*(1+$D$7))</f>
        <v>761000</v>
      </c>
    </row>
    <row r="32" spans="1:25" x14ac:dyDescent="0.4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3">
        <f t="shared" si="4"/>
        <v>56</v>
      </c>
      <c r="G32" s="7">
        <f>LamChanHangNgan((PhiMayCatDecalVuong(G$14,$D32,$E32)+ PhiMayInToner4M(ROUNDUP(G$14/$F32,0)*$E$6)+ (ROUNDUP(G$14/$F32,0)*$D$11))*(1+$D$7))</f>
        <v>131000</v>
      </c>
      <c r="H32" s="7">
        <f>LamChanHangNgan((PhiMayCatDecalVuong(H$14,$D32,$E32)+ PhiMayInToner4M(ROUNDUP(H$14/$F32,0)*$E$6)+ (ROUNDUP(H$14/$F32,0)*$D$11))*(1+$D$7))</f>
        <v>138000</v>
      </c>
      <c r="I32" s="7">
        <f>LamChanHangNgan((PhiMayCatDecalVuong(I$14,$D32,$E32)+ PhiMayInToner4M(ROUNDUP(I$14/$F32,0)*$E$6)+ (ROUNDUP(I$14/$F32,0)*$D$11))*(1+$D$7))</f>
        <v>146000</v>
      </c>
      <c r="J32" s="7">
        <f>LamChanHangNgan((PhiMayCatDecalVuong(J$14,$D32,$E32)+ PhiMayInToner4M(ROUNDUP(J$14/$F32,0)*$E$6)+ (ROUNDUP(J$14/$F32,0)*$D$11))*(1+$D$7))</f>
        <v>153000</v>
      </c>
      <c r="K32" s="7">
        <f>LamChanHangNgan((PhiMayCatDecalVuong(K$14,$D32,$E32)+ PhiMayInToner4M(ROUNDUP(K$14/$F32,0)*$E$6)+ (ROUNDUP(K$14/$F32,0)*$D$11))*(1+$D$7))</f>
        <v>157000</v>
      </c>
      <c r="L32" s="7">
        <f>LamChanHangNgan((PhiMayCatDecalVuong(L$14,$D32,$E32)+ PhiMayInToner4M(ROUNDUP(L$14/$F32,0)*$E$6)+ (ROUNDUP(L$14/$F32,0)*$D$11))*(1+$D$7))</f>
        <v>164000</v>
      </c>
      <c r="M32" s="7">
        <f>LamChanHangNgan((PhiMayCatDecalVuong(M$14,$D32,$E32)+ PhiMayInToner4M(ROUNDUP(M$14/$F32,0)*$E$6)+ (ROUNDUP(M$14/$F32,0)*$D$11))*(1+$D$7))</f>
        <v>172000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158000</v>
      </c>
      <c r="P32" s="7">
        <f>LamChanHangNgan((PhiMayCatDecalVuong(P$14,$D32,$E32)+ PhiMayInToner4M_Recoh(ROUNDUP(P$14/$F32,0)*$E$6)+ (ROUNDUP(P$14/$F32,0)*$D$11))*(1+$D$7))</f>
        <v>162000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229000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296000</v>
      </c>
      <c r="U32" s="7">
        <f>LamChanHangNgan((PhiMayCatDecalVuong(U$14,$D32,$E32)+ PhiMayInToner4M_Recoh(ROUNDUP(U$14/$F32,0)*$E$6)+ (ROUNDUP(U$14/$F32,0)*$D$11))*(1+$D$7))</f>
        <v>330000</v>
      </c>
      <c r="V32" s="7">
        <f>LamChanHangNgan((PhiMayCatDecalVuong(V$14,$D32,$E32)+ PhiMayInToner4M_Recoh(ROUNDUP(V$14/$F32,0)*$E$6)+ (ROUNDUP(V$14/$F32,0)*$D$11))*(1+$D$7))</f>
        <v>363000</v>
      </c>
      <c r="W32" s="7">
        <f>LamChanHangNgan((PhiMayCatDecalVuong(W$14,$D32,$E32)+ PhiMayInToner4M_Recoh(ROUNDUP(W$14/$F32,0)*$E$6)+ (ROUNDUP(W$14/$F32,0)*$D$11))*(1+$D$7))</f>
        <v>397000</v>
      </c>
      <c r="X32" s="7">
        <f>LamChanHangNgan((PhiMayCatDecalVuong(X$14,$D32,$E32)+ PhiMayInToner4M_Recoh(ROUNDUP(X$14/$F32,0)*$E$6)+ (ROUNDUP(X$14/$F32,0)*$D$11))*(1+$D$7))</f>
        <v>431000</v>
      </c>
      <c r="Y32" s="7">
        <f>LamChanHangNgan((PhiMayCatDecalVuong(Y$14,$D32,$E32)+ PhiMayInToner4M_Recoh(ROUNDUP(Y$14/$F32,0)*$E$6)+ (ROUNDUP(Y$14/$F32,0)*$D$11))*(1+$D$7))</f>
        <v>764000</v>
      </c>
    </row>
    <row r="33" spans="1:25" x14ac:dyDescent="0.4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3">
        <f t="shared" si="4"/>
        <v>48</v>
      </c>
      <c r="G33" s="7">
        <f>LamChanHangNgan((PhiMayCatDecalVuong(G$14,$D33,$E33)+ PhiMayInToner4M(ROUNDUP(G$14/$F33,0)*$E$6)+ (ROUNDUP(G$14/$F33,0)*$D$11))*(1+$D$7))</f>
        <v>134000</v>
      </c>
      <c r="H33" s="7">
        <f>LamChanHangNgan((PhiMayCatDecalVuong(H$14,$D33,$E33)+ PhiMayInToner4M(ROUNDUP(H$14/$F33,0)*$E$6)+ (ROUNDUP(H$14/$F33,0)*$D$11))*(1+$D$7))</f>
        <v>142000</v>
      </c>
      <c r="I33" s="7">
        <f>LamChanHangNgan((PhiMayCatDecalVuong(I$14,$D33,$E33)+ PhiMayInToner4M(ROUNDUP(I$14/$F33,0)*$E$6)+ (ROUNDUP(I$14/$F33,0)*$D$11))*(1+$D$7))</f>
        <v>149000</v>
      </c>
      <c r="J33" s="7">
        <f>LamChanHangNgan((PhiMayCatDecalVuong(J$14,$D33,$E33)+ PhiMayInToner4M(ROUNDUP(J$14/$F33,0)*$E$6)+ (ROUNDUP(J$14/$F33,0)*$D$11))*(1+$D$7))</f>
        <v>157000</v>
      </c>
      <c r="K33" s="7">
        <f>LamChanHangNgan((PhiMayCatDecalVuong(K$14,$D33,$E33)+ PhiMayInToner4M(ROUNDUP(K$14/$F33,0)*$E$6)+ (ROUNDUP(K$14/$F33,0)*$D$11))*(1+$D$7))</f>
        <v>164000</v>
      </c>
      <c r="L33" s="7">
        <f>LamChanHangNgan((PhiMayCatDecalVuong(L$14,$D33,$E33)+ PhiMayInToner4M(ROUNDUP(L$14/$F33,0)*$E$6)+ (ROUNDUP(L$14/$F33,0)*$D$11))*(1+$D$7))</f>
        <v>172000</v>
      </c>
      <c r="M33" s="7">
        <f>LamChanHangNgan((PhiMayCatDecalVuong(M$14,$D33,$E33)+ PhiMayInToner4M(ROUNDUP(M$14/$F33,0)*$E$6)+ (ROUNDUP(M$14/$F33,0)*$D$11))*(1+$D$7))</f>
        <v>179000</v>
      </c>
      <c r="N33" s="7">
        <f>LamChanHangNgan((PhiMayCatDecalVuong(N$14,$D33,$E33)+ PhiMayInToner4M_Recoh(ROUNDUP(N$14/$F33,0)*$E$6)+ (ROUNDUP(N$14/$F33,0)*$D$11))*(1+$D$7))</f>
        <v>157000</v>
      </c>
      <c r="O33" s="7">
        <f>LamChanHangNgan((PhiMayCatDecalVuong(O$14,$D33,$E33)+ PhiMayInToner4M_Recoh(ROUNDUP(O$14/$F33,0)*$E$6)+ (ROUNDUP(O$14/$F33,0)*$D$11))*(1+$D$7))</f>
        <v>165000</v>
      </c>
      <c r="P33" s="7">
        <f>LamChanHangNgan((PhiMayCatDecalVuong(P$14,$D33,$E33)+ PhiMayInToner4M_Recoh(ROUNDUP(P$14/$F33,0)*$E$6)+ (ROUNDUP(P$14/$F33,0)*$D$11))*(1+$D$7))</f>
        <v>172000</v>
      </c>
      <c r="Q33" s="7">
        <f>LamChanHangNgan((PhiMayCatDecalVuong(Q$14,$D33,$E33)+ PhiMayInToner4M_Recoh(ROUNDUP(Q$14/$F33,0)*$E$6)+ (ROUNDUP(Q$14/$F33,0)*$D$11))*(1+$D$7))</f>
        <v>213000</v>
      </c>
      <c r="R33" s="7">
        <f>LamChanHangNgan((PhiMayCatDecalVuong(R$14,$D33,$E33)+ PhiMayInToner4M_Recoh(ROUNDUP(R$14/$F33,0)*$E$6)+ (ROUNDUP(R$14/$F33,0)*$D$11))*(1+$D$7))</f>
        <v>250000</v>
      </c>
      <c r="S33" s="7">
        <f>LamChanHangNgan((PhiMayCatDecalVuong(S$14,$D33,$E33)+ PhiMayInToner4M_Recoh(ROUNDUP(S$14/$F33,0)*$E$6)+ (ROUNDUP(S$14/$F33,0)*$D$11))*(1+$D$7))</f>
        <v>291000</v>
      </c>
      <c r="T33" s="7">
        <f>LamChanHangNgan((PhiMayCatDecalVuong(T$14,$D33,$E33)+ PhiMayInToner4M_Recoh(ROUNDUP(T$14/$F33,0)*$E$6)+ (ROUNDUP(T$14/$F33,0)*$D$11))*(1+$D$7))</f>
        <v>328000</v>
      </c>
      <c r="U33" s="7">
        <f>LamChanHangNgan((PhiMayCatDecalVuong(U$14,$D33,$E33)+ PhiMayInToner4M_Recoh(ROUNDUP(U$14/$F33,0)*$E$6)+ (ROUNDUP(U$14/$F33,0)*$D$11))*(1+$D$7))</f>
        <v>365000</v>
      </c>
      <c r="V33" s="7">
        <f>LamChanHangNgan((PhiMayCatDecalVuong(V$14,$D33,$E33)+ PhiMayInToner4M_Recoh(ROUNDUP(V$14/$F33,0)*$E$6)+ (ROUNDUP(V$14/$F33,0)*$D$11))*(1+$D$7))</f>
        <v>406000</v>
      </c>
      <c r="W33" s="7">
        <f>LamChanHangNgan((PhiMayCatDecalVuong(W$14,$D33,$E33)+ PhiMayInToner4M_Recoh(ROUNDUP(W$14/$F33,0)*$E$6)+ (ROUNDUP(W$14/$F33,0)*$D$11))*(1+$D$7))</f>
        <v>443000</v>
      </c>
      <c r="X33" s="7">
        <f>LamChanHangNgan((PhiMayCatDecalVuong(X$14,$D33,$E33)+ PhiMayInToner4M_Recoh(ROUNDUP(X$14/$F33,0)*$E$6)+ (ROUNDUP(X$14/$F33,0)*$D$11))*(1+$D$7))</f>
        <v>484000</v>
      </c>
      <c r="Y33" s="7">
        <f>LamChanHangNgan((PhiMayCatDecalVuong(Y$14,$D33,$E33)+ PhiMayInToner4M_Recoh(ROUNDUP(Y$14/$F33,0)*$E$6)+ (ROUNDUP(Y$14/$F33,0)*$D$11))*(1+$D$7))</f>
        <v>871000</v>
      </c>
    </row>
    <row r="34" spans="1:25" x14ac:dyDescent="0.4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3">
        <f t="shared" si="4"/>
        <v>48</v>
      </c>
      <c r="G34" s="7">
        <f>LamChanHangNgan((PhiMayCatDecalVuong(G$14,$D34,$E34)+ PhiMayInToner4M(ROUNDUP(G$14/$F34,0)*$E$6)+ (ROUNDUP(G$14/$F34,0)*$D$11))*(1+$D$7))</f>
        <v>134000</v>
      </c>
      <c r="H34" s="7">
        <f>LamChanHangNgan((PhiMayCatDecalVuong(H$14,$D34,$E34)+ PhiMayInToner4M(ROUNDUP(H$14/$F34,0)*$E$6)+ (ROUNDUP(H$14/$F34,0)*$D$11))*(1+$D$7))</f>
        <v>142000</v>
      </c>
      <c r="I34" s="7">
        <f>LamChanHangNgan((PhiMayCatDecalVuong(I$14,$D34,$E34)+ PhiMayInToner4M(ROUNDUP(I$14/$F34,0)*$E$6)+ (ROUNDUP(I$14/$F34,0)*$D$11))*(1+$D$7))</f>
        <v>149000</v>
      </c>
      <c r="J34" s="7">
        <f>LamChanHangNgan((PhiMayCatDecalVuong(J$14,$D34,$E34)+ PhiMayInToner4M(ROUNDUP(J$14/$F34,0)*$E$6)+ (ROUNDUP(J$14/$F34,0)*$D$11))*(1+$D$7))</f>
        <v>157000</v>
      </c>
      <c r="K34" s="7">
        <f>LamChanHangNgan((PhiMayCatDecalVuong(K$14,$D34,$E34)+ PhiMayInToner4M(ROUNDUP(K$14/$F34,0)*$E$6)+ (ROUNDUP(K$14/$F34,0)*$D$11))*(1+$D$7))</f>
        <v>164000</v>
      </c>
      <c r="L34" s="7">
        <f>LamChanHangNgan((PhiMayCatDecalVuong(L$14,$D34,$E34)+ PhiMayInToner4M(ROUNDUP(L$14/$F34,0)*$E$6)+ (ROUNDUP(L$14/$F34,0)*$D$11))*(1+$D$7))</f>
        <v>172000</v>
      </c>
      <c r="M34" s="7">
        <f>LamChanHangNgan((PhiMayCatDecalVuong(M$14,$D34,$E34)+ PhiMayInToner4M(ROUNDUP(M$14/$F34,0)*$E$6)+ (ROUNDUP(M$14/$F34,0)*$D$11))*(1+$D$7))</f>
        <v>179000</v>
      </c>
      <c r="N34" s="7">
        <f>LamChanHangNgan((PhiMayCatDecalVuong(N$14,$D34,$E34)+ PhiMayInToner4M_Recoh(ROUNDUP(N$14/$F34,0)*$E$6)+ (ROUNDUP(N$14/$F34,0)*$D$11))*(1+$D$7))</f>
        <v>158000</v>
      </c>
      <c r="O34" s="7">
        <f>LamChanHangNgan((PhiMayCatDecalVuong(O$14,$D34,$E34)+ PhiMayInToner4M_Recoh(ROUNDUP(O$14/$F34,0)*$E$6)+ (ROUNDUP(O$14/$F34,0)*$D$11))*(1+$D$7))</f>
        <v>165000</v>
      </c>
      <c r="P34" s="7">
        <f>LamChanHangNgan((PhiMayCatDecalVuong(P$14,$D34,$E34)+ PhiMayInToner4M_Recoh(ROUNDUP(P$14/$F34,0)*$E$6)+ (ROUNDUP(P$14/$F34,0)*$D$11))*(1+$D$7))</f>
        <v>173000</v>
      </c>
      <c r="Q34" s="7">
        <f>LamChanHangNgan((PhiMayCatDecalVuong(Q$14,$D34,$E34)+ PhiMayInToner4M_Recoh(ROUNDUP(Q$14/$F34,0)*$E$6)+ (ROUNDUP(Q$14/$F34,0)*$D$11))*(1+$D$7))</f>
        <v>213000</v>
      </c>
      <c r="R34" s="7">
        <f>LamChanHangNgan((PhiMayCatDecalVuong(R$14,$D34,$E34)+ PhiMayInToner4M_Recoh(ROUNDUP(R$14/$F34,0)*$E$6)+ (ROUNDUP(R$14/$F34,0)*$D$11))*(1+$D$7))</f>
        <v>251000</v>
      </c>
      <c r="S34" s="7">
        <f>LamChanHangNgan((PhiMayCatDecalVuong(S$14,$D34,$E34)+ PhiMayInToner4M_Recoh(ROUNDUP(S$14/$F34,0)*$E$6)+ (ROUNDUP(S$14/$F34,0)*$D$11))*(1+$D$7))</f>
        <v>292000</v>
      </c>
      <c r="T34" s="7">
        <f>LamChanHangNgan((PhiMayCatDecalVuong(T$14,$D34,$E34)+ PhiMayInToner4M_Recoh(ROUNDUP(T$14/$F34,0)*$E$6)+ (ROUNDUP(T$14/$F34,0)*$D$11))*(1+$D$7))</f>
        <v>329000</v>
      </c>
      <c r="U34" s="7">
        <f>LamChanHangNgan((PhiMayCatDecalVuong(U$14,$D34,$E34)+ PhiMayInToner4M_Recoh(ROUNDUP(U$14/$F34,0)*$E$6)+ (ROUNDUP(U$14/$F34,0)*$D$11))*(1+$D$7))</f>
        <v>366000</v>
      </c>
      <c r="V34" s="7">
        <f>LamChanHangNgan((PhiMayCatDecalVuong(V$14,$D34,$E34)+ PhiMayInToner4M_Recoh(ROUNDUP(V$14/$F34,0)*$E$6)+ (ROUNDUP(V$14/$F34,0)*$D$11))*(1+$D$7))</f>
        <v>407000</v>
      </c>
      <c r="W34" s="7">
        <f>LamChanHangNgan((PhiMayCatDecalVuong(W$14,$D34,$E34)+ PhiMayInToner4M_Recoh(ROUNDUP(W$14/$F34,0)*$E$6)+ (ROUNDUP(W$14/$F34,0)*$D$11))*(1+$D$7))</f>
        <v>445000</v>
      </c>
      <c r="X34" s="7">
        <f>LamChanHangNgan((PhiMayCatDecalVuong(X$14,$D34,$E34)+ PhiMayInToner4M_Recoh(ROUNDUP(X$14/$F34,0)*$E$6)+ (ROUNDUP(X$14/$F34,0)*$D$11))*(1+$D$7))</f>
        <v>485000</v>
      </c>
      <c r="Y34" s="7">
        <f>LamChanHangNgan((PhiMayCatDecalVuong(Y$14,$D34,$E34)+ PhiMayInToner4M_Recoh(ROUNDUP(Y$14/$F34,0)*$E$6)+ (ROUNDUP(Y$14/$F34,0)*$D$11))*(1+$D$7))</f>
        <v>873000</v>
      </c>
    </row>
    <row r="35" spans="1:25" x14ac:dyDescent="0.45">
      <c r="B35">
        <v>21</v>
      </c>
      <c r="C35" t="str">
        <f t="shared" si="3"/>
        <v>4 x 7 cm</v>
      </c>
      <c r="D35">
        <v>4</v>
      </c>
      <c r="E35">
        <v>7</v>
      </c>
      <c r="F35" s="43">
        <f t="shared" si="4"/>
        <v>40</v>
      </c>
      <c r="G35" s="7">
        <f>LamChanHangNgan((PhiMayCatDecalVuong(G$14,$D35,$E35)+ PhiMayInToner4M(ROUNDUP(G$14/$F35,0)*$E$6)+ (ROUNDUP(G$14/$F35,0)*$D$11))*(1+$D$7))</f>
        <v>134000</v>
      </c>
      <c r="H35" s="7">
        <f>LamChanHangNgan((PhiMayCatDecalVuong(H$14,$D35,$E35)+ PhiMayInToner4M(ROUNDUP(H$14/$F35,0)*$E$6)+ (ROUNDUP(H$14/$F35,0)*$D$11))*(1+$D$7))</f>
        <v>142000</v>
      </c>
      <c r="I35" s="7">
        <f>LamChanHangNgan((PhiMayCatDecalVuong(I$14,$D35,$E35)+ PhiMayInToner4M(ROUNDUP(I$14/$F35,0)*$E$6)+ (ROUNDUP(I$14/$F35,0)*$D$11))*(1+$D$7))</f>
        <v>153000</v>
      </c>
      <c r="J35" s="7">
        <f>LamChanHangNgan((PhiMayCatDecalVuong(J$14,$D35,$E35)+ PhiMayInToner4M(ROUNDUP(J$14/$F35,0)*$E$6)+ (ROUNDUP(J$14/$F35,0)*$D$11))*(1+$D$7))</f>
        <v>160000</v>
      </c>
      <c r="K35" s="7">
        <f>LamChanHangNgan((PhiMayCatDecalVuong(K$14,$D35,$E35)+ PhiMayInToner4M(ROUNDUP(K$14/$F35,0)*$E$6)+ (ROUNDUP(K$14/$F35,0)*$D$11))*(1+$D$7))</f>
        <v>171000</v>
      </c>
      <c r="L35" s="7">
        <f>LamChanHangNgan((PhiMayCatDecalVuong(L$14,$D35,$E35)+ PhiMayInToner4M(ROUNDUP(L$14/$F35,0)*$E$6)+ (ROUNDUP(L$14/$F35,0)*$D$11))*(1+$D$7))</f>
        <v>179000</v>
      </c>
      <c r="M35" s="7">
        <f>LamChanHangNgan((PhiMayCatDecalVuong(M$14,$D35,$E35)+ PhiMayInToner4M(ROUNDUP(M$14/$F35,0)*$E$6)+ (ROUNDUP(M$14/$F35,0)*$D$11))*(1+$D$7))</f>
        <v>190000</v>
      </c>
      <c r="N35" s="7">
        <f>LamChanHangNgan((PhiMayCatDecalVuong(N$14,$D35,$E35)+ PhiMayInToner4M_Recoh(ROUNDUP(N$14/$F35,0)*$E$6)+ (ROUNDUP(N$14/$F35,0)*$D$11))*(1+$D$7))</f>
        <v>168000</v>
      </c>
      <c r="O35" s="7">
        <f>LamChanHangNgan((PhiMayCatDecalVuong(O$14,$D35,$E35)+ PhiMayInToner4M_Recoh(ROUNDUP(O$14/$F35,0)*$E$6)+ (ROUNDUP(O$14/$F35,0)*$D$11))*(1+$D$7))</f>
        <v>179000</v>
      </c>
      <c r="P35" s="7">
        <f>LamChanHangNgan((PhiMayCatDecalVuong(P$14,$D35,$E35)+ PhiMayInToner4M_Recoh(ROUNDUP(P$14/$F35,0)*$E$6)+ (ROUNDUP(P$14/$F35,0)*$D$11))*(1+$D$7))</f>
        <v>187000</v>
      </c>
      <c r="Q35" s="7">
        <f>LamChanHangNgan((PhiMayCatDecalVuong(Q$14,$D35,$E35)+ PhiMayInToner4M_Recoh(ROUNDUP(Q$14/$F35,0)*$E$6)+ (ROUNDUP(Q$14/$F35,0)*$D$11))*(1+$D$7))</f>
        <v>235000</v>
      </c>
      <c r="R35" s="7">
        <f>LamChanHangNgan((PhiMayCatDecalVuong(R$14,$D35,$E35)+ PhiMayInToner4M_Recoh(ROUNDUP(R$14/$F35,0)*$E$6)+ (ROUNDUP(R$14/$F35,0)*$D$11))*(1+$D$7))</f>
        <v>279000</v>
      </c>
      <c r="S35" s="7">
        <f>LamChanHangNgan((PhiMayCatDecalVuong(S$14,$D35,$E35)+ PhiMayInToner4M_Recoh(ROUNDUP(S$14/$F35,0)*$E$6)+ (ROUNDUP(S$14/$F35,0)*$D$11))*(1+$D$7))</f>
        <v>327000</v>
      </c>
      <c r="T35" s="7">
        <f>LamChanHangNgan((PhiMayCatDecalVuong(T$14,$D35,$E35)+ PhiMayInToner4M_Recoh(ROUNDUP(T$14/$F35,0)*$E$6)+ (ROUNDUP(T$14/$F35,0)*$D$11))*(1+$D$7))</f>
        <v>372000</v>
      </c>
      <c r="U35" s="7">
        <f>LamChanHangNgan((PhiMayCatDecalVuong(U$14,$D35,$E35)+ PhiMayInToner4M_Recoh(ROUNDUP(U$14/$F35,0)*$E$6)+ (ROUNDUP(U$14/$F35,0)*$D$11))*(1+$D$7))</f>
        <v>419000</v>
      </c>
      <c r="V35" s="7">
        <f>LamChanHangNgan((PhiMayCatDecalVuong(V$14,$D35,$E35)+ PhiMayInToner4M_Recoh(ROUNDUP(V$14/$F35,0)*$E$6)+ (ROUNDUP(V$14/$F35,0)*$D$11))*(1+$D$7))</f>
        <v>464000</v>
      </c>
      <c r="W35" s="7">
        <f>LamChanHangNgan((PhiMayCatDecalVuong(W$14,$D35,$E35)+ PhiMayInToner4M_Recoh(ROUNDUP(W$14/$F35,0)*$E$6)+ (ROUNDUP(W$14/$F35,0)*$D$11))*(1+$D$7))</f>
        <v>512000</v>
      </c>
      <c r="X35" s="7">
        <f>LamChanHangNgan((PhiMayCatDecalVuong(X$14,$D35,$E35)+ PhiMayInToner4M_Recoh(ROUNDUP(X$14/$F35,0)*$E$6)+ (ROUNDUP(X$14/$F35,0)*$D$11))*(1+$D$7))</f>
        <v>556000</v>
      </c>
      <c r="Y35" s="7">
        <f>LamChanHangNgan((PhiMayCatDecalVuong(Y$14,$D35,$E35)+ PhiMayInToner4M_Recoh(ROUNDUP(Y$14/$F35,0)*$E$6)+ (ROUNDUP(Y$14/$F35,0)*$D$11))*(1+$D$7))</f>
        <v>1018000</v>
      </c>
    </row>
    <row r="36" spans="1:25" x14ac:dyDescent="0.45">
      <c r="B36">
        <v>22</v>
      </c>
      <c r="C36" t="str">
        <f t="shared" si="3"/>
        <v>4 x 8 cm</v>
      </c>
      <c r="D36">
        <v>4</v>
      </c>
      <c r="E36">
        <v>8</v>
      </c>
      <c r="F36" s="43">
        <f t="shared" si="4"/>
        <v>36</v>
      </c>
      <c r="G36" s="7">
        <f>LamChanHangNgan((PhiMayCatDecalVuong(G$14,$D36,$E36)+ PhiMayInToner4M(ROUNDUP(G$14/$F36,0)*$E$6)+ (ROUNDUP(G$14/$F36,0)*$D$11))*(1+$D$7))</f>
        <v>134000</v>
      </c>
      <c r="H36" s="7">
        <f>LamChanHangNgan((PhiMayCatDecalVuong(H$14,$D36,$E36)+ PhiMayInToner4M(ROUNDUP(H$14/$F36,0)*$E$6)+ (ROUNDUP(H$14/$F36,0)*$D$11))*(1+$D$7))</f>
        <v>145000</v>
      </c>
      <c r="I36" s="7">
        <f>LamChanHangNgan((PhiMayCatDecalVuong(I$14,$D36,$E36)+ PhiMayInToner4M(ROUNDUP(I$14/$F36,0)*$E$6)+ (ROUNDUP(I$14/$F36,0)*$D$11))*(1+$D$7))</f>
        <v>157000</v>
      </c>
      <c r="J36" s="7">
        <f>LamChanHangNgan((PhiMayCatDecalVuong(J$14,$D36,$E36)+ PhiMayInToner4M(ROUNDUP(J$14/$F36,0)*$E$6)+ (ROUNDUP(J$14/$F36,0)*$D$11))*(1+$D$7))</f>
        <v>168000</v>
      </c>
      <c r="K36" s="7">
        <f>LamChanHangNgan((PhiMayCatDecalVuong(K$14,$D36,$E36)+ PhiMayInToner4M(ROUNDUP(K$14/$F36,0)*$E$6)+ (ROUNDUP(K$14/$F36,0)*$D$11))*(1+$D$7))</f>
        <v>175000</v>
      </c>
      <c r="L36" s="7">
        <f>LamChanHangNgan((PhiMayCatDecalVuong(L$14,$D36,$E36)+ PhiMayInToner4M(ROUNDUP(L$14/$F36,0)*$E$6)+ (ROUNDUP(L$14/$F36,0)*$D$11))*(1+$D$7))</f>
        <v>186000</v>
      </c>
      <c r="M36" s="7">
        <f>LamChanHangNgan((PhiMayCatDecalVuong(M$14,$D36,$E36)+ PhiMayInToner4M(ROUNDUP(M$14/$F36,0)*$E$6)+ (ROUNDUP(M$14/$F36,0)*$D$11))*(1+$D$7))</f>
        <v>197000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187000</v>
      </c>
      <c r="P36" s="7">
        <f>LamChanHangNgan((PhiMayCatDecalVuong(P$14,$D36,$E36)+ PhiMayInToner4M_Recoh(ROUNDUP(P$14/$F36,0)*$E$6)+ (ROUNDUP(P$14/$F36,0)*$D$11))*(1+$D$7))</f>
        <v>198000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353000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456000</v>
      </c>
      <c r="V36" s="7">
        <f>LamChanHangNgan((PhiMayCatDecalVuong(V$14,$D36,$E36)+ PhiMayInToner4M_Recoh(ROUNDUP(V$14/$F36,0)*$E$6)+ (ROUNDUP(V$14/$F36,0)*$D$11))*(1+$D$7))</f>
        <v>508000</v>
      </c>
      <c r="W36" s="7">
        <f>LamChanHangNgan((PhiMayCatDecalVuong(W$14,$D36,$E36)+ PhiMayInToner4M_Recoh(ROUNDUP(W$14/$F36,0)*$E$6)+ (ROUNDUP(W$14/$F36,0)*$D$11))*(1+$D$7))</f>
        <v>556000</v>
      </c>
      <c r="X36" s="7">
        <f>LamChanHangNgan((PhiMayCatDecalVuong(X$14,$D36,$E36)+ PhiMayInToner4M_Recoh(ROUNDUP(X$14/$F36,0)*$E$6)+ (ROUNDUP(X$14/$F36,0)*$D$11))*(1+$D$7))</f>
        <v>608000</v>
      </c>
      <c r="Y36" s="7">
        <f>LamChanHangNgan((PhiMayCatDecalVuong(Y$14,$D36,$E36)+ PhiMayInToner4M_Recoh(ROUNDUP(Y$14/$F36,0)*$E$6)+ (ROUNDUP(Y$14/$F36,0)*$D$11))*(1+$D$7))</f>
        <v>1121000</v>
      </c>
    </row>
    <row r="37" spans="1:25" x14ac:dyDescent="0.4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3">
        <f t="shared" si="4"/>
        <v>28</v>
      </c>
      <c r="G37" s="7">
        <f>LamChanHangNgan((PhiMayCatDecalVuong(G$14,$D37,$E37)+ PhiMayInToner4M(ROUNDUP(G$14/$F37,0)*$E$6)+ (ROUNDUP(G$14/$F37,0)*$D$11))*(1+$D$7))</f>
        <v>138000</v>
      </c>
      <c r="H37" s="7">
        <f>LamChanHangNgan((PhiMayCatDecalVuong(H$14,$D37,$E37)+ PhiMayInToner4M(ROUNDUP(H$14/$F37,0)*$E$6)+ (ROUNDUP(H$14/$F37,0)*$D$11))*(1+$D$7))</f>
        <v>153000</v>
      </c>
      <c r="I37" s="7">
        <f>LamChanHangNgan((PhiMayCatDecalVuong(I$14,$D37,$E37)+ PhiMayInToner4M(ROUNDUP(I$14/$F37,0)*$E$6)+ (ROUNDUP(I$14/$F37,0)*$D$11))*(1+$D$7))</f>
        <v>164000</v>
      </c>
      <c r="J37" s="7">
        <f>LamChanHangNgan((PhiMayCatDecalVuong(J$14,$D37,$E37)+ PhiMayInToner4M(ROUNDUP(J$14/$F37,0)*$E$6)+ (ROUNDUP(J$14/$F37,0)*$D$11))*(1+$D$7))</f>
        <v>178000</v>
      </c>
      <c r="K37" s="7">
        <f>LamChanHangNgan((PhiMayCatDecalVuong(K$14,$D37,$E37)+ PhiMayInToner4M(ROUNDUP(K$14/$F37,0)*$E$6)+ (ROUNDUP(K$14/$F37,0)*$D$11))*(1+$D$7))</f>
        <v>189000</v>
      </c>
      <c r="L37" s="7">
        <f>LamChanHangNgan((PhiMayCatDecalVuong(L$14,$D37,$E37)+ PhiMayInToner4M(ROUNDUP(L$14/$F37,0)*$E$6)+ (ROUNDUP(L$14/$F37,0)*$D$11))*(1+$D$7))</f>
        <v>204000</v>
      </c>
      <c r="M37" s="7">
        <f>LamChanHangNgan((PhiMayCatDecalVuong(M$14,$D37,$E37)+ PhiMayInToner4M(ROUNDUP(M$14/$F37,0)*$E$6)+ (ROUNDUP(M$14/$F37,0)*$D$11))*(1+$D$7))</f>
        <v>215000</v>
      </c>
      <c r="N37" s="7">
        <f>LamChanHangNgan((PhiMayCatDecalVuong(N$14,$D37,$E37)+ PhiMayInToner4M_Recoh(ROUNDUP(N$14/$F37,0)*$E$6)+ (ROUNDUP(N$14/$F37,0)*$D$11))*(1+$D$7))</f>
        <v>201000</v>
      </c>
      <c r="O37" s="7">
        <f>LamChanHangNgan((PhiMayCatDecalVuong(O$14,$D37,$E37)+ PhiMayInToner4M_Recoh(ROUNDUP(O$14/$F37,0)*$E$6)+ (ROUNDUP(O$14/$F37,0)*$D$11))*(1+$D$7))</f>
        <v>215000</v>
      </c>
      <c r="P37" s="7">
        <f>LamChanHangNgan((PhiMayCatDecalVuong(P$14,$D37,$E37)+ PhiMayInToner4M_Recoh(ROUNDUP(P$14/$F37,0)*$E$6)+ (ROUNDUP(P$14/$F37,0)*$D$11))*(1+$D$7))</f>
        <v>226000</v>
      </c>
      <c r="Q37" s="7">
        <f>LamChanHangNgan((PhiMayCatDecalVuong(Q$14,$D37,$E37)+ PhiMayInToner4M_Recoh(ROUNDUP(Q$14/$F37,0)*$E$6)+ (ROUNDUP(Q$14/$F37,0)*$D$11))*(1+$D$7))</f>
        <v>292000</v>
      </c>
      <c r="R37" s="7">
        <f>LamChanHangNgan((PhiMayCatDecalVuong(R$14,$D37,$E37)+ PhiMayInToner4M_Recoh(ROUNDUP(R$14/$F37,0)*$E$6)+ (ROUNDUP(R$14/$F37,0)*$D$11))*(1+$D$7))</f>
        <v>358000</v>
      </c>
      <c r="S37" s="7">
        <f>LamChanHangNgan((PhiMayCatDecalVuong(S$14,$D37,$E37)+ PhiMayInToner4M_Recoh(ROUNDUP(S$14/$F37,0)*$E$6)+ (ROUNDUP(S$14/$F37,0)*$D$11))*(1+$D$7))</f>
        <v>424000</v>
      </c>
      <c r="T37" s="7">
        <f>LamChanHangNgan((PhiMayCatDecalVuong(T$14,$D37,$E37)+ PhiMayInToner4M_Recoh(ROUNDUP(T$14/$F37,0)*$E$6)+ (ROUNDUP(T$14/$F37,0)*$D$11))*(1+$D$7))</f>
        <v>490000</v>
      </c>
      <c r="U37" s="7">
        <f>LamChanHangNgan((PhiMayCatDecalVuong(U$14,$D37,$E37)+ PhiMayInToner4M_Recoh(ROUNDUP(U$14/$F37,0)*$E$6)+ (ROUNDUP(U$14/$F37,0)*$D$11))*(1+$D$7))</f>
        <v>553000</v>
      </c>
      <c r="V37" s="7">
        <f>LamChanHangNgan((PhiMayCatDecalVuong(V$14,$D37,$E37)+ PhiMayInToner4M_Recoh(ROUNDUP(V$14/$F37,0)*$E$6)+ (ROUNDUP(V$14/$F37,0)*$D$11))*(1+$D$7))</f>
        <v>619000</v>
      </c>
      <c r="W37" s="7">
        <f>LamChanHangNgan((PhiMayCatDecalVuong(W$14,$D37,$E37)+ PhiMayInToner4M_Recoh(ROUNDUP(W$14/$F37,0)*$E$6)+ (ROUNDUP(W$14/$F37,0)*$D$11))*(1+$D$7))</f>
        <v>685000</v>
      </c>
      <c r="X37" s="7">
        <f>LamChanHangNgan((PhiMayCatDecalVuong(X$14,$D37,$E37)+ PhiMayInToner4M_Recoh(ROUNDUP(X$14/$F37,0)*$E$6)+ (ROUNDUP(X$14/$F37,0)*$D$11))*(1+$D$7))</f>
        <v>751000</v>
      </c>
      <c r="Y37" s="7">
        <f>LamChanHangNgan((PhiMayCatDecalVuong(Y$14,$D37,$E37)+ PhiMayInToner4M_Recoh(ROUNDUP(Y$14/$F37,0)*$E$6)+ (ROUNDUP(Y$14/$F37,0)*$D$11))*(1+$D$7))</f>
        <v>1407000</v>
      </c>
    </row>
    <row r="38" spans="1:25" x14ac:dyDescent="0.4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3">
        <f t="shared" si="4"/>
        <v>42</v>
      </c>
      <c r="G38" s="7">
        <f>LamChanHangNgan((PhiMayCatDecalVuong(G$14,$D38,$E38)+ PhiMayInToner4M(ROUNDUP(G$14/$F38,0)*$E$6)+ (ROUNDUP(G$14/$F38,0)*$D$11))*(1+$D$7))</f>
        <v>134000</v>
      </c>
      <c r="H38" s="7">
        <f>LamChanHangNgan((PhiMayCatDecalVuong(H$14,$D38,$E38)+ PhiMayInToner4M(ROUNDUP(H$14/$F38,0)*$E$6)+ (ROUNDUP(H$14/$F38,0)*$D$11))*(1+$D$7))</f>
        <v>142000</v>
      </c>
      <c r="I38" s="7">
        <f>LamChanHangNgan((PhiMayCatDecalVuong(I$14,$D38,$E38)+ PhiMayInToner4M(ROUNDUP(I$14/$F38,0)*$E$6)+ (ROUNDUP(I$14/$F38,0)*$D$11))*(1+$D$7))</f>
        <v>153000</v>
      </c>
      <c r="J38" s="7">
        <f>LamChanHangNgan((PhiMayCatDecalVuong(J$14,$D38,$E38)+ PhiMayInToner4M(ROUNDUP(J$14/$F38,0)*$E$6)+ (ROUNDUP(J$14/$F38,0)*$D$11))*(1+$D$7))</f>
        <v>160000</v>
      </c>
      <c r="K38" s="7">
        <f>LamChanHangNgan((PhiMayCatDecalVuong(K$14,$D38,$E38)+ PhiMayInToner4M(ROUNDUP(K$14/$F38,0)*$E$6)+ (ROUNDUP(K$14/$F38,0)*$D$11))*(1+$D$7))</f>
        <v>168000</v>
      </c>
      <c r="L38" s="7">
        <f>LamChanHangNgan((PhiMayCatDecalVuong(L$14,$D38,$E38)+ PhiMayInToner4M(ROUNDUP(L$14/$F38,0)*$E$6)+ (ROUNDUP(L$14/$F38,0)*$D$11))*(1+$D$7))</f>
        <v>179000</v>
      </c>
      <c r="M38" s="7">
        <f>LamChanHangNgan((PhiMayCatDecalVuong(M$14,$D38,$E38)+ PhiMayInToner4M(ROUNDUP(M$14/$F38,0)*$E$6)+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168000</v>
      </c>
      <c r="O38" s="7">
        <f>LamChanHangNgan((PhiMayCatDecalVuong(O$14,$D38,$E38)+ PhiMayInToner4M_Recoh(ROUNDUP(O$14/$F38,0)*$E$6)+ (ROUNDUP(O$14/$F38,0)*$D$11))*(1+$D$7))</f>
        <v>176000</v>
      </c>
      <c r="P38" s="7">
        <f>LamChanHangNgan((PhiMayCatDecalVuong(P$14,$D38,$E38)+ PhiMayInToner4M_Recoh(ROUNDUP(P$14/$F38,0)*$E$6)+ (ROUNDUP(P$14/$F38,0)*$D$11))*(1+$D$7))</f>
        <v>183000</v>
      </c>
      <c r="Q38" s="7">
        <f>LamChanHangNgan((PhiMayCatDecalVuong(Q$14,$D38,$E38)+ PhiMayInToner4M_Recoh(ROUNDUP(Q$14/$F38,0)*$E$6)+ (ROUNDUP(Q$14/$F38,0)*$D$11))*(1+$D$7))</f>
        <v>227000</v>
      </c>
      <c r="R38" s="7">
        <f>LamChanHangNgan((PhiMayCatDecalVuong(R$14,$D38,$E38)+ PhiMayInToner4M_Recoh(ROUNDUP(R$14/$F38,0)*$E$6)+ (ROUNDUP(R$14/$F38,0)*$D$11))*(1+$D$7))</f>
        <v>272000</v>
      </c>
      <c r="S38" s="7">
        <f>LamChanHangNgan((PhiMayCatDecalVuong(S$14,$D38,$E38)+ PhiMayInToner4M_Recoh(ROUNDUP(S$14/$F38,0)*$E$6)+ (ROUNDUP(S$14/$F38,0)*$D$11))*(1+$D$7))</f>
        <v>316000</v>
      </c>
      <c r="T38" s="7">
        <f>LamChanHangNgan((PhiMayCatDecalVuong(T$14,$D38,$E38)+ PhiMayInToner4M_Recoh(ROUNDUP(T$14/$F38,0)*$E$6)+ (ROUNDUP(T$14/$F38,0)*$D$11))*(1+$D$7))</f>
        <v>360000</v>
      </c>
      <c r="U38" s="7">
        <f>LamChanHangNgan((PhiMayCatDecalVuong(U$14,$D38,$E38)+ PhiMayInToner4M_Recoh(ROUNDUP(U$14/$F38,0)*$E$6)+ (ROUNDUP(U$14/$F38,0)*$D$11))*(1+$D$7))</f>
        <v>405000</v>
      </c>
      <c r="V38" s="7">
        <f>LamChanHangNgan((PhiMayCatDecalVuong(V$14,$D38,$E38)+ PhiMayInToner4M_Recoh(ROUNDUP(V$14/$F38,0)*$E$6)+ (ROUNDUP(V$14/$F38,0)*$D$11))*(1+$D$7))</f>
        <v>449000</v>
      </c>
      <c r="W38" s="7">
        <f>LamChanHangNgan((PhiMayCatDecalVuong(W$14,$D38,$E38)+ PhiMayInToner4M_Recoh(ROUNDUP(W$14/$F38,0)*$E$6)+ (ROUNDUP(W$14/$F38,0)*$D$11))*(1+$D$7))</f>
        <v>493000</v>
      </c>
      <c r="X38" s="7">
        <f>LamChanHangNgan((PhiMayCatDecalVuong(X$14,$D38,$E38)+ PhiMayInToner4M_Recoh(ROUNDUP(X$14/$F38,0)*$E$6)+ (ROUNDUP(X$14/$F38,0)*$D$11))*(1+$D$7))</f>
        <v>538000</v>
      </c>
      <c r="Y38" s="7">
        <f>LamChanHangNgan((PhiMayCatDecalVuong(Y$14,$D38,$E38)+ PhiMayInToner4M_Recoh(ROUNDUP(Y$14/$F38,0)*$E$6)+ (ROUNDUP(Y$14/$F38,0)*$D$11))*(1+$D$7))</f>
        <v>978000</v>
      </c>
    </row>
    <row r="39" spans="1:25" x14ac:dyDescent="0.45">
      <c r="B39">
        <v>25</v>
      </c>
      <c r="C39" t="str">
        <f t="shared" si="5"/>
        <v>5 x 6 cm</v>
      </c>
      <c r="D39">
        <v>5</v>
      </c>
      <c r="E39">
        <v>6</v>
      </c>
      <c r="F39" s="43">
        <f t="shared" si="4"/>
        <v>36</v>
      </c>
      <c r="G39" s="7">
        <f>LamChanHangNgan((PhiMayCatDecalVuong(G$14,$D39,$E39)+ PhiMayInToner4M(ROUNDUP(G$14/$F39,0)*$E$6)+ (ROUNDUP(G$14/$F39,0)*$D$11))*(1+$D$7))</f>
        <v>134000</v>
      </c>
      <c r="H39" s="7">
        <f>LamChanHangNgan((PhiMayCatDecalVuong(H$14,$D39,$E39)+ PhiMayInToner4M(ROUNDUP(H$14/$F39,0)*$E$6)+ (ROUNDUP(H$14/$F39,0)*$D$11))*(1+$D$7))</f>
        <v>145000</v>
      </c>
      <c r="I39" s="7">
        <f>LamChanHangNgan((PhiMayCatDecalVuong(I$14,$D39,$E39)+ PhiMayInToner4M(ROUNDUP(I$14/$F39,0)*$E$6)+ (ROUNDUP(I$14/$F39,0)*$D$11))*(1+$D$7))</f>
        <v>156000</v>
      </c>
      <c r="J39" s="7">
        <f>LamChanHangNgan((PhiMayCatDecalVuong(J$14,$D39,$E39)+ PhiMayInToner4M(ROUNDUP(J$14/$F39,0)*$E$6)+ (ROUNDUP(J$14/$F39,0)*$D$11))*(1+$D$7))</f>
        <v>167000</v>
      </c>
      <c r="K39" s="7">
        <f>LamChanHangNgan((PhiMayCatDecalVuong(K$14,$D39,$E39)+ PhiMayInToner4M(ROUNDUP(K$14/$F39,0)*$E$6)+ (ROUNDUP(K$14/$F39,0)*$D$11))*(1+$D$7))</f>
        <v>175000</v>
      </c>
      <c r="L39" s="7">
        <f>LamChanHangNgan((PhiMayCatDecalVuong(L$14,$D39,$E39)+ PhiMayInToner4M(ROUNDUP(L$14/$F39,0)*$E$6)+ (ROUNDUP(L$14/$F39,0)*$D$11))*(1+$D$7))</f>
        <v>186000</v>
      </c>
      <c r="M39" s="7">
        <f>LamChanHangNgan((PhiMayCatDecalVuong(M$14,$D39,$E39)+ PhiMayInToner4M(ROUNDUP(M$14/$F39,0)*$E$6)+ (ROUNDUP(M$14/$F39,0)*$D$11))*(1+$D$7))</f>
        <v>197000</v>
      </c>
      <c r="N39" s="7">
        <f>LamChanHangNgan((PhiMayCatDecalVuong(N$14,$D39,$E39)+ PhiMayInToner4M_Recoh(ROUNDUP(N$14/$F39,0)*$E$6)+ (ROUNDUP(N$14/$F39,0)*$D$11))*(1+$D$7))</f>
        <v>179000</v>
      </c>
      <c r="O39" s="7">
        <f>LamChanHangNgan((PhiMayCatDecalVuong(O$14,$D39,$E39)+ PhiMayInToner4M_Recoh(ROUNDUP(O$14/$F39,0)*$E$6)+ (ROUNDUP(O$14/$F39,0)*$D$11))*(1+$D$7))</f>
        <v>186000</v>
      </c>
      <c r="P39" s="7">
        <f>LamChanHangNgan((PhiMayCatDecalVuong(P$14,$D39,$E39)+ PhiMayInToner4M_Recoh(ROUNDUP(P$14/$F39,0)*$E$6)+ (ROUNDUP(P$14/$F39,0)*$D$11))*(1+$D$7))</f>
        <v>197000</v>
      </c>
      <c r="Q39" s="7">
        <f>LamChanHangNgan((PhiMayCatDecalVuong(Q$14,$D39,$E39)+ PhiMayInToner4M_Recoh(ROUNDUP(Q$14/$F39,0)*$E$6)+ (ROUNDUP(Q$14/$F39,0)*$D$11))*(1+$D$7))</f>
        <v>249000</v>
      </c>
      <c r="R39" s="7">
        <f>LamChanHangNgan((PhiMayCatDecalVuong(R$14,$D39,$E39)+ PhiMayInToner4M_Recoh(ROUNDUP(R$14/$F39,0)*$E$6)+ (ROUNDUP(R$14/$F39,0)*$D$11))*(1+$D$7))</f>
        <v>300000</v>
      </c>
      <c r="S39" s="7">
        <f>LamChanHangNgan((PhiMayCatDecalVuong(S$14,$D39,$E39)+ PhiMayInToner4M_Recoh(ROUNDUP(S$14/$F39,0)*$E$6)+ (ROUNDUP(S$14/$F39,0)*$D$11))*(1+$D$7))</f>
        <v>351000</v>
      </c>
      <c r="T39" s="7">
        <f>LamChanHangNgan((PhiMayCatDecalVuong(T$14,$D39,$E39)+ PhiMayInToner4M_Recoh(ROUNDUP(T$14/$F39,0)*$E$6)+ (ROUNDUP(T$14/$F39,0)*$D$11))*(1+$D$7))</f>
        <v>403000</v>
      </c>
      <c r="U39" s="7">
        <f>LamChanHangNgan((PhiMayCatDecalVuong(U$14,$D39,$E39)+ PhiMayInToner4M_Recoh(ROUNDUP(U$14/$F39,0)*$E$6)+ (ROUNDUP(U$14/$F39,0)*$D$11))*(1+$D$7))</f>
        <v>454000</v>
      </c>
      <c r="V39" s="7">
        <f>LamChanHangNgan((PhiMayCatDecalVuong(V$14,$D39,$E39)+ PhiMayInToner4M_Recoh(ROUNDUP(V$14/$F39,0)*$E$6)+ (ROUNDUP(V$14/$F39,0)*$D$11))*(1+$D$7))</f>
        <v>506000</v>
      </c>
      <c r="W39" s="7">
        <f>LamChanHangNgan((PhiMayCatDecalVuong(W$14,$D39,$E39)+ PhiMayInToner4M_Recoh(ROUNDUP(W$14/$F39,0)*$E$6)+ (ROUNDUP(W$14/$F39,0)*$D$11))*(1+$D$7))</f>
        <v>554000</v>
      </c>
      <c r="X39" s="7">
        <f>LamChanHangNgan((PhiMayCatDecalVuong(X$14,$D39,$E39)+ PhiMayInToner4M_Recoh(ROUNDUP(X$14/$F39,0)*$E$6)+ (ROUNDUP(X$14/$F39,0)*$D$11))*(1+$D$7))</f>
        <v>605000</v>
      </c>
      <c r="Y39" s="7">
        <f>LamChanHangNgan((PhiMayCatDecalVuong(Y$14,$D39,$E39)+ PhiMayInToner4M_Recoh(ROUNDUP(Y$14/$F39,0)*$E$6)+ (ROUNDUP(Y$14/$F39,0)*$D$11))*(1+$D$7))</f>
        <v>1116000</v>
      </c>
    </row>
    <row r="40" spans="1:25" x14ac:dyDescent="0.45">
      <c r="B40">
        <v>26</v>
      </c>
      <c r="C40" s="7" t="str">
        <f t="shared" si="5"/>
        <v>5 x 6.5 cm</v>
      </c>
      <c r="D40">
        <v>5</v>
      </c>
      <c r="E40">
        <v>6.5</v>
      </c>
      <c r="F40" s="43">
        <f t="shared" si="4"/>
        <v>36</v>
      </c>
      <c r="G40" s="7">
        <f>LamChanHangNgan((PhiMayCatDecalVuong(G$14,$D40,$E40)+ PhiMayInToner4M(ROUNDUP(G$14/$F40,0)*$E$6)+ (ROUNDUP(G$14/$F40,0)*$D$11))*(1+$D$7))</f>
        <v>134000</v>
      </c>
      <c r="H40" s="7">
        <f>LamChanHangNgan((PhiMayCatDecalVuong(H$14,$D40,$E40)+ PhiMayInToner4M(ROUNDUP(H$14/$F40,0)*$E$6)+ (ROUNDUP(H$14/$F40,0)*$D$11))*(1+$D$7))</f>
        <v>145000</v>
      </c>
      <c r="I40" s="7">
        <f>LamChanHangNgan((PhiMayCatDecalVuong(I$14,$D40,$E40)+ PhiMayInToner4M(ROUNDUP(I$14/$F40,0)*$E$6)+ (ROUNDUP(I$14/$F40,0)*$D$11))*(1+$D$7))</f>
        <v>156000</v>
      </c>
      <c r="J40" s="7">
        <f>LamChanHangNgan((PhiMayCatDecalVuong(J$14,$D40,$E40)+ PhiMayInToner4M(ROUNDUP(J$14/$F40,0)*$E$6)+ (ROUNDUP(J$14/$F40,0)*$D$11))*(1+$D$7))</f>
        <v>167000</v>
      </c>
      <c r="K40" s="7">
        <f>LamChanHangNgan((PhiMayCatDecalVuong(K$14,$D40,$E40)+ PhiMayInToner4M(ROUNDUP(K$14/$F40,0)*$E$6)+ (ROUNDUP(K$14/$F40,0)*$D$11))*(1+$D$7))</f>
        <v>175000</v>
      </c>
      <c r="L40" s="7">
        <f>LamChanHangNgan((PhiMayCatDecalVuong(L$14,$D40,$E40)+ PhiMayInToner4M(ROUNDUP(L$14/$F40,0)*$E$6)+ (ROUNDUP(L$14/$F40,0)*$D$11))*(1+$D$7))</f>
        <v>186000</v>
      </c>
      <c r="M40" s="7">
        <f>LamChanHangNgan((PhiMayCatDecalVuong(M$14,$D40,$E40)+ PhiMayInToner4M(ROUNDUP(M$14/$F40,0)*$E$6)+ (ROUNDUP(M$14/$F40,0)*$D$11))*(1+$D$7))</f>
        <v>197000</v>
      </c>
      <c r="N40" s="7">
        <f>LamChanHangNgan((PhiMayCatDecalVuong(N$14,$D40,$E40)+ PhiMayInToner4M_Recoh(ROUNDUP(N$14/$F40,0)*$E$6)+ (ROUNDUP(N$14/$F40,0)*$D$11))*(1+$D$7))</f>
        <v>179000</v>
      </c>
      <c r="O40" s="7">
        <f>LamChanHangNgan((PhiMayCatDecalVuong(O$14,$D40,$E40)+ PhiMayInToner4M_Recoh(ROUNDUP(O$14/$F40,0)*$E$6)+ (ROUNDUP(O$14/$F40,0)*$D$11))*(1+$D$7))</f>
        <v>186000</v>
      </c>
      <c r="P40" s="7">
        <f>LamChanHangNgan((PhiMayCatDecalVuong(P$14,$D40,$E40)+ PhiMayInToner4M_Recoh(ROUNDUP(P$14/$F40,0)*$E$6)+ (ROUNDUP(P$14/$F40,0)*$D$11))*(1+$D$7))</f>
        <v>197000</v>
      </c>
      <c r="Q40" s="7">
        <f>LamChanHangNgan((PhiMayCatDecalVuong(Q$14,$D40,$E40)+ PhiMayInToner4M_Recoh(ROUNDUP(Q$14/$F40,0)*$E$6)+ (ROUNDUP(Q$14/$F40,0)*$D$11))*(1+$D$7))</f>
        <v>249000</v>
      </c>
      <c r="R40" s="7">
        <f>LamChanHangNgan((PhiMayCatDecalVuong(R$14,$D40,$E40)+ PhiMayInToner4M_Recoh(ROUNDUP(R$14/$F40,0)*$E$6)+ (ROUNDUP(R$14/$F40,0)*$D$11))*(1+$D$7))</f>
        <v>301000</v>
      </c>
      <c r="S40" s="7">
        <f>LamChanHangNgan((PhiMayCatDecalVuong(S$14,$D40,$E40)+ PhiMayInToner4M_Recoh(ROUNDUP(S$14/$F40,0)*$E$6)+ (ROUNDUP(S$14/$F40,0)*$D$11))*(1+$D$7))</f>
        <v>352000</v>
      </c>
      <c r="T40" s="7">
        <f>LamChanHangNgan((PhiMayCatDecalVuong(T$14,$D40,$E40)+ PhiMayInToner4M_Recoh(ROUNDUP(T$14/$F40,0)*$E$6)+ (ROUNDUP(T$14/$F40,0)*$D$11))*(1+$D$7))</f>
        <v>404000</v>
      </c>
      <c r="U40" s="7">
        <f>LamChanHangNgan((PhiMayCatDecalVuong(U$14,$D40,$E40)+ PhiMayInToner4M_Recoh(ROUNDUP(U$14/$F40,0)*$E$6)+ (ROUNDUP(U$14/$F40,0)*$D$11))*(1+$D$7))</f>
        <v>455000</v>
      </c>
      <c r="V40" s="7">
        <f>LamChanHangNgan((PhiMayCatDecalVuong(V$14,$D40,$E40)+ PhiMayInToner4M_Recoh(ROUNDUP(V$14/$F40,0)*$E$6)+ (ROUNDUP(V$14/$F40,0)*$D$11))*(1+$D$7))</f>
        <v>507000</v>
      </c>
      <c r="W40" s="7">
        <f>LamChanHangNgan((PhiMayCatDecalVuong(W$14,$D40,$E40)+ PhiMayInToner4M_Recoh(ROUNDUP(W$14/$F40,0)*$E$6)+ (ROUNDUP(W$14/$F40,0)*$D$11))*(1+$D$7))</f>
        <v>555000</v>
      </c>
      <c r="X40" s="7">
        <f>LamChanHangNgan((PhiMayCatDecalVuong(X$14,$D40,$E40)+ PhiMayInToner4M_Recoh(ROUNDUP(X$14/$F40,0)*$E$6)+ (ROUNDUP(X$14/$F40,0)*$D$11))*(1+$D$7))</f>
        <v>606000</v>
      </c>
      <c r="Y40" s="7">
        <f>LamChanHangNgan((PhiMayCatDecalVuong(Y$14,$D40,$E40)+ PhiMayInToner4M_Recoh(ROUNDUP(Y$14/$F40,0)*$E$6)+ (ROUNDUP(Y$14/$F40,0)*$D$11))*(1+$D$7))</f>
        <v>1118000</v>
      </c>
    </row>
    <row r="41" spans="1:25" x14ac:dyDescent="0.45">
      <c r="B41">
        <v>27</v>
      </c>
      <c r="C41" s="7" t="str">
        <f t="shared" si="5"/>
        <v>5 x 7 cm</v>
      </c>
      <c r="D41">
        <v>5</v>
      </c>
      <c r="E41">
        <v>7</v>
      </c>
      <c r="F41" s="43">
        <f t="shared" si="4"/>
        <v>30</v>
      </c>
      <c r="G41" s="7">
        <f>LamChanHangNgan((PhiMayCatDecalVuong(G$14,$D41,$E41)+ PhiMayInToner4M(ROUNDUP(G$14/$F41,0)*$E$6)+ (ROUNDUP(G$14/$F41,0)*$D$11))*(1+$D$7))</f>
        <v>138000</v>
      </c>
      <c r="H41" s="7">
        <f>LamChanHangNgan((PhiMayCatDecalVuong(H$14,$D41,$E41)+ PhiMayInToner4M(ROUNDUP(H$14/$F41,0)*$E$6)+ (ROUNDUP(H$14/$F41,0)*$D$11))*(1+$D$7))</f>
        <v>149000</v>
      </c>
      <c r="I41" s="7">
        <f>LamChanHangNgan((PhiMayCatDecalVuong(I$14,$D41,$E41)+ PhiMayInToner4M(ROUNDUP(I$14/$F41,0)*$E$6)+ (ROUNDUP(I$14/$F41,0)*$D$11))*(1+$D$7))</f>
        <v>160000</v>
      </c>
      <c r="J41" s="7">
        <f>LamChanHangNgan((PhiMayCatDecalVuong(J$14,$D41,$E41)+ PhiMayInToner4M(ROUNDUP(J$14/$F41,0)*$E$6)+ (ROUNDUP(J$14/$F41,0)*$D$11))*(1+$D$7))</f>
        <v>175000</v>
      </c>
      <c r="K41" s="7">
        <f>LamChanHangNgan((PhiMayCatDecalVuong(K$14,$D41,$E41)+ PhiMayInToner4M(ROUNDUP(K$14/$F41,0)*$E$6)+ (ROUNDUP(K$14/$F41,0)*$D$11))*(1+$D$7))</f>
        <v>186000</v>
      </c>
      <c r="L41" s="7">
        <f>LamChanHangNgan((PhiMayCatDecalVuong(L$14,$D41,$E41)+ PhiMayInToner4M(ROUNDUP(L$14/$F41,0)*$E$6)+ (ROUNDUP(L$14/$F41,0)*$D$11))*(1+$D$7))</f>
        <v>197000</v>
      </c>
      <c r="M41" s="7">
        <f>LamChanHangNgan((PhiMayCatDecalVuong(M$14,$D41,$E41)+ PhiMayInToner4M(ROUNDUP(M$14/$F41,0)*$E$6)+ (ROUNDUP(M$14/$F41,0)*$D$11))*(1+$D$7))</f>
        <v>211000</v>
      </c>
      <c r="N41" s="7">
        <f>LamChanHangNgan((PhiMayCatDecalVuong(N$14,$D41,$E41)+ PhiMayInToner4M_Recoh(ROUNDUP(N$14/$F41,0)*$E$6)+ (ROUNDUP(N$14/$F41,0)*$D$11))*(1+$D$7))</f>
        <v>193000</v>
      </c>
      <c r="O41" s="7">
        <f>LamChanHangNgan((PhiMayCatDecalVuong(O$14,$D41,$E41)+ PhiMayInToner4M_Recoh(ROUNDUP(O$14/$F41,0)*$E$6)+ (ROUNDUP(O$14/$F41,0)*$D$11))*(1+$D$7))</f>
        <v>204000</v>
      </c>
      <c r="P41" s="7">
        <f>LamChanHangNgan((PhiMayCatDecalVuong(P$14,$D41,$E41)+ PhiMayInToner4M_Recoh(ROUNDUP(P$14/$F41,0)*$E$6)+ (ROUNDUP(P$14/$F41,0)*$D$11))*(1+$D$7))</f>
        <v>219000</v>
      </c>
      <c r="Q41" s="7">
        <f>LamChanHangNgan((PhiMayCatDecalVuong(Q$14,$D41,$E41)+ PhiMayInToner4M_Recoh(ROUNDUP(Q$14/$F41,0)*$E$6)+ (ROUNDUP(Q$14/$F41,0)*$D$11))*(1+$D$7))</f>
        <v>277000</v>
      </c>
      <c r="R41" s="7">
        <f>LamChanHangNgan((PhiMayCatDecalVuong(R$14,$D41,$E41)+ PhiMayInToner4M_Recoh(ROUNDUP(R$14/$F41,0)*$E$6)+ (ROUNDUP(R$14/$F41,0)*$D$11))*(1+$D$7))</f>
        <v>339000</v>
      </c>
      <c r="S41" s="7">
        <f>LamChanHangNgan((PhiMayCatDecalVuong(S$14,$D41,$E41)+ PhiMayInToner4M_Recoh(ROUNDUP(S$14/$F41,0)*$E$6)+ (ROUNDUP(S$14/$F41,0)*$D$11))*(1+$D$7))</f>
        <v>402000</v>
      </c>
      <c r="T41" s="7">
        <f>LamChanHangNgan((PhiMayCatDecalVuong(T$14,$D41,$E41)+ PhiMayInToner4M_Recoh(ROUNDUP(T$14/$F41,0)*$E$6)+ (ROUNDUP(T$14/$F41,0)*$D$11))*(1+$D$7))</f>
        <v>460000</v>
      </c>
      <c r="U41" s="7">
        <f>LamChanHangNgan((PhiMayCatDecalVuong(U$14,$D41,$E41)+ PhiMayInToner4M_Recoh(ROUNDUP(U$14/$F41,0)*$E$6)+ (ROUNDUP(U$14/$F41,0)*$D$11))*(1+$D$7))</f>
        <v>522000</v>
      </c>
      <c r="V41" s="7">
        <f>LamChanHangNgan((PhiMayCatDecalVuong(V$14,$D41,$E41)+ PhiMayInToner4M_Recoh(ROUNDUP(V$14/$F41,0)*$E$6)+ (ROUNDUP(V$14/$F41,0)*$D$11))*(1+$D$7))</f>
        <v>584000</v>
      </c>
      <c r="W41" s="7">
        <f>LamChanHangNgan((PhiMayCatDecalVuong(W$14,$D41,$E41)+ PhiMayInToner4M_Recoh(ROUNDUP(W$14/$F41,0)*$E$6)+ (ROUNDUP(W$14/$F41,0)*$D$11))*(1+$D$7))</f>
        <v>643000</v>
      </c>
      <c r="X41" s="7">
        <f>LamChanHangNgan((PhiMayCatDecalVuong(X$14,$D41,$E41)+ PhiMayInToner4M_Recoh(ROUNDUP(X$14/$F41,0)*$E$6)+ (ROUNDUP(X$14/$F41,0)*$D$11))*(1+$D$7))</f>
        <v>705000</v>
      </c>
      <c r="Y41" s="7">
        <f>LamChanHangNgan((PhiMayCatDecalVuong(Y$14,$D41,$E41)+ PhiMayInToner4M_Recoh(ROUNDUP(Y$14/$F41,0)*$E$6)+ (ROUNDUP(Y$14/$F41,0)*$D$11))*(1+$D$7))</f>
        <v>1316000</v>
      </c>
    </row>
    <row r="42" spans="1:25" x14ac:dyDescent="0.45">
      <c r="B42">
        <v>28</v>
      </c>
      <c r="C42" s="7" t="str">
        <f t="shared" si="5"/>
        <v>6 x 6.5 cm</v>
      </c>
      <c r="D42">
        <v>6</v>
      </c>
      <c r="E42">
        <v>6.5</v>
      </c>
      <c r="F42" s="43">
        <f t="shared" si="4"/>
        <v>30</v>
      </c>
      <c r="G42" s="7">
        <f>LamChanHangNgan((PhiMayCatDecalVuong(G$14,$D42,$E42)+ PhiMayInToner4M(ROUNDUP(G$14/$F42,0)*$E$6)+ (ROUNDUP(G$14/$F42,0)*$D$11))*(1+$D$7))</f>
        <v>138000</v>
      </c>
      <c r="H42" s="7">
        <f>LamChanHangNgan((PhiMayCatDecalVuong(H$14,$D42,$E42)+ PhiMayInToner4M(ROUNDUP(H$14/$F42,0)*$E$6)+ (ROUNDUP(H$14/$F42,0)*$D$11))*(1+$D$7))</f>
        <v>149000</v>
      </c>
      <c r="I42" s="7">
        <f>LamChanHangNgan((PhiMayCatDecalVuong(I$14,$D42,$E42)+ PhiMayInToner4M(ROUNDUP(I$14/$F42,0)*$E$6)+ (ROUNDUP(I$14/$F42,0)*$D$11))*(1+$D$7))</f>
        <v>160000</v>
      </c>
      <c r="J42" s="7">
        <f>LamChanHangNgan((PhiMayCatDecalVuong(J$14,$D42,$E42)+ PhiMayInToner4M(ROUNDUP(J$14/$F42,0)*$E$6)+ (ROUNDUP(J$14/$F42,0)*$D$11))*(1+$D$7))</f>
        <v>175000</v>
      </c>
      <c r="K42" s="7">
        <f>LamChanHangNgan((PhiMayCatDecalVuong(K$14,$D42,$E42)+ PhiMayInToner4M(ROUNDUP(K$14/$F42,0)*$E$6)+ (ROUNDUP(K$14/$F42,0)*$D$11))*(1+$D$7))</f>
        <v>186000</v>
      </c>
      <c r="L42" s="7">
        <f>LamChanHangNgan((PhiMayCatDecalVuong(L$14,$D42,$E42)+ PhiMayInToner4M(ROUNDUP(L$14/$F42,0)*$E$6)+ (ROUNDUP(L$14/$F42,0)*$D$11))*(1+$D$7))</f>
        <v>197000</v>
      </c>
      <c r="M42" s="7">
        <f>LamChanHangNgan((PhiMayCatDecalVuong(M$14,$D42,$E42)+ PhiMayInToner4M(ROUNDUP(M$14/$F42,0)*$E$6)+ (ROUNDUP(M$14/$F42,0)*$D$11))*(1+$D$7))</f>
        <v>211000</v>
      </c>
      <c r="N42" s="7">
        <f>LamChanHangNgan((PhiMayCatDecalVuong(N$14,$D42,$E42)+ PhiMayInToner4M_Recoh(ROUNDUP(N$14/$F42,0)*$E$6)+ (ROUNDUP(N$14/$F42,0)*$D$11))*(1+$D$7))</f>
        <v>193000</v>
      </c>
      <c r="O42" s="7">
        <f>LamChanHangNgan((PhiMayCatDecalVuong(O$14,$D42,$E42)+ PhiMayInToner4M_Recoh(ROUNDUP(O$14/$F42,0)*$E$6)+ (ROUNDUP(O$14/$F42,0)*$D$11))*(1+$D$7))</f>
        <v>204000</v>
      </c>
      <c r="P42" s="7">
        <f>LamChanHangNgan((PhiMayCatDecalVuong(P$14,$D42,$E42)+ PhiMayInToner4M_Recoh(ROUNDUP(P$14/$F42,0)*$E$6)+ (ROUNDUP(P$14/$F42,0)*$D$11))*(1+$D$7))</f>
        <v>219000</v>
      </c>
      <c r="Q42" s="7">
        <f>LamChanHangNgan((PhiMayCatDecalVuong(Q$14,$D42,$E42)+ PhiMayInToner4M_Recoh(ROUNDUP(Q$14/$F42,0)*$E$6)+ (ROUNDUP(Q$14/$F42,0)*$D$11))*(1+$D$7))</f>
        <v>278000</v>
      </c>
      <c r="R42" s="7">
        <f>LamChanHangNgan((PhiMayCatDecalVuong(R$14,$D42,$E42)+ PhiMayInToner4M_Recoh(ROUNDUP(R$14/$F42,0)*$E$6)+ (ROUNDUP(R$14/$F42,0)*$D$11))*(1+$D$7))</f>
        <v>340000</v>
      </c>
      <c r="S42" s="7">
        <f>LamChanHangNgan((PhiMayCatDecalVuong(S$14,$D42,$E42)+ PhiMayInToner4M_Recoh(ROUNDUP(S$14/$F42,0)*$E$6)+ (ROUNDUP(S$14/$F42,0)*$D$11))*(1+$D$7))</f>
        <v>402000</v>
      </c>
      <c r="T42" s="7">
        <f>LamChanHangNgan((PhiMayCatDecalVuong(T$14,$D42,$E42)+ PhiMayInToner4M_Recoh(ROUNDUP(T$14/$F42,0)*$E$6)+ (ROUNDUP(T$14/$F42,0)*$D$11))*(1+$D$7))</f>
        <v>461000</v>
      </c>
      <c r="U42" s="7">
        <f>LamChanHangNgan((PhiMayCatDecalVuong(U$14,$D42,$E42)+ PhiMayInToner4M_Recoh(ROUNDUP(U$14/$F42,0)*$E$6)+ (ROUNDUP(U$14/$F42,0)*$D$11))*(1+$D$7))</f>
        <v>523000</v>
      </c>
      <c r="V42" s="7">
        <f>LamChanHangNgan((PhiMayCatDecalVuong(V$14,$D42,$E42)+ PhiMayInToner4M_Recoh(ROUNDUP(V$14/$F42,0)*$E$6)+ (ROUNDUP(V$14/$F42,0)*$D$11))*(1+$D$7))</f>
        <v>585000</v>
      </c>
      <c r="W42" s="7">
        <f>LamChanHangNgan((PhiMayCatDecalVuong(W$14,$D42,$E42)+ PhiMayInToner4M_Recoh(ROUNDUP(W$14/$F42,0)*$E$6)+ (ROUNDUP(W$14/$F42,0)*$D$11))*(1+$D$7))</f>
        <v>644000</v>
      </c>
      <c r="X42" s="7">
        <f>LamChanHangNgan((PhiMayCatDecalVuong(X$14,$D42,$E42)+ PhiMayInToner4M_Recoh(ROUNDUP(X$14/$F42,0)*$E$6)+ (ROUNDUP(X$14/$F42,0)*$D$11))*(1+$D$7))</f>
        <v>706000</v>
      </c>
      <c r="Y42" s="7">
        <f>LamChanHangNgan((PhiMayCatDecalVuong(Y$14,$D42,$E42)+ PhiMayInToner4M_Recoh(ROUNDUP(Y$14/$F42,0)*$E$6)+ (ROUNDUP(Y$14/$F42,0)*$D$11))*(1+$D$7))</f>
        <v>1319000</v>
      </c>
    </row>
    <row r="43" spans="1:25" x14ac:dyDescent="0.45">
      <c r="B43">
        <v>29</v>
      </c>
      <c r="C43" s="7" t="str">
        <f t="shared" si="5"/>
        <v>6 x 7 cm</v>
      </c>
      <c r="D43">
        <v>6</v>
      </c>
      <c r="E43">
        <v>7</v>
      </c>
      <c r="F43" s="43">
        <f t="shared" si="4"/>
        <v>25</v>
      </c>
      <c r="G43" s="7">
        <f>LamChanHangNgan((PhiMayCatDecalVuong(G$14,$D43,$E43)+ PhiMayInToner4M(ROUNDUP(G$14/$F43,0)*$E$6)+ (ROUNDUP(G$14/$F43,0)*$D$11))*(1+$D$7))</f>
        <v>138000</v>
      </c>
      <c r="H43" s="7">
        <f>LamChanHangNgan((PhiMayCatDecalVuong(H$14,$D43,$E43)+ PhiMayInToner4M(ROUNDUP(H$14/$F43,0)*$E$6)+ (ROUNDUP(H$14/$F43,0)*$D$11))*(1+$D$7))</f>
        <v>153000</v>
      </c>
      <c r="I43" s="7">
        <f>LamChanHangNgan((PhiMayCatDecalVuong(I$14,$D43,$E43)+ PhiMayInToner4M(ROUNDUP(I$14/$F43,0)*$E$6)+ (ROUNDUP(I$14/$F43,0)*$D$11))*(1+$D$7))</f>
        <v>167000</v>
      </c>
      <c r="J43" s="7">
        <f>LamChanHangNgan((PhiMayCatDecalVuong(J$14,$D43,$E43)+ PhiMayInToner4M(ROUNDUP(J$14/$F43,0)*$E$6)+ (ROUNDUP(J$14/$F43,0)*$D$11))*(1+$D$7))</f>
        <v>182000</v>
      </c>
      <c r="K43" s="7">
        <f>LamChanHangNgan((PhiMayCatDecalVuong(K$14,$D43,$E43)+ PhiMayInToner4M(ROUNDUP(K$14/$F43,0)*$E$6)+ (ROUNDUP(K$14/$F43,0)*$D$11))*(1+$D$7))</f>
        <v>196000</v>
      </c>
      <c r="L43" s="7">
        <f>LamChanHangNgan((PhiMayCatDecalVuong(L$14,$D43,$E43)+ PhiMayInToner4M(ROUNDUP(L$14/$F43,0)*$E$6)+ (ROUNDUP(L$14/$F43,0)*$D$11))*(1+$D$7))</f>
        <v>211000</v>
      </c>
      <c r="M43" s="7">
        <f>LamChanHangNgan((PhiMayCatDecalVuong(M$14,$D43,$E43)+ PhiMayInToner4M(ROUNDUP(M$14/$F43,0)*$E$6)+ (ROUNDUP(M$14/$F43,0)*$D$11))*(1+$D$7))</f>
        <v>225000</v>
      </c>
      <c r="N43" s="7">
        <f>LamChanHangNgan((PhiMayCatDecalVuong(N$14,$D43,$E43)+ PhiMayInToner4M_Recoh(ROUNDUP(N$14/$F43,0)*$E$6)+ (ROUNDUP(N$14/$F43,0)*$D$11))*(1+$D$7))</f>
        <v>211000</v>
      </c>
      <c r="O43" s="7">
        <f>LamChanHangNgan((PhiMayCatDecalVuong(O$14,$D43,$E43)+ PhiMayInToner4M_Recoh(ROUNDUP(O$14/$F43,0)*$E$6)+ (ROUNDUP(O$14/$F43,0)*$D$11))*(1+$D$7))</f>
        <v>225000</v>
      </c>
      <c r="P43" s="7">
        <f>LamChanHangNgan((PhiMayCatDecalVuong(P$14,$D43,$E43)+ PhiMayInToner4M_Recoh(ROUNDUP(P$14/$F43,0)*$E$6)+ (ROUNDUP(P$14/$F43,0)*$D$11))*(1+$D$7))</f>
        <v>240000</v>
      </c>
      <c r="Q43" s="7">
        <f>LamChanHangNgan((PhiMayCatDecalVuong(Q$14,$D43,$E43)+ PhiMayInToner4M_Recoh(ROUNDUP(Q$14/$F43,0)*$E$6)+ (ROUNDUP(Q$14/$F43,0)*$D$11))*(1+$D$7))</f>
        <v>313000</v>
      </c>
      <c r="R43" s="7">
        <f>LamChanHangNgan((PhiMayCatDecalVuong(R$14,$D43,$E43)+ PhiMayInToner4M_Recoh(ROUNDUP(R$14/$F43,0)*$E$6)+ (ROUNDUP(R$14/$F43,0)*$D$11))*(1+$D$7))</f>
        <v>386000</v>
      </c>
      <c r="S43" s="7">
        <f>LamChanHangNgan((PhiMayCatDecalVuong(S$14,$D43,$E43)+ PhiMayInToner4M_Recoh(ROUNDUP(S$14/$F43,0)*$E$6)+ (ROUNDUP(S$14/$F43,0)*$D$11))*(1+$D$7))</f>
        <v>459000</v>
      </c>
      <c r="T43" s="7">
        <f>LamChanHangNgan((PhiMayCatDecalVuong(T$14,$D43,$E43)+ PhiMayInToner4M_Recoh(ROUNDUP(T$14/$F43,0)*$E$6)+ (ROUNDUP(T$14/$F43,0)*$D$11))*(1+$D$7))</f>
        <v>531000</v>
      </c>
      <c r="U43" s="7">
        <f>LamChanHangNgan((PhiMayCatDecalVuong(U$14,$D43,$E43)+ PhiMayInToner4M_Recoh(ROUNDUP(U$14/$F43,0)*$E$6)+ (ROUNDUP(U$14/$F43,0)*$D$11))*(1+$D$7))</f>
        <v>604000</v>
      </c>
      <c r="V43" s="7">
        <f>LamChanHangNgan((PhiMayCatDecalVuong(V$14,$D43,$E43)+ PhiMayInToner4M_Recoh(ROUNDUP(V$14/$F43,0)*$E$6)+ (ROUNDUP(V$14/$F43,0)*$D$11))*(1+$D$7))</f>
        <v>677000</v>
      </c>
      <c r="W43" s="7">
        <f>LamChanHangNgan((PhiMayCatDecalVuong(W$14,$D43,$E43)+ PhiMayInToner4M_Recoh(ROUNDUP(W$14/$F43,0)*$E$6)+ (ROUNDUP(W$14/$F43,0)*$D$11))*(1+$D$7))</f>
        <v>750000</v>
      </c>
      <c r="X43" s="7">
        <f>LamChanHangNgan((PhiMayCatDecalVuong(X$14,$D43,$E43)+ PhiMayInToner4M_Recoh(ROUNDUP(X$14/$F43,0)*$E$6)+ (ROUNDUP(X$14/$F43,0)*$D$11))*(1+$D$7))</f>
        <v>823000</v>
      </c>
      <c r="Y43" s="7">
        <f>LamChanHangNgan((PhiMayCatDecalVuong(Y$14,$D43,$E43)+ PhiMayInToner4M_Recoh(ROUNDUP(Y$14/$F43,0)*$E$6)+ (ROUNDUP(Y$14/$F43,0)*$D$11))*(1+$D$7))</f>
        <v>1551000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opLeftCell="A12" workbookViewId="0">
      <pane xSplit="1" topLeftCell="H1" activePane="topRight" state="frozen"/>
      <selection pane="topRight" activeCell="M44" sqref="M44"/>
    </sheetView>
  </sheetViews>
  <sheetFormatPr defaultRowHeight="14.25" x14ac:dyDescent="0.45"/>
  <cols>
    <col min="1" max="1" width="23.86328125" bestFit="1" customWidth="1"/>
    <col min="2" max="2" width="16.86328125" customWidth="1"/>
    <col min="3" max="3" width="17" customWidth="1"/>
    <col min="4" max="4" width="15.86328125" bestFit="1" customWidth="1"/>
    <col min="5" max="5" width="18.265625" bestFit="1" customWidth="1"/>
    <col min="6" max="6" width="10.86328125" customWidth="1"/>
    <col min="7" max="9" width="15" bestFit="1" customWidth="1"/>
    <col min="10" max="11" width="14.86328125" bestFit="1" customWidth="1"/>
    <col min="12" max="23" width="13.265625" bestFit="1" customWidth="1"/>
    <col min="24" max="24" width="14.86328125" bestFit="1" customWidth="1"/>
  </cols>
  <sheetData>
    <row r="1" spans="1:24" x14ac:dyDescent="0.45">
      <c r="A1" s="1" t="s">
        <v>479</v>
      </c>
      <c r="B1" t="s">
        <v>458</v>
      </c>
    </row>
    <row r="2" spans="1:24" x14ac:dyDescent="0.45">
      <c r="A2" t="s">
        <v>289</v>
      </c>
      <c r="B2" s="35">
        <v>43609</v>
      </c>
    </row>
    <row r="3" spans="1:24" x14ac:dyDescent="0.45">
      <c r="B3" t="s">
        <v>206</v>
      </c>
      <c r="C3" t="s">
        <v>207</v>
      </c>
    </row>
    <row r="4" spans="1:24" x14ac:dyDescent="0.45">
      <c r="A4" t="s">
        <v>276</v>
      </c>
      <c r="B4">
        <v>32</v>
      </c>
      <c r="C4">
        <v>39</v>
      </c>
    </row>
    <row r="5" spans="1:24" ht="28.5" x14ac:dyDescent="0.4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45">
      <c r="A6" t="s">
        <v>287</v>
      </c>
      <c r="D6" s="1">
        <v>1</v>
      </c>
      <c r="E6">
        <v>1</v>
      </c>
    </row>
    <row r="7" spans="1:24" x14ac:dyDescent="0.45">
      <c r="A7" t="s">
        <v>203</v>
      </c>
      <c r="D7" s="37">
        <v>0.75</v>
      </c>
      <c r="E7" s="38" t="s">
        <v>301</v>
      </c>
    </row>
    <row r="8" spans="1:24" x14ac:dyDescent="0.45">
      <c r="B8" t="s">
        <v>283</v>
      </c>
      <c r="C8" t="s">
        <v>284</v>
      </c>
      <c r="D8" t="s">
        <v>286</v>
      </c>
      <c r="E8" t="s">
        <v>285</v>
      </c>
    </row>
    <row r="9" spans="1:24" x14ac:dyDescent="0.4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4" x14ac:dyDescent="0.4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4" x14ac:dyDescent="0.45">
      <c r="A11" t="s">
        <v>455</v>
      </c>
      <c r="B11" t="s">
        <v>456</v>
      </c>
      <c r="D11">
        <v>1250</v>
      </c>
      <c r="E11" s="7"/>
    </row>
    <row r="12" spans="1:24" x14ac:dyDescent="0.45">
      <c r="E12" s="7"/>
    </row>
    <row r="13" spans="1:24" x14ac:dyDescent="0.4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4" ht="42.75" x14ac:dyDescent="0.4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45">
      <c r="A15" t="s">
        <v>448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3">
        <f t="shared" ref="F15:F43" si="2">SoConTrenToLon($C$5,$D$5,$D15,$E15)</f>
        <v>130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109000</v>
      </c>
      <c r="K15" s="7">
        <f>LamChanHangNgan((PhiMayCatDecalVuong(K$14,$D15,$E15)+ PhiMayInToner4M_Recoh(ROUNDUP(K$14/$F15,0)*$E$6)+ (ROUNDUP(K$14/$F15,0)*$D$11))*(1+$D$7))</f>
        <v>110000</v>
      </c>
      <c r="L15" s="7">
        <f>LamChanHangNgan((PhiMayCatDecalVuong(L$14,$D15,$E15)+ PhiMayInToner4M_Recoh(ROUNDUP(L$14/$F15,0)*$E$6)+ (ROUNDUP(L$14/$F15,0)*$D$11))*(1+$D$7))</f>
        <v>113000</v>
      </c>
      <c r="M15" s="7">
        <f>LamChanHangNgan((PhiMayCatDecalVuong(M$14,$D15,$E15)+ PhiMayInToner4M_Recoh(ROUNDUP(M$14/$F15,0)*$E$6)+ (ROUNDUP(M$14/$F15,0)*$D$11))*(1+$D$7))</f>
        <v>117000</v>
      </c>
      <c r="N15" s="7">
        <f>LamChanHangNgan((PhiMayCatDecalVuong(N$14,$D15,$E15)+ PhiMayInToner4M_Recoh(ROUNDUP(N$14/$F15,0)*$E$6)+ (ROUNDUP(N$14/$F15,0)*$D$11))*(1+$D$7))</f>
        <v>121000</v>
      </c>
      <c r="O15" s="7">
        <f>LamChanHangNgan((PhiMayCatDecalVuong(O$14,$D15,$E15)+ PhiMayInToner4M_Recoh(ROUNDUP(O$14/$F15,0)*$E$6)+ (ROUNDUP(O$14/$F15,0)*$D$11))*(1+$D$7))</f>
        <v>121000</v>
      </c>
      <c r="P15" s="7">
        <f>LamChanHangNgan((PhiMayCatDecalVuong(P$14,$D15,$E15)+ PhiMayInToner4M_Recoh(ROUNDUP(P$14/$F15,0)*$E$6)+ (ROUNDUP(P$14/$F15,0)*$D$11))*(1+$D$7))</f>
        <v>125000</v>
      </c>
      <c r="Q15" s="7">
        <f>LamChanHangNgan((PhiMayCatDecalVuong(Q$14,$D15,$E15)+ PhiMayInToner4M_Recoh(ROUNDUP(Q$14/$F15,0)*$E$6)+ (ROUNDUP(Q$14/$F15,0)*$D$11))*(1+$D$7))</f>
        <v>140000</v>
      </c>
      <c r="R15" s="7">
        <f>LamChanHangNgan((PhiMayCatDecalVuong(R$14,$D15,$E15)+ PhiMayInToner4M_Recoh(ROUNDUP(R$14/$F15,0)*$E$6)+ (ROUNDUP(R$14/$F15,0)*$D$11))*(1+$D$7))</f>
        <v>156000</v>
      </c>
      <c r="S15" s="7">
        <f>LamChanHangNgan((PhiMayCatDecalVuong(S$14,$D15,$E15)+ PhiMayInToner4M_Recoh(ROUNDUP(S$14/$F15,0)*$E$6)+ (ROUNDUP(S$14/$F15,0)*$D$11))*(1+$D$7))</f>
        <v>171000</v>
      </c>
      <c r="T15" s="7">
        <f>LamChanHangNgan((PhiMayCatDecalVuong(T$14,$D15,$E15)+ PhiMayInToner4M_Recoh(ROUNDUP(T$14/$F15,0)*$E$6)+ (ROUNDUP(T$14/$F15,0)*$D$11))*(1+$D$7))</f>
        <v>187000</v>
      </c>
      <c r="U15" s="7">
        <f>LamChanHangNgan((PhiMayCatDecalVuong(U$14,$D15,$E15)+ PhiMayInToner4M_Recoh(ROUNDUP(U$14/$F15,0)*$E$6)+ (ROUNDUP(U$14/$F15,0)*$D$11))*(1+$D$7))</f>
        <v>198000</v>
      </c>
      <c r="V15" s="7">
        <f>LamChanHangNgan((PhiMayCatDecalVuong(V$14,$D15,$E15)+ PhiMayInToner4M_Recoh(ROUNDUP(V$14/$F15,0)*$E$6)+ (ROUNDUP(V$14/$F15,0)*$D$11))*(1+$D$7))</f>
        <v>214000</v>
      </c>
      <c r="W15" s="7">
        <f>LamChanHangNgan((PhiMayCatDecalVuong(W$14,$D15,$E15)+ PhiMayInToner4M_Recoh(ROUNDUP(W$14/$F15,0)*$E$6)+ (ROUNDUP(W$14/$F15,0)*$D$11))*(1+$D$7))</f>
        <v>229000</v>
      </c>
      <c r="X15" s="7">
        <f>LamChanHangNgan((PhiMayCatDecalVuong(X$14,$D15,$E15)+ PhiMayInToner4M_Recoh(ROUNDUP(X$14/$F15,0)*$E$6)+ (ROUNDUP(X$14/$F15,0)*$D$11))*(1+$D$7))</f>
        <v>244000</v>
      </c>
    </row>
    <row r="16" spans="1:24" x14ac:dyDescent="0.4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3">
        <f t="shared" si="2"/>
        <v>117</v>
      </c>
      <c r="G16" s="7">
        <f>LamChanHangNgan((PhiMayCatDecalVuong(G$14,$D16,$E16)+ PhiMayInToner4M_Recoh(ROUNDUP(G$14/$F16,0)*$E$6)+ (ROUNDUP(G$14/$F16,0)*$D$11))*(1+$D$7))</f>
        <v>98000</v>
      </c>
      <c r="H16" s="7">
        <f>LamChanHangNgan((PhiMayCatDecalVuong(H$14,$D16,$E16)+ PhiMayInToner4M_Recoh(ROUNDUP(H$14/$F16,0)*$E$6)+ (ROUNDUP(H$14/$F16,0)*$D$11))*(1+$D$7))</f>
        <v>102000</v>
      </c>
      <c r="I16" s="7">
        <f>LamChanHangNgan((PhiMayCatDecalVuong(I$14,$D16,$E16)+ PhiMayInToner4M_Recoh(ROUNDUP(I$14/$F16,0)*$E$6)+ (ROUNDUP(I$14/$F16,0)*$D$11))*(1+$D$7))</f>
        <v>106000</v>
      </c>
      <c r="J16" s="7">
        <f>LamChanHangNgan((PhiMayCatDecalVuong(J$14,$D16,$E16)+ PhiMayInToner4M_Recoh(ROUNDUP(J$14/$F16,0)*$E$6)+ (ROUNDUP(J$14/$F16,0)*$D$11))*(1+$D$7))</f>
        <v>109000</v>
      </c>
      <c r="K16" s="7">
        <f>LamChanHangNgan((PhiMayCatDecalVuong(K$14,$D16,$E16)+ PhiMayInToner4M_Recoh(ROUNDUP(K$14/$F16,0)*$E$6)+ (ROUNDUP(K$14/$F16,0)*$D$11))*(1+$D$7))</f>
        <v>113000</v>
      </c>
      <c r="L16" s="7">
        <f>LamChanHangNgan((PhiMayCatDecalVuong(L$14,$D16,$E16)+ PhiMayInToner4M_Recoh(ROUNDUP(L$14/$F16,0)*$E$6)+ (ROUNDUP(L$14/$F16,0)*$D$11))*(1+$D$7))</f>
        <v>117000</v>
      </c>
      <c r="M16" s="7">
        <f>LamChanHangNgan((PhiMayCatDecalVuong(M$14,$D16,$E16)+ PhiMayInToner4M_Recoh(ROUNDUP(M$14/$F16,0)*$E$6)+ (ROUNDUP(M$14/$F16,0)*$D$11))*(1+$D$7))</f>
        <v>117000</v>
      </c>
      <c r="N16" s="7">
        <f>LamChanHangNgan((PhiMayCatDecalVuong(N$14,$D16,$E16)+ PhiMayInToner4M_Recoh(ROUNDUP(N$14/$F16,0)*$E$6)+ (ROUNDUP(N$14/$F16,0)*$D$11))*(1+$D$7))</f>
        <v>121000</v>
      </c>
      <c r="O16" s="7">
        <f>LamChanHangNgan((PhiMayCatDecalVuong(O$14,$D16,$E16)+ PhiMayInToner4M_Recoh(ROUNDUP(O$14/$F16,0)*$E$6)+ (ROUNDUP(O$14/$F16,0)*$D$11))*(1+$D$7))</f>
        <v>125000</v>
      </c>
      <c r="P16" s="7">
        <f>LamChanHangNgan((PhiMayCatDecalVuong(P$14,$D16,$E16)+ PhiMayInToner4M_Recoh(ROUNDUP(P$14/$F16,0)*$E$6)+ (ROUNDUP(P$14/$F16,0)*$D$11))*(1+$D$7))</f>
        <v>129000</v>
      </c>
      <c r="Q16" s="7">
        <f>LamChanHangNgan((PhiMayCatDecalVuong(Q$14,$D16,$E16)+ PhiMayInToner4M_Recoh(ROUNDUP(Q$14/$F16,0)*$E$6)+ (ROUNDUP(Q$14/$F16,0)*$D$11))*(1+$D$7))</f>
        <v>144000</v>
      </c>
      <c r="R16" s="7">
        <f>LamChanHangNgan((PhiMayCatDecalVuong(R$14,$D16,$E16)+ PhiMayInToner4M_Recoh(ROUNDUP(R$14/$F16,0)*$E$6)+ (ROUNDUP(R$14/$F16,0)*$D$11))*(1+$D$7))</f>
        <v>163000</v>
      </c>
      <c r="S16" s="7">
        <f>LamChanHangNgan((PhiMayCatDecalVuong(S$14,$D16,$E16)+ PhiMayInToner4M_Recoh(ROUNDUP(S$14/$F16,0)*$E$6)+ (ROUNDUP(S$14/$F16,0)*$D$11))*(1+$D$7))</f>
        <v>179000</v>
      </c>
      <c r="T16" s="7">
        <f>LamChanHangNgan((PhiMayCatDecalVuong(T$14,$D16,$E16)+ PhiMayInToner4M_Recoh(ROUNDUP(T$14/$F16,0)*$E$6)+ (ROUNDUP(T$14/$F16,0)*$D$11))*(1+$D$7))</f>
        <v>194000</v>
      </c>
      <c r="U16" s="7">
        <f>LamChanHangNgan((PhiMayCatDecalVuong(U$14,$D16,$E16)+ PhiMayInToner4M_Recoh(ROUNDUP(U$14/$F16,0)*$E$6)+ (ROUNDUP(U$14/$F16,0)*$D$11))*(1+$D$7))</f>
        <v>210000</v>
      </c>
      <c r="V16" s="7">
        <f>LamChanHangNgan((PhiMayCatDecalVuong(V$14,$D16,$E16)+ PhiMayInToner4M_Recoh(ROUNDUP(V$14/$F16,0)*$E$6)+ (ROUNDUP(V$14/$F16,0)*$D$11))*(1+$D$7))</f>
        <v>229000</v>
      </c>
      <c r="W16" s="7">
        <f>LamChanHangNgan((PhiMayCatDecalVuong(W$14,$D16,$E16)+ PhiMayInToner4M_Recoh(ROUNDUP(W$14/$F16,0)*$E$6)+ (ROUNDUP(W$14/$F16,0)*$D$11))*(1+$D$7))</f>
        <v>244000</v>
      </c>
      <c r="X16" s="7">
        <f>LamChanHangNgan((PhiMayCatDecalVuong(X$14,$D16,$E16)+ PhiMayInToner4M_Recoh(ROUNDUP(X$14/$F16,0)*$E$6)+ (ROUNDUP(X$14/$F16,0)*$D$11))*(1+$D$7))</f>
        <v>260000</v>
      </c>
    </row>
    <row r="17" spans="1:24" x14ac:dyDescent="0.45">
      <c r="B17">
        <v>3</v>
      </c>
      <c r="C17" t="str">
        <f t="shared" si="3"/>
        <v>3 x 4 cm</v>
      </c>
      <c r="D17">
        <v>3</v>
      </c>
      <c r="E17">
        <v>4</v>
      </c>
      <c r="F17" s="43">
        <f t="shared" si="2"/>
        <v>104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110000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121000</v>
      </c>
      <c r="N17" s="7">
        <f>LamChanHangNgan((PhiMayCatDecalVuong(N$14,$D17,$E17)+ PhiMayInToner4M_Recoh(ROUNDUP(N$14/$F17,0)*$E$6)+ (ROUNDUP(N$14/$F17,0)*$D$11))*(1+$D$7))</f>
        <v>125000</v>
      </c>
      <c r="O17" s="7">
        <f>LamChanHangNgan((PhiMayCatDecalVuong(O$14,$D17,$E17)+ PhiMayInToner4M_Recoh(ROUNDUP(O$14/$F17,0)*$E$6)+ (ROUNDUP(O$14/$F17,0)*$D$11))*(1+$D$7))</f>
        <v>129000</v>
      </c>
      <c r="P17" s="7">
        <f>LamChanHangNgan((PhiMayCatDecalVuong(P$14,$D17,$E17)+ PhiMayInToner4M_Recoh(ROUNDUP(P$14/$F17,0)*$E$6)+ (ROUNDUP(P$14/$F17,0)*$D$11))*(1+$D$7))</f>
        <v>132000</v>
      </c>
      <c r="Q17" s="7">
        <f>LamChanHangNgan((PhiMayCatDecalVuong(Q$14,$D17,$E17)+ PhiMayInToner4M_Recoh(ROUNDUP(Q$14/$F17,0)*$E$6)+ (ROUNDUP(Q$14/$F17,0)*$D$11))*(1+$D$7))</f>
        <v>152000</v>
      </c>
      <c r="R17" s="7">
        <f>LamChanHangNgan((PhiMayCatDecalVuong(R$14,$D17,$E17)+ PhiMayInToner4M_Recoh(ROUNDUP(R$14/$F17,0)*$E$6)+ (ROUNDUP(R$14/$F17,0)*$D$11))*(1+$D$7))</f>
        <v>171000</v>
      </c>
      <c r="S17" s="7">
        <f>LamChanHangNgan((PhiMayCatDecalVuong(S$14,$D17,$E17)+ PhiMayInToner4M_Recoh(ROUNDUP(S$14/$F17,0)*$E$6)+ (ROUNDUP(S$14/$F17,0)*$D$11))*(1+$D$7))</f>
        <v>190000</v>
      </c>
      <c r="T17" s="7">
        <f>LamChanHangNgan((PhiMayCatDecalVuong(T$14,$D17,$E17)+ PhiMayInToner4M_Recoh(ROUNDUP(T$14/$F17,0)*$E$6)+ (ROUNDUP(T$14/$F17,0)*$D$11))*(1+$D$7))</f>
        <v>205000</v>
      </c>
      <c r="U17" s="7">
        <f>LamChanHangNgan((PhiMayCatDecalVuong(U$14,$D17,$E17)+ PhiMayInToner4M_Recoh(ROUNDUP(U$14/$F17,0)*$E$6)+ (ROUNDUP(U$14/$F17,0)*$D$11))*(1+$D$7))</f>
        <v>224000</v>
      </c>
      <c r="V17" s="7">
        <f>LamChanHangNgan((PhiMayCatDecalVuong(V$14,$D17,$E17)+ PhiMayInToner4M_Recoh(ROUNDUP(V$14/$F17,0)*$E$6)+ (ROUNDUP(V$14/$F17,0)*$D$11))*(1+$D$7))</f>
        <v>244000</v>
      </c>
      <c r="W17" s="7">
        <f>LamChanHangNgan((PhiMayCatDecalVuong(W$14,$D17,$E17)+ PhiMayInToner4M_Recoh(ROUNDUP(W$14/$F17,0)*$E$6)+ (ROUNDUP(W$14/$F17,0)*$D$11))*(1+$D$7))</f>
        <v>263000</v>
      </c>
      <c r="X17" s="7">
        <f>LamChanHangNgan((PhiMayCatDecalVuong(X$14,$D17,$E17)+ PhiMayInToner4M_Recoh(ROUNDUP(X$14/$F17,0)*$E$6)+ (ROUNDUP(X$14/$F17,0)*$D$11))*(1+$D$7))</f>
        <v>282000</v>
      </c>
    </row>
    <row r="18" spans="1:24" x14ac:dyDescent="0.45">
      <c r="A18" s="1" t="s">
        <v>449</v>
      </c>
      <c r="B18">
        <v>4</v>
      </c>
      <c r="C18" t="str">
        <f t="shared" si="3"/>
        <v>3 x 4.5 cm</v>
      </c>
      <c r="D18">
        <v>3</v>
      </c>
      <c r="E18">
        <v>4.5</v>
      </c>
      <c r="F18" s="43">
        <f t="shared" si="2"/>
        <v>91</v>
      </c>
      <c r="G18" s="7">
        <f>LamChanHangNgan((PhiMayCatDecalVuong(G$14,$D18,$E18)+ PhiMayInToner4M_Recoh(ROUNDUP(G$14/$F18,0)*$E$6)+ (ROUNDUP(G$14/$F18,0)*$D$11))*(1+$D$7))</f>
        <v>102000</v>
      </c>
      <c r="H18" s="7">
        <f>LamChanHangNgan((PhiMayCatDecalVuong(H$14,$D18,$E18)+ PhiMayInToner4M_Recoh(ROUNDUP(H$14/$F18,0)*$E$6)+ (ROUNDUP(H$14/$F18,0)*$D$11))*(1+$D$7))</f>
        <v>105000</v>
      </c>
      <c r="I18" s="7">
        <f>LamChanHangNgan((PhiMayCatDecalVuong(I$14,$D18,$E18)+ PhiMayInToner4M_Recoh(ROUNDUP(I$14/$F18,0)*$E$6)+ (ROUNDUP(I$14/$F18,0)*$D$11))*(1+$D$7))</f>
        <v>109000</v>
      </c>
      <c r="J18" s="7">
        <f>LamChanHangNgan((PhiMayCatDecalVuong(J$14,$D18,$E18)+ PhiMayInToner4M_Recoh(ROUNDUP(J$14/$F18,0)*$E$6)+ (ROUNDUP(J$14/$F18,0)*$D$11))*(1+$D$7))</f>
        <v>113000</v>
      </c>
      <c r="K18" s="7">
        <f>LamChanHangNgan((PhiMayCatDecalVuong(K$14,$D18,$E18)+ PhiMayInToner4M_Recoh(ROUNDUP(K$14/$F18,0)*$E$6)+ (ROUNDUP(K$14/$F18,0)*$D$11))*(1+$D$7))</f>
        <v>117000</v>
      </c>
      <c r="L18" s="7">
        <f>LamChanHangNgan((PhiMayCatDecalVuong(L$14,$D18,$E18)+ PhiMayInToner4M_Recoh(ROUNDUP(L$14/$F18,0)*$E$6)+ (ROUNDUP(L$14/$F18,0)*$D$11))*(1+$D$7))</f>
        <v>121000</v>
      </c>
      <c r="M18" s="7">
        <f>LamChanHangNgan((PhiMayCatDecalVuong(M$14,$D18,$E18)+ PhiMayInToner4M_Recoh(ROUNDUP(M$14/$F18,0)*$E$6)+ (ROUNDUP(M$14/$F18,0)*$D$11))*(1+$D$7))</f>
        <v>125000</v>
      </c>
      <c r="N18" s="7">
        <f>LamChanHangNgan((PhiMayCatDecalVuong(N$14,$D18,$E18)+ PhiMayInToner4M_Recoh(ROUNDUP(N$14/$F18,0)*$E$6)+ (ROUNDUP(N$14/$F18,0)*$D$11))*(1+$D$7))</f>
        <v>129000</v>
      </c>
      <c r="O18" s="7">
        <f>LamChanHangNgan((PhiMayCatDecalVuong(O$14,$D18,$E18)+ PhiMayInToner4M_Recoh(ROUNDUP(O$14/$F18,0)*$E$6)+ (ROUNDUP(O$14/$F18,0)*$D$11))*(1+$D$7))</f>
        <v>132000</v>
      </c>
      <c r="P18" s="7">
        <f>LamChanHangNgan((PhiMayCatDecalVuong(P$14,$D18,$E18)+ PhiMayInToner4M_Recoh(ROUNDUP(P$14/$F18,0)*$E$6)+ (ROUNDUP(P$14/$F18,0)*$D$11))*(1+$D$7))</f>
        <v>136000</v>
      </c>
      <c r="Q18" s="7">
        <f>LamChanHangNgan((PhiMayCatDecalVuong(Q$14,$D18,$E18)+ PhiMayInToner4M_Recoh(ROUNDUP(Q$14/$F18,0)*$E$6)+ (ROUNDUP(Q$14/$F18,0)*$D$11))*(1+$D$7))</f>
        <v>159000</v>
      </c>
      <c r="R18" s="7">
        <f>LamChanHangNgan((PhiMayCatDecalVuong(R$14,$D18,$E18)+ PhiMayInToner4M_Recoh(ROUNDUP(R$14/$F18,0)*$E$6)+ (ROUNDUP(R$14/$F18,0)*$D$11))*(1+$D$7))</f>
        <v>178000</v>
      </c>
      <c r="S18" s="7">
        <f>LamChanHangNgan((PhiMayCatDecalVuong(S$14,$D18,$E18)+ PhiMayInToner4M_Recoh(ROUNDUP(S$14/$F18,0)*$E$6)+ (ROUNDUP(S$14/$F18,0)*$D$11))*(1+$D$7))</f>
        <v>201000</v>
      </c>
      <c r="T18" s="7">
        <f>LamChanHangNgan((PhiMayCatDecalVuong(T$14,$D18,$E18)+ PhiMayInToner4M_Recoh(ROUNDUP(T$14/$F18,0)*$E$6)+ (ROUNDUP(T$14/$F18,0)*$D$11))*(1+$D$7))</f>
        <v>220000</v>
      </c>
      <c r="U18" s="7">
        <f>LamChanHangNgan((PhiMayCatDecalVuong(U$14,$D18,$E18)+ PhiMayInToner4M_Recoh(ROUNDUP(U$14/$F18,0)*$E$6)+ (ROUNDUP(U$14/$F18,0)*$D$11))*(1+$D$7))</f>
        <v>243000</v>
      </c>
      <c r="V18" s="7">
        <f>LamChanHangNgan((PhiMayCatDecalVuong(V$14,$D18,$E18)+ PhiMayInToner4M_Recoh(ROUNDUP(V$14/$F18,0)*$E$6)+ (ROUNDUP(V$14/$F18,0)*$D$11))*(1+$D$7))</f>
        <v>262000</v>
      </c>
      <c r="W18" s="7">
        <f>LamChanHangNgan((PhiMayCatDecalVuong(W$14,$D18,$E18)+ PhiMayInToner4M_Recoh(ROUNDUP(W$14/$F18,0)*$E$6)+ (ROUNDUP(W$14/$F18,0)*$D$11))*(1+$D$7))</f>
        <v>285000</v>
      </c>
      <c r="X18" s="7">
        <f>LamChanHangNgan((PhiMayCatDecalVuong(X$14,$D18,$E18)+ PhiMayInToner4M_Recoh(ROUNDUP(X$14/$F18,0)*$E$6)+ (ROUNDUP(X$14/$F18,0)*$D$11))*(1+$D$7))</f>
        <v>304000</v>
      </c>
    </row>
    <row r="19" spans="1:24" ht="28.5" x14ac:dyDescent="0.45">
      <c r="A19" s="2" t="s">
        <v>450</v>
      </c>
      <c r="B19">
        <v>5</v>
      </c>
      <c r="C19" t="str">
        <f t="shared" si="3"/>
        <v>3 x 5 cm</v>
      </c>
      <c r="D19">
        <v>3</v>
      </c>
      <c r="E19">
        <v>5</v>
      </c>
      <c r="F19" s="43">
        <f t="shared" si="2"/>
        <v>78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106000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117000</v>
      </c>
      <c r="K19" s="7">
        <f>LamChanHangNgan((PhiMayCatDecalVuong(K$14,$D19,$E19)+ PhiMayInToner4M_Recoh(ROUNDUP(K$14/$F19,0)*$E$6)+ (ROUNDUP(K$14/$F19,0)*$D$11))*(1+$D$7))</f>
        <v>121000</v>
      </c>
      <c r="L19" s="7">
        <f>LamChanHangNgan((PhiMayCatDecalVuong(L$14,$D19,$E19)+ PhiMayInToner4M_Recoh(ROUNDUP(L$14/$F19,0)*$E$6)+ (ROUNDUP(L$14/$F19,0)*$D$11))*(1+$D$7))</f>
        <v>124000</v>
      </c>
      <c r="M19" s="7">
        <f>LamChanHangNgan((PhiMayCatDecalVuong(M$14,$D19,$E19)+ PhiMayInToner4M_Recoh(ROUNDUP(M$14/$F19,0)*$E$6)+ (ROUNDUP(M$14/$F19,0)*$D$11))*(1+$D$7))</f>
        <v>128000</v>
      </c>
      <c r="N19" s="7">
        <f>LamChanHangNgan((PhiMayCatDecalVuong(N$14,$D19,$E19)+ PhiMayInToner4M_Recoh(ROUNDUP(N$14/$F19,0)*$E$6)+ (ROUNDUP(N$14/$F19,0)*$D$11))*(1+$D$7))</f>
        <v>136000</v>
      </c>
      <c r="O19" s="7">
        <f>LamChanHangNgan((PhiMayCatDecalVuong(O$14,$D19,$E19)+ PhiMayInToner4M_Recoh(ROUNDUP(O$14/$F19,0)*$E$6)+ (ROUNDUP(O$14/$F19,0)*$D$11))*(1+$D$7))</f>
        <v>140000</v>
      </c>
      <c r="P19" s="7">
        <f>LamChanHangNgan((PhiMayCatDecalVuong(P$14,$D19,$E19)+ PhiMayInToner4M_Recoh(ROUNDUP(P$14/$F19,0)*$E$6)+ (ROUNDUP(P$14/$F19,0)*$D$11))*(1+$D$7))</f>
        <v>143000</v>
      </c>
      <c r="Q19" s="7">
        <f>LamChanHangNgan((PhiMayCatDecalVuong(Q$14,$D19,$E19)+ PhiMayInToner4M_Recoh(ROUNDUP(Q$14/$F19,0)*$E$6)+ (ROUNDUP(Q$14/$F19,0)*$D$11))*(1+$D$7))</f>
        <v>170000</v>
      </c>
      <c r="R19" s="7">
        <f>LamChanHangNgan((PhiMayCatDecalVuong(R$14,$D19,$E19)+ PhiMayInToner4M_Recoh(ROUNDUP(R$14/$F19,0)*$E$6)+ (ROUNDUP(R$14/$F19,0)*$D$11))*(1+$D$7))</f>
        <v>193000</v>
      </c>
      <c r="S19" s="7">
        <f>LamChanHangNgan((PhiMayCatDecalVuong(S$14,$D19,$E19)+ PhiMayInToner4M_Recoh(ROUNDUP(S$14/$F19,0)*$E$6)+ (ROUNDUP(S$14/$F19,0)*$D$11))*(1+$D$7))</f>
        <v>219000</v>
      </c>
      <c r="T19" s="7">
        <f>LamChanHangNgan((PhiMayCatDecalVuong(T$14,$D19,$E19)+ PhiMayInToner4M_Recoh(ROUNDUP(T$14/$F19,0)*$E$6)+ (ROUNDUP(T$14/$F19,0)*$D$11))*(1+$D$7))</f>
        <v>242000</v>
      </c>
      <c r="U19" s="7">
        <f>LamChanHangNgan((PhiMayCatDecalVuong(U$14,$D19,$E19)+ PhiMayInToner4M_Recoh(ROUNDUP(U$14/$F19,0)*$E$6)+ (ROUNDUP(U$14/$F19,0)*$D$11))*(1+$D$7))</f>
        <v>264000</v>
      </c>
      <c r="V19" s="7">
        <f>LamChanHangNgan((PhiMayCatDecalVuong(V$14,$D19,$E19)+ PhiMayInToner4M_Recoh(ROUNDUP(V$14/$F19,0)*$E$6)+ (ROUNDUP(V$14/$F19,0)*$D$11))*(1+$D$7))</f>
        <v>291000</v>
      </c>
      <c r="W19" s="7">
        <f>LamChanHangNgan((PhiMayCatDecalVuong(W$14,$D19,$E19)+ PhiMayInToner4M_Recoh(ROUNDUP(W$14/$F19,0)*$E$6)+ (ROUNDUP(W$14/$F19,0)*$D$11))*(1+$D$7))</f>
        <v>314000</v>
      </c>
      <c r="X19" s="7">
        <f>LamChanHangNgan((PhiMayCatDecalVuong(X$14,$D19,$E19)+ PhiMayInToner4M_Recoh(ROUNDUP(X$14/$F19,0)*$E$6)+ (ROUNDUP(X$14/$F19,0)*$D$11))*(1+$D$7))</f>
        <v>340000</v>
      </c>
    </row>
    <row r="20" spans="1:24" x14ac:dyDescent="0.45">
      <c r="A20" s="2" t="s">
        <v>451</v>
      </c>
      <c r="B20">
        <v>6</v>
      </c>
      <c r="C20" t="str">
        <f t="shared" si="3"/>
        <v>3 x 5.5 cm</v>
      </c>
      <c r="D20">
        <v>3</v>
      </c>
      <c r="E20">
        <v>5.5</v>
      </c>
      <c r="F20" s="43">
        <f t="shared" si="2"/>
        <v>70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113000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124000</v>
      </c>
      <c r="L20" s="7">
        <f>LamChanHangNgan((PhiMayCatDecalVuong(L$14,$D20,$E20)+ PhiMayInToner4M_Recoh(ROUNDUP(L$14/$F20,0)*$E$6)+ (ROUNDUP(L$14/$F20,0)*$D$11))*(1+$D$7))</f>
        <v>128000</v>
      </c>
      <c r="M20" s="7">
        <f>LamChanHangNgan((PhiMayCatDecalVuong(M$14,$D20,$E20)+ PhiMayInToner4M_Recoh(ROUNDUP(M$14/$F20,0)*$E$6)+ (ROUNDUP(M$14/$F20,0)*$D$11))*(1+$D$7))</f>
        <v>132000</v>
      </c>
      <c r="N20" s="7">
        <f>LamChanHangNgan((PhiMayCatDecalVuong(N$14,$D20,$E20)+ PhiMayInToner4M_Recoh(ROUNDUP(N$14/$F20,0)*$E$6)+ (ROUNDUP(N$14/$F20,0)*$D$11))*(1+$D$7))</f>
        <v>139000</v>
      </c>
      <c r="O20" s="7">
        <f>LamChanHangNgan((PhiMayCatDecalVuong(O$14,$D20,$E20)+ PhiMayInToner4M_Recoh(ROUNDUP(O$14/$F20,0)*$E$6)+ (ROUNDUP(O$14/$F20,0)*$D$11))*(1+$D$7))</f>
        <v>143000</v>
      </c>
      <c r="P20" s="7">
        <f>LamChanHangNgan((PhiMayCatDecalVuong(P$14,$D20,$E20)+ PhiMayInToner4M_Recoh(ROUNDUP(P$14/$F20,0)*$E$6)+ (ROUNDUP(P$14/$F20,0)*$D$11))*(1+$D$7))</f>
        <v>151000</v>
      </c>
      <c r="Q20" s="7">
        <f>LamChanHangNgan((PhiMayCatDecalVuong(Q$14,$D20,$E20)+ PhiMayInToner4M_Recoh(ROUNDUP(Q$14/$F20,0)*$E$6)+ (ROUNDUP(Q$14/$F20,0)*$D$11))*(1+$D$7))</f>
        <v>177000</v>
      </c>
      <c r="R20" s="7">
        <f>LamChanHangNgan((PhiMayCatDecalVuong(R$14,$D20,$E20)+ PhiMayInToner4M_Recoh(ROUNDUP(R$14/$F20,0)*$E$6)+ (ROUNDUP(R$14/$F20,0)*$D$11))*(1+$D$7))</f>
        <v>203000</v>
      </c>
      <c r="S20" s="7">
        <f>LamChanHangNgan((PhiMayCatDecalVuong(S$14,$D20,$E20)+ PhiMayInToner4M_Recoh(ROUNDUP(S$14/$F20,0)*$E$6)+ (ROUNDUP(S$14/$F20,0)*$D$11))*(1+$D$7))</f>
        <v>230000</v>
      </c>
      <c r="T20" s="7">
        <f>LamChanHangNgan((PhiMayCatDecalVuong(T$14,$D20,$E20)+ PhiMayInToner4M_Recoh(ROUNDUP(T$14/$F20,0)*$E$6)+ (ROUNDUP(T$14/$F20,0)*$D$11))*(1+$D$7))</f>
        <v>256000</v>
      </c>
      <c r="U20" s="7">
        <f>LamChanHangNgan((PhiMayCatDecalVuong(U$14,$D20,$E20)+ PhiMayInToner4M_Recoh(ROUNDUP(U$14/$F20,0)*$E$6)+ (ROUNDUP(U$14/$F20,0)*$D$11))*(1+$D$7))</f>
        <v>283000</v>
      </c>
      <c r="V20" s="7">
        <f>LamChanHangNgan((PhiMayCatDecalVuong(V$14,$D20,$E20)+ PhiMayInToner4M_Recoh(ROUNDUP(V$14/$F20,0)*$E$6)+ (ROUNDUP(V$14/$F20,0)*$D$11))*(1+$D$7))</f>
        <v>313000</v>
      </c>
      <c r="W20" s="7">
        <f>LamChanHangNgan((PhiMayCatDecalVuong(W$14,$D20,$E20)+ PhiMayInToner4M_Recoh(ROUNDUP(W$14/$F20,0)*$E$6)+ (ROUNDUP(W$14/$F20,0)*$D$11))*(1+$D$7))</f>
        <v>339000</v>
      </c>
      <c r="X20" s="7">
        <f>LamChanHangNgan((PhiMayCatDecalVuong(X$14,$D20,$E20)+ PhiMayInToner4M_Recoh(ROUNDUP(X$14/$F20,0)*$E$6)+ (ROUNDUP(X$14/$F20,0)*$D$11))*(1+$D$7))</f>
        <v>366000</v>
      </c>
    </row>
    <row r="21" spans="1:24" x14ac:dyDescent="0.45">
      <c r="A21" s="2" t="s">
        <v>452</v>
      </c>
      <c r="B21">
        <v>7</v>
      </c>
      <c r="C21" t="str">
        <f t="shared" si="3"/>
        <v>3 x 6 cm</v>
      </c>
      <c r="D21">
        <v>3</v>
      </c>
      <c r="E21">
        <v>6</v>
      </c>
      <c r="F21" s="43">
        <f t="shared" si="2"/>
        <v>65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109000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120000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132000</v>
      </c>
      <c r="M21" s="7">
        <f>LamChanHangNgan((PhiMayCatDecalVuong(M$14,$D21,$E21)+ PhiMayInToner4M_Recoh(ROUNDUP(M$14/$F21,0)*$E$6)+ (ROUNDUP(M$14/$F21,0)*$D$11))*(1+$D$7))</f>
        <v>136000</v>
      </c>
      <c r="N21" s="7">
        <f>LamChanHangNgan((PhiMayCatDecalVuong(N$14,$D21,$E21)+ PhiMayInToner4M_Recoh(ROUNDUP(N$14/$F21,0)*$E$6)+ (ROUNDUP(N$14/$F21,0)*$D$11))*(1+$D$7))</f>
        <v>143000</v>
      </c>
      <c r="O21" s="7">
        <f>LamChanHangNgan((PhiMayCatDecalVuong(O$14,$D21,$E21)+ PhiMayInToner4M_Recoh(ROUNDUP(O$14/$F21,0)*$E$6)+ (ROUNDUP(O$14/$F21,0)*$D$11))*(1+$D$7))</f>
        <v>147000</v>
      </c>
      <c r="P21" s="7">
        <f>LamChanHangNgan((PhiMayCatDecalVuong(P$14,$D21,$E21)+ PhiMayInToner4M_Recoh(ROUNDUP(P$14/$F21,0)*$E$6)+ (ROUNDUP(P$14/$F21,0)*$D$11))*(1+$D$7))</f>
        <v>154000</v>
      </c>
      <c r="Q21" s="7">
        <f>LamChanHangNgan((PhiMayCatDecalVuong(Q$14,$D21,$E21)+ PhiMayInToner4M_Recoh(ROUNDUP(Q$14/$F21,0)*$E$6)+ (ROUNDUP(Q$14/$F21,0)*$D$11))*(1+$D$7))</f>
        <v>184000</v>
      </c>
      <c r="R21" s="7">
        <f>LamChanHangNgan((PhiMayCatDecalVuong(R$14,$D21,$E21)+ PhiMayInToner4M_Recoh(ROUNDUP(R$14/$F21,0)*$E$6)+ (ROUNDUP(R$14/$F21,0)*$D$11))*(1+$D$7))</f>
        <v>211000</v>
      </c>
      <c r="S21" s="7">
        <f>LamChanHangNgan((PhiMayCatDecalVuong(S$14,$D21,$E21)+ PhiMayInToner4M_Recoh(ROUNDUP(S$14/$F21,0)*$E$6)+ (ROUNDUP(S$14/$F21,0)*$D$11))*(1+$D$7))</f>
        <v>241000</v>
      </c>
      <c r="T21" s="7">
        <f>LamChanHangNgan((PhiMayCatDecalVuong(T$14,$D21,$E21)+ PhiMayInToner4M_Recoh(ROUNDUP(T$14/$F21,0)*$E$6)+ (ROUNDUP(T$14/$F21,0)*$D$11))*(1+$D$7))</f>
        <v>271000</v>
      </c>
      <c r="U21" s="7">
        <f>LamChanHangNgan((PhiMayCatDecalVuong(U$14,$D21,$E21)+ PhiMayInToner4M_Recoh(ROUNDUP(U$14/$F21,0)*$E$6)+ (ROUNDUP(U$14/$F21,0)*$D$11))*(1+$D$7))</f>
        <v>298000</v>
      </c>
      <c r="V21" s="7">
        <f>LamChanHangNgan((PhiMayCatDecalVuong(V$14,$D21,$E21)+ PhiMayInToner4M_Recoh(ROUNDUP(V$14/$F21,0)*$E$6)+ (ROUNDUP(V$14/$F21,0)*$D$11))*(1+$D$7))</f>
        <v>328000</v>
      </c>
      <c r="W21" s="7">
        <f>LamChanHangNgan((PhiMayCatDecalVuong(W$14,$D21,$E21)+ PhiMayInToner4M_Recoh(ROUNDUP(W$14/$F21,0)*$E$6)+ (ROUNDUP(W$14/$F21,0)*$D$11))*(1+$D$7))</f>
        <v>358000</v>
      </c>
      <c r="X21" s="7">
        <f>LamChanHangNgan((PhiMayCatDecalVuong(X$14,$D21,$E21)+ PhiMayInToner4M_Recoh(ROUNDUP(X$14/$F21,0)*$E$6)+ (ROUNDUP(X$14/$F21,0)*$D$11))*(1+$D$7))</f>
        <v>384000</v>
      </c>
    </row>
    <row r="22" spans="1:24" x14ac:dyDescent="0.45">
      <c r="A22" s="2" t="s">
        <v>453</v>
      </c>
      <c r="B22">
        <v>8</v>
      </c>
      <c r="C22" t="str">
        <f t="shared" si="3"/>
        <v>3 x 6.5 cm</v>
      </c>
      <c r="D22">
        <v>3</v>
      </c>
      <c r="E22">
        <v>6.5</v>
      </c>
      <c r="F22" s="43">
        <f t="shared" si="2"/>
        <v>60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121000</v>
      </c>
      <c r="K22" s="7">
        <f>LamChanHangNgan((PhiMayCatDecalVuong(K$14,$D22,$E22)+ PhiMayInToner4M_Recoh(ROUNDUP(K$14/$F22,0)*$E$6)+ (ROUNDUP(K$14/$F22,0)*$D$11))*(1+$D$7))</f>
        <v>128000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139000</v>
      </c>
      <c r="N22" s="7">
        <f>LamChanHangNgan((PhiMayCatDecalVuong(N$14,$D22,$E22)+ PhiMayInToner4M_Recoh(ROUNDUP(N$14/$F22,0)*$E$6)+ (ROUNDUP(N$14/$F22,0)*$D$11))*(1+$D$7))</f>
        <v>147000</v>
      </c>
      <c r="O22" s="7">
        <f>LamChanHangNgan((PhiMayCatDecalVuong(O$14,$D22,$E22)+ PhiMayInToner4M_Recoh(ROUNDUP(O$14/$F22,0)*$E$6)+ (ROUNDUP(O$14/$F22,0)*$D$11))*(1+$D$7))</f>
        <v>151000</v>
      </c>
      <c r="P22" s="7">
        <f>LamChanHangNgan((PhiMayCatDecalVuong(P$14,$D22,$E22)+ PhiMayInToner4M_Recoh(ROUNDUP(P$14/$F22,0)*$E$6)+ (ROUNDUP(P$14/$F22,0)*$D$11))*(1+$D$7))</f>
        <v>158000</v>
      </c>
      <c r="Q22" s="7">
        <f>LamChanHangNgan((PhiMayCatDecalVuong(Q$14,$D22,$E22)+ PhiMayInToner4M_Recoh(ROUNDUP(Q$14/$F22,0)*$E$6)+ (ROUNDUP(Q$14/$F22,0)*$D$11))*(1+$D$7))</f>
        <v>188000</v>
      </c>
      <c r="R22" s="7">
        <f>LamChanHangNgan((PhiMayCatDecalVuong(R$14,$D22,$E22)+ PhiMayInToner4M_Recoh(ROUNDUP(R$14/$F22,0)*$E$6)+ (ROUNDUP(R$14/$F22,0)*$D$11))*(1+$D$7))</f>
        <v>222000</v>
      </c>
      <c r="S22" s="7">
        <f>LamChanHangNgan((PhiMayCatDecalVuong(S$14,$D22,$E22)+ PhiMayInToner4M_Recoh(ROUNDUP(S$14/$F22,0)*$E$6)+ (ROUNDUP(S$14/$F22,0)*$D$11))*(1+$D$7))</f>
        <v>252000</v>
      </c>
      <c r="T22" s="7">
        <f>LamChanHangNgan((PhiMayCatDecalVuong(T$14,$D22,$E22)+ PhiMayInToner4M_Recoh(ROUNDUP(T$14/$F22,0)*$E$6)+ (ROUNDUP(T$14/$F22,0)*$D$11))*(1+$D$7))</f>
        <v>282000</v>
      </c>
      <c r="U22" s="7">
        <f>LamChanHangNgan((PhiMayCatDecalVuong(U$14,$D22,$E22)+ PhiMayInToner4M_Recoh(ROUNDUP(U$14/$F22,0)*$E$6)+ (ROUNDUP(U$14/$F22,0)*$D$11))*(1+$D$7))</f>
        <v>316000</v>
      </c>
      <c r="V22" s="7">
        <f>LamChanHangNgan((PhiMayCatDecalVuong(V$14,$D22,$E22)+ PhiMayInToner4M_Recoh(ROUNDUP(V$14/$F22,0)*$E$6)+ (ROUNDUP(V$14/$F22,0)*$D$11))*(1+$D$7))</f>
        <v>346000</v>
      </c>
      <c r="W22" s="7">
        <f>LamChanHangNgan((PhiMayCatDecalVuong(W$14,$D22,$E22)+ PhiMayInToner4M_Recoh(ROUNDUP(W$14/$F22,0)*$E$6)+ (ROUNDUP(W$14/$F22,0)*$D$11))*(1+$D$7))</f>
        <v>376000</v>
      </c>
      <c r="X22" s="7">
        <f>LamChanHangNgan((PhiMayCatDecalVuong(X$14,$D22,$E22)+ PhiMayInToner4M_Recoh(ROUNDUP(X$14/$F22,0)*$E$6)+ (ROUNDUP(X$14/$F22,0)*$D$11))*(1+$D$7))</f>
        <v>410000</v>
      </c>
    </row>
    <row r="23" spans="1:24" x14ac:dyDescent="0.4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3">
        <f t="shared" si="2"/>
        <v>52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117000</v>
      </c>
      <c r="J23" s="7">
        <f>LamChanHangNgan((PhiMayCatDecalVuong(J$14,$D23,$E23)+ PhiMayInToner4M_Recoh(ROUNDUP(J$14/$F23,0)*$E$6)+ (ROUNDUP(J$14/$F23,0)*$D$11))*(1+$D$7))</f>
        <v>124000</v>
      </c>
      <c r="K23" s="7">
        <f>LamChanHangNgan((PhiMayCatDecalVuong(K$14,$D23,$E23)+ PhiMayInToner4M_Recoh(ROUNDUP(K$14/$F23,0)*$E$6)+ (ROUNDUP(K$14/$F23,0)*$D$11))*(1+$D$7))</f>
        <v>132000</v>
      </c>
      <c r="L23" s="7">
        <f>LamChanHangNgan((PhiMayCatDecalVuong(L$14,$D23,$E23)+ PhiMayInToner4M_Recoh(ROUNDUP(L$14/$F23,0)*$E$6)+ (ROUNDUP(L$14/$F23,0)*$D$11))*(1+$D$7))</f>
        <v>139000</v>
      </c>
      <c r="M23" s="7">
        <f>LamChanHangNgan((PhiMayCatDecalVuong(M$14,$D23,$E23)+ PhiMayInToner4M_Recoh(ROUNDUP(M$14/$F23,0)*$E$6)+ (ROUNDUP(M$14/$F23,0)*$D$11))*(1+$D$7))</f>
        <v>146000</v>
      </c>
      <c r="N23" s="7">
        <f>LamChanHangNgan((PhiMayCatDecalVuong(N$14,$D23,$E23)+ PhiMayInToner4M_Recoh(ROUNDUP(N$14/$F23,0)*$E$6)+ (ROUNDUP(N$14/$F23,0)*$D$11))*(1+$D$7))</f>
        <v>154000</v>
      </c>
      <c r="O23" s="7">
        <f>LamChanHangNgan((PhiMayCatDecalVuong(O$14,$D23,$E23)+ PhiMayInToner4M_Recoh(ROUNDUP(O$14/$F23,0)*$E$6)+ (ROUNDUP(O$14/$F23,0)*$D$11))*(1+$D$7))</f>
        <v>161000</v>
      </c>
      <c r="P23" s="7">
        <f>LamChanHangNgan((PhiMayCatDecalVuong(P$14,$D23,$E23)+ PhiMayInToner4M_Recoh(ROUNDUP(P$14/$F23,0)*$E$6)+ (ROUNDUP(P$14/$F23,0)*$D$11))*(1+$D$7))</f>
        <v>169000</v>
      </c>
      <c r="Q23" s="7">
        <f>LamChanHangNgan((PhiMayCatDecalVuong(Q$14,$D23,$E23)+ PhiMayInToner4M_Recoh(ROUNDUP(Q$14/$F23,0)*$E$6)+ (ROUNDUP(Q$14/$F23,0)*$D$11))*(1+$D$7))</f>
        <v>203000</v>
      </c>
      <c r="R23" s="7">
        <f>LamChanHangNgan((PhiMayCatDecalVuong(R$14,$D23,$E23)+ PhiMayInToner4M_Recoh(ROUNDUP(R$14/$F23,0)*$E$6)+ (ROUNDUP(R$14/$F23,0)*$D$11))*(1+$D$7))</f>
        <v>240000</v>
      </c>
      <c r="S23" s="7">
        <f>LamChanHangNgan((PhiMayCatDecalVuong(S$14,$D23,$E23)+ PhiMayInToner4M_Recoh(ROUNDUP(S$14/$F23,0)*$E$6)+ (ROUNDUP(S$14/$F23,0)*$D$11))*(1+$D$7))</f>
        <v>277000</v>
      </c>
      <c r="T23" s="7">
        <f>LamChanHangNgan((PhiMayCatDecalVuong(T$14,$D23,$E23)+ PhiMayInToner4M_Recoh(ROUNDUP(T$14/$F23,0)*$E$6)+ (ROUNDUP(T$14/$F23,0)*$D$11))*(1+$D$7))</f>
        <v>311000</v>
      </c>
      <c r="U23" s="7">
        <f>LamChanHangNgan((PhiMayCatDecalVuong(U$14,$D23,$E23)+ PhiMayInToner4M_Recoh(ROUNDUP(U$14/$F23,0)*$E$6)+ (ROUNDUP(U$14/$F23,0)*$D$11))*(1+$D$7))</f>
        <v>348000</v>
      </c>
      <c r="V23" s="7">
        <f>LamChanHangNgan((PhiMayCatDecalVuong(V$14,$D23,$E23)+ PhiMayInToner4M_Recoh(ROUNDUP(V$14/$F23,0)*$E$6)+ (ROUNDUP(V$14/$F23,0)*$D$11))*(1+$D$7))</f>
        <v>382000</v>
      </c>
      <c r="W23" s="7">
        <f>LamChanHangNgan((PhiMayCatDecalVuong(W$14,$D23,$E23)+ PhiMayInToner4M_Recoh(ROUNDUP(W$14/$F23,0)*$E$6)+ (ROUNDUP(W$14/$F23,0)*$D$11))*(1+$D$7))</f>
        <v>419000</v>
      </c>
      <c r="X23" s="7">
        <f>LamChanHangNgan((PhiMayCatDecalVuong(X$14,$D23,$E23)+ PhiMayInToner4M_Recoh(ROUNDUP(X$14/$F23,0)*$E$6)+ (ROUNDUP(X$14/$F23,0)*$D$11))*(1+$D$7))</f>
        <v>456000</v>
      </c>
    </row>
    <row r="24" spans="1:24" x14ac:dyDescent="0.4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3">
        <f t="shared" si="2"/>
        <v>99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105000</v>
      </c>
      <c r="I24" s="7">
        <f>LamChanHangNgan((PhiMayCatDecalVuong(I$14,$D24,$E24)+ PhiMayInToner4M_Recoh(ROUNDUP(I$14/$F24,0)*$E$6)+ (ROUNDUP(I$14/$F24,0)*$D$11))*(1+$D$7))</f>
        <v>109000</v>
      </c>
      <c r="J24" s="7">
        <f>LamChanHangNgan((PhiMayCatDecalVuong(J$14,$D24,$E24)+ PhiMayInToner4M_Recoh(ROUNDUP(J$14/$F24,0)*$E$6)+ (ROUNDUP(J$14/$F24,0)*$D$11))*(1+$D$7))</f>
        <v>113000</v>
      </c>
      <c r="K24" s="7">
        <f>LamChanHangNgan((PhiMayCatDecalVuong(K$14,$D24,$E24)+ PhiMayInToner4M_Recoh(ROUNDUP(K$14/$F24,0)*$E$6)+ (ROUNDUP(K$14/$F24,0)*$D$11))*(1+$D$7))</f>
        <v>117000</v>
      </c>
      <c r="L24" s="7">
        <f>LamChanHangNgan((PhiMayCatDecalVuong(L$14,$D24,$E24)+ PhiMayInToner4M_Recoh(ROUNDUP(L$14/$F24,0)*$E$6)+ (ROUNDUP(L$14/$F24,0)*$D$11))*(1+$D$7))</f>
        <v>121000</v>
      </c>
      <c r="M24" s="7">
        <f>LamChanHangNgan((PhiMayCatDecalVuong(M$14,$D24,$E24)+ PhiMayInToner4M_Recoh(ROUNDUP(M$14/$F24,0)*$E$6)+ (ROUNDUP(M$14/$F24,0)*$D$11))*(1+$D$7))</f>
        <v>125000</v>
      </c>
      <c r="N24" s="7">
        <f>LamChanHangNgan((PhiMayCatDecalVuong(N$14,$D24,$E24)+ PhiMayInToner4M_Recoh(ROUNDUP(N$14/$F24,0)*$E$6)+ (ROUNDUP(N$14/$F24,0)*$D$11))*(1+$D$7))</f>
        <v>128000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155000</v>
      </c>
      <c r="R24" s="7">
        <f>LamChanHangNgan((PhiMayCatDecalVuong(R$14,$D24,$E24)+ PhiMayInToner4M_Recoh(ROUNDUP(R$14/$F24,0)*$E$6)+ (ROUNDUP(R$14/$F24,0)*$D$11))*(1+$D$7))</f>
        <v>174000</v>
      </c>
      <c r="S24" s="7">
        <f>LamChanHangNgan((PhiMayCatDecalVuong(S$14,$D24,$E24)+ PhiMayInToner4M_Recoh(ROUNDUP(S$14/$F24,0)*$E$6)+ (ROUNDUP(S$14/$F24,0)*$D$11))*(1+$D$7))</f>
        <v>193000</v>
      </c>
      <c r="T24" s="7">
        <f>LamChanHangNgan((PhiMayCatDecalVuong(T$14,$D24,$E24)+ PhiMayInToner4M_Recoh(ROUNDUP(T$14/$F24,0)*$E$6)+ (ROUNDUP(T$14/$F24,0)*$D$11))*(1+$D$7))</f>
        <v>212000</v>
      </c>
      <c r="U24" s="7">
        <f>LamChanHangNgan((PhiMayCatDecalVuong(U$14,$D24,$E24)+ PhiMayInToner4M_Recoh(ROUNDUP(U$14/$F24,0)*$E$6)+ (ROUNDUP(U$14/$F24,0)*$D$11))*(1+$D$7))</f>
        <v>231000</v>
      </c>
      <c r="V24" s="7">
        <f>LamChanHangNgan((PhiMayCatDecalVuong(V$14,$D24,$E24)+ PhiMayInToner4M_Recoh(ROUNDUP(V$14/$F24,0)*$E$6)+ (ROUNDUP(V$14/$F24,0)*$D$11))*(1+$D$7))</f>
        <v>251000</v>
      </c>
      <c r="W24" s="7">
        <f>LamChanHangNgan((PhiMayCatDecalVuong(W$14,$D24,$E24)+ PhiMayInToner4M_Recoh(ROUNDUP(W$14/$F24,0)*$E$6)+ (ROUNDUP(W$14/$F24,0)*$D$11))*(1+$D$7))</f>
        <v>270000</v>
      </c>
      <c r="X24" s="7">
        <f>LamChanHangNgan((PhiMayCatDecalVuong(X$14,$D24,$E24)+ PhiMayInToner4M_Recoh(ROUNDUP(X$14/$F24,0)*$E$6)+ (ROUNDUP(X$14/$F24,0)*$D$11))*(1+$D$7))</f>
        <v>289000</v>
      </c>
    </row>
    <row r="25" spans="1:24" x14ac:dyDescent="0.4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3">
        <f t="shared" si="2"/>
        <v>72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106000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117000</v>
      </c>
      <c r="K25" s="7">
        <f>LamChanHangNgan((PhiMayCatDecalVuong(K$14,$D25,$E25)+ PhiMayInToner4M_Recoh(ROUNDUP(K$14/$F25,0)*$E$6)+ (ROUNDUP(K$14/$F25,0)*$D$11))*(1+$D$7))</f>
        <v>121000</v>
      </c>
      <c r="L25" s="7">
        <f>LamChanHangNgan((PhiMayCatDecalVuong(L$14,$D25,$E25)+ PhiMayInToner4M_Recoh(ROUNDUP(L$14/$F25,0)*$E$6)+ (ROUNDUP(L$14/$F25,0)*$D$11))*(1+$D$7))</f>
        <v>128000</v>
      </c>
      <c r="M25" s="7">
        <f>LamChanHangNgan((PhiMayCatDecalVuong(M$14,$D25,$E25)+ PhiMayInToner4M_Recoh(ROUNDUP(M$14/$F25,0)*$E$6)+ (ROUNDUP(M$14/$F25,0)*$D$11))*(1+$D$7))</f>
        <v>132000</v>
      </c>
      <c r="N25" s="7">
        <f>LamChanHangNgan((PhiMayCatDecalVuong(N$14,$D25,$E25)+ PhiMayInToner4M_Recoh(ROUNDUP(N$14/$F25,0)*$E$6)+ (ROUNDUP(N$14/$F25,0)*$D$11))*(1+$D$7))</f>
        <v>139000</v>
      </c>
      <c r="O25" s="7">
        <f>LamChanHangNgan((PhiMayCatDecalVuong(O$14,$D25,$E25)+ PhiMayInToner4M_Recoh(ROUNDUP(O$14/$F25,0)*$E$6)+ (ROUNDUP(O$14/$F25,0)*$D$11))*(1+$D$7))</f>
        <v>143000</v>
      </c>
      <c r="P25" s="7">
        <f>LamChanHangNgan((PhiMayCatDecalVuong(P$14,$D25,$E25)+ PhiMayInToner4M_Recoh(ROUNDUP(P$14/$F25,0)*$E$6)+ (ROUNDUP(P$14/$F25,0)*$D$11))*(1+$D$7))</f>
        <v>147000</v>
      </c>
      <c r="Q25" s="7">
        <f>LamChanHangNgan((PhiMayCatDecalVuong(Q$14,$D25,$E25)+ PhiMayInToner4M_Recoh(ROUNDUP(Q$14/$F25,0)*$E$6)+ (ROUNDUP(Q$14/$F25,0)*$D$11))*(1+$D$7))</f>
        <v>173000</v>
      </c>
      <c r="R25" s="7">
        <f>LamChanHangNgan((PhiMayCatDecalVuong(R$14,$D25,$E25)+ PhiMayInToner4M_Recoh(ROUNDUP(R$14/$F25,0)*$E$6)+ (ROUNDUP(R$14/$F25,0)*$D$11))*(1+$D$7))</f>
        <v>200000</v>
      </c>
      <c r="S25" s="7">
        <f>LamChanHangNgan((PhiMayCatDecalVuong(S$14,$D25,$E25)+ PhiMayInToner4M_Recoh(ROUNDUP(S$14/$F25,0)*$E$6)+ (ROUNDUP(S$14/$F25,0)*$D$11))*(1+$D$7))</f>
        <v>226000</v>
      </c>
      <c r="T25" s="7">
        <f>LamChanHangNgan((PhiMayCatDecalVuong(T$14,$D25,$E25)+ PhiMayInToner4M_Recoh(ROUNDUP(T$14/$F25,0)*$E$6)+ (ROUNDUP(T$14/$F25,0)*$D$11))*(1+$D$7))</f>
        <v>252000</v>
      </c>
      <c r="U25" s="7">
        <f>LamChanHangNgan((PhiMayCatDecalVuong(U$14,$D25,$E25)+ PhiMayInToner4M_Recoh(ROUNDUP(U$14/$F25,0)*$E$6)+ (ROUNDUP(U$14/$F25,0)*$D$11))*(1+$D$7))</f>
        <v>278000</v>
      </c>
      <c r="V25" s="7">
        <f>LamChanHangNgan((PhiMayCatDecalVuong(V$14,$D25,$E25)+ PhiMayInToner4M_Recoh(ROUNDUP(V$14/$F25,0)*$E$6)+ (ROUNDUP(V$14/$F25,0)*$D$11))*(1+$D$7))</f>
        <v>305000</v>
      </c>
      <c r="W25" s="7">
        <f>LamChanHangNgan((PhiMayCatDecalVuong(W$14,$D25,$E25)+ PhiMayInToner4M_Recoh(ROUNDUP(W$14/$F25,0)*$E$6)+ (ROUNDUP(W$14/$F25,0)*$D$11))*(1+$D$7))</f>
        <v>331000</v>
      </c>
      <c r="X25" s="7">
        <f>LamChanHangNgan((PhiMayCatDecalVuong(X$14,$D25,$E25)+ PhiMayInToner4M_Recoh(ROUNDUP(X$14/$F25,0)*$E$6)+ (ROUNDUP(X$14/$F25,0)*$D$11))*(1+$D$7))</f>
        <v>357000</v>
      </c>
    </row>
    <row r="26" spans="1:24" x14ac:dyDescent="0.4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2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</row>
    <row r="27" spans="1:24" x14ac:dyDescent="0.4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2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</row>
    <row r="28" spans="1:24" x14ac:dyDescent="0.4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2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</row>
    <row r="29" spans="1:24" x14ac:dyDescent="0.4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2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</row>
    <row r="30" spans="1:24" x14ac:dyDescent="0.4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2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</row>
    <row r="31" spans="1:24" x14ac:dyDescent="0.4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2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</row>
    <row r="32" spans="1:24" x14ac:dyDescent="0.4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3">
        <f t="shared" si="2"/>
        <v>56</v>
      </c>
      <c r="G32" s="7">
        <f>LamChanHangNgan((PhiMayCatDecalVuong(G$14,$D32,$E32)+ PhiMayInToner4M_Recoh(ROUNDUP(G$14/$F32,0)*$E$6)+ (ROUNDUP(G$14/$F32,0)*$D$11))*(1+$D$7))</f>
        <v>102000</v>
      </c>
      <c r="H32" s="7">
        <f>LamChanHangNgan((PhiMayCatDecalVuong(H$14,$D32,$E32)+ PhiMayInToner4M_Recoh(ROUNDUP(H$14/$F32,0)*$E$6)+ (ROUNDUP(H$14/$F32,0)*$D$11))*(1+$D$7))</f>
        <v>109000</v>
      </c>
      <c r="I32" s="7">
        <f>LamChanHangNgan((PhiMayCatDecalVuong(I$14,$D32,$E32)+ PhiMayInToner4M_Recoh(ROUNDUP(I$14/$F32,0)*$E$6)+ (ROUNDUP(I$14/$F32,0)*$D$11))*(1+$D$7))</f>
        <v>116000</v>
      </c>
      <c r="J32" s="7">
        <f>LamChanHangNgan((PhiMayCatDecalVuong(J$14,$D32,$E32)+ PhiMayInToner4M_Recoh(ROUNDUP(J$14/$F32,0)*$E$6)+ (ROUNDUP(J$14/$F32,0)*$D$11))*(1+$D$7))</f>
        <v>124000</v>
      </c>
      <c r="K32" s="7">
        <f>LamChanHangNgan((PhiMayCatDecalVuong(K$14,$D32,$E32)+ PhiMayInToner4M_Recoh(ROUNDUP(K$14/$F32,0)*$E$6)+ (ROUNDUP(K$14/$F32,0)*$D$11))*(1+$D$7))</f>
        <v>128000</v>
      </c>
      <c r="L32" s="7">
        <f>LamChanHangNgan((PhiMayCatDecalVuong(L$14,$D32,$E32)+ PhiMayInToner4M_Recoh(ROUNDUP(L$14/$F32,0)*$E$6)+ (ROUNDUP(L$14/$F32,0)*$D$11))*(1+$D$7))</f>
        <v>135000</v>
      </c>
      <c r="M32" s="7">
        <f>LamChanHangNgan((PhiMayCatDecalVuong(M$14,$D32,$E32)+ PhiMayInToner4M_Recoh(ROUNDUP(M$14/$F32,0)*$E$6)+ (ROUNDUP(M$14/$F32,0)*$D$11))*(1+$D$7))</f>
        <v>143000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157000</v>
      </c>
      <c r="P32" s="7">
        <f>LamChanHangNgan((PhiMayCatDecalVuong(P$14,$D32,$E32)+ PhiMayInToner4M_Recoh(ROUNDUP(P$14/$F32,0)*$E$6)+ (ROUNDUP(P$14/$F32,0)*$D$11))*(1+$D$7))</f>
        <v>161000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228000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295000</v>
      </c>
      <c r="U32" s="7">
        <f>LamChanHangNgan((PhiMayCatDecalVuong(U$14,$D32,$E32)+ PhiMayInToner4M_Recoh(ROUNDUP(U$14/$F32,0)*$E$6)+ (ROUNDUP(U$14/$F32,0)*$D$11))*(1+$D$7))</f>
        <v>329000</v>
      </c>
      <c r="V32" s="7">
        <f>LamChanHangNgan((PhiMayCatDecalVuong(V$14,$D32,$E32)+ PhiMayInToner4M_Recoh(ROUNDUP(V$14/$F32,0)*$E$6)+ (ROUNDUP(V$14/$F32,0)*$D$11))*(1+$D$7))</f>
        <v>362000</v>
      </c>
      <c r="W32" s="7">
        <f>LamChanHangNgan((PhiMayCatDecalVuong(W$14,$D32,$E32)+ PhiMayInToner4M_Recoh(ROUNDUP(W$14/$F32,0)*$E$6)+ (ROUNDUP(W$14/$F32,0)*$D$11))*(1+$D$7))</f>
        <v>396000</v>
      </c>
      <c r="X32" s="7">
        <f>LamChanHangNgan((PhiMayCatDecalVuong(X$14,$D32,$E32)+ PhiMayInToner4M_Recoh(ROUNDUP(X$14/$F32,0)*$E$6)+ (ROUNDUP(X$14/$F32,0)*$D$11))*(1+$D$7))</f>
        <v>430000</v>
      </c>
    </row>
    <row r="33" spans="1:24" x14ac:dyDescent="0.4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3">
        <f t="shared" si="2"/>
        <v>42</v>
      </c>
      <c r="G33" s="7">
        <f>LamChanHangNgan((PhiMayCatDecalVuong(G$14,$D33,$E33)+ PhiMayInToner4M_Recoh(ROUNDUP(G$14/$F33,0)*$E$6)+ (ROUNDUP(G$14/$F33,0)*$D$11))*(1+$D$7))</f>
        <v>105000</v>
      </c>
      <c r="H33" s="7">
        <f>LamChanHangNgan((PhiMayCatDecalVuong(H$14,$D33,$E33)+ PhiMayInToner4M_Recoh(ROUNDUP(H$14/$F33,0)*$E$6)+ (ROUNDUP(H$14/$F33,0)*$D$11))*(1+$D$7))</f>
        <v>113000</v>
      </c>
      <c r="I33" s="7">
        <f>LamChanHangNgan((PhiMayCatDecalVuong(I$14,$D33,$E33)+ PhiMayInToner4M_Recoh(ROUNDUP(I$14/$F33,0)*$E$6)+ (ROUNDUP(I$14/$F33,0)*$D$11))*(1+$D$7))</f>
        <v>124000</v>
      </c>
      <c r="J33" s="7">
        <f>LamChanHangNgan((PhiMayCatDecalVuong(J$14,$D33,$E33)+ PhiMayInToner4M_Recoh(ROUNDUP(J$14/$F33,0)*$E$6)+ (ROUNDUP(J$14/$F33,0)*$D$11))*(1+$D$7))</f>
        <v>131000</v>
      </c>
      <c r="K33" s="7">
        <f>LamChanHangNgan((PhiMayCatDecalVuong(K$14,$D33,$E33)+ PhiMayInToner4M_Recoh(ROUNDUP(K$14/$F33,0)*$E$6)+ (ROUNDUP(K$14/$F33,0)*$D$11))*(1+$D$7))</f>
        <v>139000</v>
      </c>
      <c r="L33" s="7">
        <f>LamChanHangNgan((PhiMayCatDecalVuong(L$14,$D33,$E33)+ PhiMayInToner4M_Recoh(ROUNDUP(L$14/$F33,0)*$E$6)+ (ROUNDUP(L$14/$F33,0)*$D$11))*(1+$D$7))</f>
        <v>149000</v>
      </c>
      <c r="M33" s="7">
        <f>LamChanHangNgan((PhiMayCatDecalVuong(M$14,$D33,$E33)+ PhiMayInToner4M_Recoh(ROUNDUP(M$14/$F33,0)*$E$6)+ (ROUNDUP(M$14/$F33,0)*$D$11))*(1+$D$7))</f>
        <v>157000</v>
      </c>
      <c r="N33" s="7">
        <f>LamChanHangNgan((PhiMayCatDecalVuong(N$14,$D33,$E33)+ PhiMayInToner4M_Recoh(ROUNDUP(N$14/$F33,0)*$E$6)+ (ROUNDUP(N$14/$F33,0)*$D$11))*(1+$D$7))</f>
        <v>168000</v>
      </c>
      <c r="O33" s="7">
        <f>LamChanHangNgan((PhiMayCatDecalVuong(O$14,$D33,$E33)+ PhiMayInToner4M_Recoh(ROUNDUP(O$14/$F33,0)*$E$6)+ (ROUNDUP(O$14/$F33,0)*$D$11))*(1+$D$7))</f>
        <v>175000</v>
      </c>
      <c r="P33" s="7">
        <f>LamChanHangNgan((PhiMayCatDecalVuong(P$14,$D33,$E33)+ PhiMayInToner4M_Recoh(ROUNDUP(P$14/$F33,0)*$E$6)+ (ROUNDUP(P$14/$F33,0)*$D$11))*(1+$D$7))</f>
        <v>183000</v>
      </c>
      <c r="Q33" s="7">
        <f>LamChanHangNgan((PhiMayCatDecalVuong(Q$14,$D33,$E33)+ PhiMayInToner4M_Recoh(ROUNDUP(Q$14/$F33,0)*$E$6)+ (ROUNDUP(Q$14/$F33,0)*$D$11))*(1+$D$7))</f>
        <v>227000</v>
      </c>
      <c r="R33" s="7">
        <f>LamChanHangNgan((PhiMayCatDecalVuong(R$14,$D33,$E33)+ PhiMayInToner4M_Recoh(ROUNDUP(R$14/$F33,0)*$E$6)+ (ROUNDUP(R$14/$F33,0)*$D$11))*(1+$D$7))</f>
        <v>271000</v>
      </c>
      <c r="S33" s="7">
        <f>LamChanHangNgan((PhiMayCatDecalVuong(S$14,$D33,$E33)+ PhiMayInToner4M_Recoh(ROUNDUP(S$14/$F33,0)*$E$6)+ (ROUNDUP(S$14/$F33,0)*$D$11))*(1+$D$7))</f>
        <v>315000</v>
      </c>
      <c r="T33" s="7">
        <f>LamChanHangNgan((PhiMayCatDecalVuong(T$14,$D33,$E33)+ PhiMayInToner4M_Recoh(ROUNDUP(T$14/$F33,0)*$E$6)+ (ROUNDUP(T$14/$F33,0)*$D$11))*(1+$D$7))</f>
        <v>360000</v>
      </c>
      <c r="U33" s="7">
        <f>LamChanHangNgan((PhiMayCatDecalVuong(U$14,$D33,$E33)+ PhiMayInToner4M_Recoh(ROUNDUP(U$14/$F33,0)*$E$6)+ (ROUNDUP(U$14/$F33,0)*$D$11))*(1+$D$7))</f>
        <v>404000</v>
      </c>
      <c r="V33" s="7">
        <f>LamChanHangNgan((PhiMayCatDecalVuong(V$14,$D33,$E33)+ PhiMayInToner4M_Recoh(ROUNDUP(V$14/$F33,0)*$E$6)+ (ROUNDUP(V$14/$F33,0)*$D$11))*(1+$D$7))</f>
        <v>448000</v>
      </c>
      <c r="W33" s="7">
        <f>LamChanHangNgan((PhiMayCatDecalVuong(W$14,$D33,$E33)+ PhiMayInToner4M_Recoh(ROUNDUP(W$14/$F33,0)*$E$6)+ (ROUNDUP(W$14/$F33,0)*$D$11))*(1+$D$7))</f>
        <v>492000</v>
      </c>
      <c r="X33" s="7">
        <f>LamChanHangNgan((PhiMayCatDecalVuong(X$14,$D33,$E33)+ PhiMayInToner4M_Recoh(ROUNDUP(X$14/$F33,0)*$E$6)+ (ROUNDUP(X$14/$F33,0)*$D$11))*(1+$D$7))</f>
        <v>537000</v>
      </c>
    </row>
    <row r="34" spans="1:24" x14ac:dyDescent="0.4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2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</row>
    <row r="35" spans="1:24" x14ac:dyDescent="0.4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2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</row>
    <row r="36" spans="1:24" x14ac:dyDescent="0.4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2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</row>
    <row r="37" spans="1:24" x14ac:dyDescent="0.45">
      <c r="B37">
        <v>23</v>
      </c>
      <c r="C37" t="str">
        <f t="shared" si="3"/>
        <v>5 x 7 cm</v>
      </c>
      <c r="D37">
        <v>5</v>
      </c>
      <c r="E37">
        <v>7</v>
      </c>
      <c r="F37" s="43">
        <f t="shared" si="2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</row>
    <row r="38" spans="1:24" x14ac:dyDescent="0.4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3">
        <f t="shared" si="2"/>
        <v>35</v>
      </c>
      <c r="G38" s="7">
        <f>LamChanHangNgan((PhiMayCatDecalVuong(G$14,$D38,$E38)+ PhiMayInToner4M_Recoh(ROUNDUP(G$14/$F38,0)*$E$6)+ (ROUNDUP(G$14/$F38,0)*$D$11))*(1+$D$7))</f>
        <v>105000</v>
      </c>
      <c r="H38" s="7">
        <f>LamChanHangNgan((PhiMayCatDecalVuong(H$14,$D38,$E38)+ PhiMayInToner4M_Recoh(ROUNDUP(H$14/$F38,0)*$E$6)+ (ROUNDUP(H$14/$F38,0)*$D$11))*(1+$D$7))</f>
        <v>116000</v>
      </c>
      <c r="I38" s="7">
        <f>LamChanHangNgan((PhiMayCatDecalVuong(I$14,$D38,$E38)+ PhiMayInToner4M_Recoh(ROUNDUP(I$14/$F38,0)*$E$6)+ (ROUNDUP(I$14/$F38,0)*$D$11))*(1+$D$7))</f>
        <v>127000</v>
      </c>
      <c r="J38" s="7">
        <f>LamChanHangNgan((PhiMayCatDecalVuong(J$14,$D38,$E38)+ PhiMayInToner4M_Recoh(ROUNDUP(J$14/$F38,0)*$E$6)+ (ROUNDUP(J$14/$F38,0)*$D$11))*(1+$D$7))</f>
        <v>138000</v>
      </c>
      <c r="K38" s="7">
        <f>LamChanHangNgan((PhiMayCatDecalVuong(K$14,$D38,$E38)+ PhiMayInToner4M_Recoh(ROUNDUP(K$14/$F38,0)*$E$6)+ (ROUNDUP(K$14/$F38,0)*$D$11))*(1+$D$7))</f>
        <v>149000</v>
      </c>
      <c r="L38" s="7">
        <f>LamChanHangNgan((PhiMayCatDecalVuong(L$14,$D38,$E38)+ PhiMayInToner4M_Recoh(ROUNDUP(L$14/$F38,0)*$E$6)+ (ROUNDUP(L$14/$F38,0)*$D$11))*(1+$D$7))</f>
        <v>160000</v>
      </c>
      <c r="M38" s="7">
        <f>LamChanHangNgan((PhiMayCatDecalVuong(M$14,$D38,$E38)+ PhiMayInToner4M_Recoh(ROUNDUP(M$14/$F38,0)*$E$6)+ (ROUNDUP(M$14/$F38,0)*$D$11))*(1+$D$7))</f>
        <v>168000</v>
      </c>
      <c r="N38" s="7">
        <f>LamChanHangNgan((PhiMayCatDecalVuong(N$14,$D38,$E38)+ PhiMayInToner4M_Recoh(ROUNDUP(N$14/$F38,0)*$E$6)+ (ROUNDUP(N$14/$F38,0)*$D$11))*(1+$D$7))</f>
        <v>179000</v>
      </c>
      <c r="O38" s="7">
        <f>LamChanHangNgan((PhiMayCatDecalVuong(O$14,$D38,$E38)+ PhiMayInToner4M_Recoh(ROUNDUP(O$14/$F38,0)*$E$6)+ (ROUNDUP(O$14/$F38,0)*$D$11))*(1+$D$7))</f>
        <v>190000</v>
      </c>
      <c r="P38" s="7">
        <f>LamChanHangNgan((PhiMayCatDecalVuong(P$14,$D38,$E38)+ PhiMayInToner4M_Recoh(ROUNDUP(P$14/$F38,0)*$E$6)+ (ROUNDUP(P$14/$F38,0)*$D$11))*(1+$D$7))</f>
        <v>201000</v>
      </c>
      <c r="Q38" s="7">
        <f>LamChanHangNgan((PhiMayCatDecalVuong(Q$14,$D38,$E38)+ PhiMayInToner4M_Recoh(ROUNDUP(Q$14/$F38,0)*$E$6)+ (ROUNDUP(Q$14/$F38,0)*$D$11))*(1+$D$7))</f>
        <v>252000</v>
      </c>
      <c r="R38" s="7">
        <f>LamChanHangNgan((PhiMayCatDecalVuong(R$14,$D38,$E38)+ PhiMayInToner4M_Recoh(ROUNDUP(R$14/$F38,0)*$E$6)+ (ROUNDUP(R$14/$F38,0)*$D$11))*(1+$D$7))</f>
        <v>307000</v>
      </c>
      <c r="S38" s="7">
        <f>LamChanHangNgan((PhiMayCatDecalVuong(S$14,$D38,$E38)+ PhiMayInToner4M_Recoh(ROUNDUP(S$14/$F38,0)*$E$6)+ (ROUNDUP(S$14/$F38,0)*$D$11))*(1+$D$7))</f>
        <v>358000</v>
      </c>
      <c r="T38" s="7">
        <f>LamChanHangNgan((PhiMayCatDecalVuong(T$14,$D38,$E38)+ PhiMayInToner4M_Recoh(ROUNDUP(T$14/$F38,0)*$E$6)+ (ROUNDUP(T$14/$F38,0)*$D$11))*(1+$D$7))</f>
        <v>410000</v>
      </c>
      <c r="U38" s="7">
        <f>LamChanHangNgan((PhiMayCatDecalVuong(U$14,$D38,$E38)+ PhiMayInToner4M_Recoh(ROUNDUP(U$14/$F38,0)*$E$6)+ (ROUNDUP(U$14/$F38,0)*$D$11))*(1+$D$7))</f>
        <v>461000</v>
      </c>
      <c r="V38" s="7">
        <f>LamChanHangNgan((PhiMayCatDecalVuong(V$14,$D38,$E38)+ PhiMayInToner4M_Recoh(ROUNDUP(V$14/$F38,0)*$E$6)+ (ROUNDUP(V$14/$F38,0)*$D$11))*(1+$D$7))</f>
        <v>516000</v>
      </c>
      <c r="W38" s="7">
        <f>LamChanHangNgan((PhiMayCatDecalVuong(W$14,$D38,$E38)+ PhiMayInToner4M_Recoh(ROUNDUP(W$14/$F38,0)*$E$6)+ (ROUNDUP(W$14/$F38,0)*$D$11))*(1+$D$7))</f>
        <v>568000</v>
      </c>
      <c r="X38" s="7">
        <f>LamChanHangNgan((PhiMayCatDecalVuong(X$14,$D38,$E38)+ PhiMayInToner4M_Recoh(ROUNDUP(X$14/$F38,0)*$E$6)+ (ROUNDUP(X$14/$F38,0)*$D$11))*(1+$D$7))</f>
        <v>619000</v>
      </c>
    </row>
    <row r="39" spans="1:24" x14ac:dyDescent="0.45">
      <c r="B39">
        <v>25</v>
      </c>
      <c r="C39" t="str">
        <f t="shared" si="3"/>
        <v>6 x 6 cm</v>
      </c>
      <c r="D39">
        <v>6</v>
      </c>
      <c r="E39">
        <v>6</v>
      </c>
      <c r="F39" s="43">
        <f t="shared" si="2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156000</v>
      </c>
      <c r="L39" s="7">
        <f>LamChanHangNgan((PhiMayCatDecalVuong(L$14,$D39,$E39)+ PhiMayInToner4M_Recoh(ROUNDUP(L$14/$F39,0)*$E$6)+ (ROUNDUP(L$14/$F39,0)*$D$11))*(1+$D$7))</f>
        <v>167000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277000</v>
      </c>
      <c r="R39" s="7">
        <f>LamChanHangNgan((PhiMayCatDecalVuong(R$14,$D39,$E39)+ PhiMayInToner4M_Recoh(ROUNDUP(R$14/$F39,0)*$E$6)+ (ROUNDUP(R$14/$F39,0)*$D$11))*(1+$D$7))</f>
        <v>339000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460000</v>
      </c>
      <c r="U39" s="7">
        <f>LamChanHangNgan((PhiMayCatDecalVuong(U$14,$D39,$E39)+ PhiMayInToner4M_Recoh(ROUNDUP(U$14/$F39,0)*$E$6)+ (ROUNDUP(U$14/$F39,0)*$D$11))*(1+$D$7))</f>
        <v>522000</v>
      </c>
      <c r="V39" s="7">
        <f>LamChanHangNgan((PhiMayCatDecalVuong(V$14,$D39,$E39)+ PhiMayInToner4M_Recoh(ROUNDUP(V$14/$F39,0)*$E$6)+ (ROUNDUP(V$14/$F39,0)*$D$11))*(1+$D$7))</f>
        <v>584000</v>
      </c>
      <c r="W39" s="7">
        <f>LamChanHangNgan((PhiMayCatDecalVuong(W$14,$D39,$E39)+ PhiMayInToner4M_Recoh(ROUNDUP(W$14/$F39,0)*$E$6)+ (ROUNDUP(W$14/$F39,0)*$D$11))*(1+$D$7))</f>
        <v>643000</v>
      </c>
      <c r="X39" s="7">
        <f>LamChanHangNgan((PhiMayCatDecalVuong(X$14,$D39,$E39)+ PhiMayInToner4M_Recoh(ROUNDUP(X$14/$F39,0)*$E$6)+ (ROUNDUP(X$14/$F39,0)*$D$11))*(1+$D$7))</f>
        <v>705000</v>
      </c>
    </row>
    <row r="40" spans="1:24" x14ac:dyDescent="0.45">
      <c r="B40">
        <v>26</v>
      </c>
      <c r="C40" t="str">
        <f t="shared" si="3"/>
        <v>6 x 6.5 cm</v>
      </c>
      <c r="D40">
        <v>6</v>
      </c>
      <c r="E40">
        <v>6.5</v>
      </c>
      <c r="F40" s="43">
        <f t="shared" si="2"/>
        <v>30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120000</v>
      </c>
      <c r="I40" s="7">
        <f>LamChanHangNgan((PhiMayCatDecalVuong(I$14,$D40,$E40)+ PhiMayInToner4M_Recoh(ROUNDUP(I$14/$F40,0)*$E$6)+ (ROUNDUP(I$14/$F40,0)*$D$11))*(1+$D$7))</f>
        <v>131000</v>
      </c>
      <c r="J40" s="7">
        <f>LamChanHangNgan((PhiMayCatDecalVuong(J$14,$D40,$E40)+ PhiMayInToner4M_Recoh(ROUNDUP(J$14/$F40,0)*$E$6)+ (ROUNDUP(J$14/$F40,0)*$D$11))*(1+$D$7))</f>
        <v>145000</v>
      </c>
      <c r="K40" s="7">
        <f>LamChanHangNgan((PhiMayCatDecalVuong(K$14,$D40,$E40)+ PhiMayInToner4M_Recoh(ROUNDUP(K$14/$F40,0)*$E$6)+ (ROUNDUP(K$14/$F40,0)*$D$11))*(1+$D$7))</f>
        <v>157000</v>
      </c>
      <c r="L40" s="7">
        <f>LamChanHangNgan((PhiMayCatDecalVuong(L$14,$D40,$E40)+ PhiMayInToner4M_Recoh(ROUNDUP(L$14/$F40,0)*$E$6)+ (ROUNDUP(L$14/$F40,0)*$D$11))*(1+$D$7))</f>
        <v>168000</v>
      </c>
      <c r="M40" s="7">
        <f>LamChanHangNgan((PhiMayCatDecalVuong(M$14,$D40,$E40)+ PhiMayInToner4M_Recoh(ROUNDUP(M$14/$F40,0)*$E$6)+ (ROUNDUP(M$14/$F40,0)*$D$11))*(1+$D$7))</f>
        <v>182000</v>
      </c>
      <c r="N40" s="7">
        <f>LamChanHangNgan((PhiMayCatDecalVuong(N$14,$D40,$E40)+ PhiMayInToner4M_Recoh(ROUNDUP(N$14/$F40,0)*$E$6)+ (ROUNDUP(N$14/$F40,0)*$D$11))*(1+$D$7))</f>
        <v>193000</v>
      </c>
      <c r="O40" s="7">
        <f>LamChanHangNgan((PhiMayCatDecalVuong(O$14,$D40,$E40)+ PhiMayInToner4M_Recoh(ROUNDUP(O$14/$F40,0)*$E$6)+ (ROUNDUP(O$14/$F40,0)*$D$11))*(1+$D$7))</f>
        <v>204000</v>
      </c>
      <c r="P40" s="7">
        <f>LamChanHangNgan((PhiMayCatDecalVuong(P$14,$D40,$E40)+ PhiMayInToner4M_Recoh(ROUNDUP(P$14/$F40,0)*$E$6)+ (ROUNDUP(P$14/$F40,0)*$D$11))*(1+$D$7))</f>
        <v>219000</v>
      </c>
      <c r="Q40" s="7">
        <f>LamChanHangNgan((PhiMayCatDecalVuong(Q$14,$D40,$E40)+ PhiMayInToner4M_Recoh(ROUNDUP(Q$14/$F40,0)*$E$6)+ (ROUNDUP(Q$14/$F40,0)*$D$11))*(1+$D$7))</f>
        <v>278000</v>
      </c>
      <c r="R40" s="7">
        <f>LamChanHangNgan((PhiMayCatDecalVuong(R$14,$D40,$E40)+ PhiMayInToner4M_Recoh(ROUNDUP(R$14/$F40,0)*$E$6)+ (ROUNDUP(R$14/$F40,0)*$D$11))*(1+$D$7))</f>
        <v>340000</v>
      </c>
      <c r="S40" s="7">
        <f>LamChanHangNgan((PhiMayCatDecalVuong(S$14,$D40,$E40)+ PhiMayInToner4M_Recoh(ROUNDUP(S$14/$F40,0)*$E$6)+ (ROUNDUP(S$14/$F40,0)*$D$11))*(1+$D$7))</f>
        <v>402000</v>
      </c>
      <c r="T40" s="7">
        <f>LamChanHangNgan((PhiMayCatDecalVuong(T$14,$D40,$E40)+ PhiMayInToner4M_Recoh(ROUNDUP(T$14/$F40,0)*$E$6)+ (ROUNDUP(T$14/$F40,0)*$D$11))*(1+$D$7))</f>
        <v>461000</v>
      </c>
      <c r="U40" s="7">
        <f>LamChanHangNgan((PhiMayCatDecalVuong(U$14,$D40,$E40)+ PhiMayInToner4M_Recoh(ROUNDUP(U$14/$F40,0)*$E$6)+ (ROUNDUP(U$14/$F40,0)*$D$11))*(1+$D$7))</f>
        <v>523000</v>
      </c>
      <c r="V40" s="7">
        <f>LamChanHangNgan((PhiMayCatDecalVuong(V$14,$D40,$E40)+ PhiMayInToner4M_Recoh(ROUNDUP(V$14/$F40,0)*$E$6)+ (ROUNDUP(V$14/$F40,0)*$D$11))*(1+$D$7))</f>
        <v>585000</v>
      </c>
      <c r="W40" s="7">
        <f>LamChanHangNgan((PhiMayCatDecalVuong(W$14,$D40,$E40)+ PhiMayInToner4M_Recoh(ROUNDUP(W$14/$F40,0)*$E$6)+ (ROUNDUP(W$14/$F40,0)*$D$11))*(1+$D$7))</f>
        <v>644000</v>
      </c>
      <c r="X40" s="7">
        <f>LamChanHangNgan((PhiMayCatDecalVuong(X$14,$D40,$E40)+ PhiMayInToner4M_Recoh(ROUNDUP(X$14/$F40,0)*$E$6)+ (ROUNDUP(X$14/$F40,0)*$D$11))*(1+$D$7))</f>
        <v>706000</v>
      </c>
    </row>
    <row r="41" spans="1:24" x14ac:dyDescent="0.45">
      <c r="B41">
        <v>27</v>
      </c>
      <c r="C41" t="str">
        <f t="shared" si="3"/>
        <v>6 x 7 cm</v>
      </c>
      <c r="D41">
        <v>6</v>
      </c>
      <c r="E41">
        <v>7</v>
      </c>
      <c r="F41" s="43">
        <f t="shared" si="2"/>
        <v>25</v>
      </c>
      <c r="G41" s="7">
        <f>LamChanHangNgan((PhiMayCatDecalVuong(G$14,$D41,$E41)+ PhiMayInToner4M_Recoh(ROUNDUP(G$14/$F41,0)*$E$6)+ (ROUNDUP(G$14/$F41,0)*$D$11))*(1+$D$7))</f>
        <v>109000</v>
      </c>
      <c r="H41" s="7">
        <f>LamChanHangNgan((PhiMayCatDecalVuong(H$14,$D41,$E41)+ PhiMayInToner4M_Recoh(ROUNDUP(H$14/$F41,0)*$E$6)+ (ROUNDUP(H$14/$F41,0)*$D$11))*(1+$D$7))</f>
        <v>123000</v>
      </c>
      <c r="I41" s="7">
        <f>LamChanHangNgan((PhiMayCatDecalVuong(I$14,$D41,$E41)+ PhiMayInToner4M_Recoh(ROUNDUP(I$14/$F41,0)*$E$6)+ (ROUNDUP(I$14/$F41,0)*$D$11))*(1+$D$7))</f>
        <v>138000</v>
      </c>
      <c r="J41" s="7">
        <f>LamChanHangNgan((PhiMayCatDecalVuong(J$14,$D41,$E41)+ PhiMayInToner4M_Recoh(ROUNDUP(J$14/$F41,0)*$E$6)+ (ROUNDUP(J$14/$F41,0)*$D$11))*(1+$D$7))</f>
        <v>153000</v>
      </c>
      <c r="K41" s="7">
        <f>LamChanHangNgan((PhiMayCatDecalVuong(K$14,$D41,$E41)+ PhiMayInToner4M_Recoh(ROUNDUP(K$14/$F41,0)*$E$6)+ (ROUNDUP(K$14/$F41,0)*$D$11))*(1+$D$7))</f>
        <v>167000</v>
      </c>
      <c r="L41" s="7">
        <f>LamChanHangNgan((PhiMayCatDecalVuong(L$14,$D41,$E41)+ PhiMayInToner4M_Recoh(ROUNDUP(L$14/$F41,0)*$E$6)+ (ROUNDUP(L$14/$F41,0)*$D$11))*(1+$D$7))</f>
        <v>182000</v>
      </c>
      <c r="M41" s="7">
        <f>LamChanHangNgan((PhiMayCatDecalVuong(M$14,$D41,$E41)+ PhiMayInToner4M_Recoh(ROUNDUP(M$14/$F41,0)*$E$6)+ (ROUNDUP(M$14/$F41,0)*$D$11))*(1+$D$7))</f>
        <v>196000</v>
      </c>
      <c r="N41" s="7">
        <f>LamChanHangNgan((PhiMayCatDecalVuong(N$14,$D41,$E41)+ PhiMayInToner4M_Recoh(ROUNDUP(N$14/$F41,0)*$E$6)+ (ROUNDUP(N$14/$F41,0)*$D$11))*(1+$D$7))</f>
        <v>211000</v>
      </c>
      <c r="O41" s="7">
        <f>LamChanHangNgan((PhiMayCatDecalVuong(O$14,$D41,$E41)+ PhiMayInToner4M_Recoh(ROUNDUP(O$14/$F41,0)*$E$6)+ (ROUNDUP(O$14/$F41,0)*$D$11))*(1+$D$7))</f>
        <v>225000</v>
      </c>
      <c r="P41" s="7">
        <f>LamChanHangNgan((PhiMayCatDecalVuong(P$14,$D41,$E41)+ PhiMayInToner4M_Recoh(ROUNDUP(P$14/$F41,0)*$E$6)+ (ROUNDUP(P$14/$F41,0)*$D$11))*(1+$D$7))</f>
        <v>240000</v>
      </c>
      <c r="Q41" s="7">
        <f>LamChanHangNgan((PhiMayCatDecalVuong(Q$14,$D41,$E41)+ PhiMayInToner4M_Recoh(ROUNDUP(Q$14/$F41,0)*$E$6)+ (ROUNDUP(Q$14/$F41,0)*$D$11))*(1+$D$7))</f>
        <v>313000</v>
      </c>
      <c r="R41" s="7">
        <f>LamChanHangNgan((PhiMayCatDecalVuong(R$14,$D41,$E41)+ PhiMayInToner4M_Recoh(ROUNDUP(R$14/$F41,0)*$E$6)+ (ROUNDUP(R$14/$F41,0)*$D$11))*(1+$D$7))</f>
        <v>386000</v>
      </c>
      <c r="S41" s="7">
        <f>LamChanHangNgan((PhiMayCatDecalVuong(S$14,$D41,$E41)+ PhiMayInToner4M_Recoh(ROUNDUP(S$14/$F41,0)*$E$6)+ (ROUNDUP(S$14/$F41,0)*$D$11))*(1+$D$7))</f>
        <v>459000</v>
      </c>
      <c r="T41" s="7">
        <f>LamChanHangNgan((PhiMayCatDecalVuong(T$14,$D41,$E41)+ PhiMayInToner4M_Recoh(ROUNDUP(T$14/$F41,0)*$E$6)+ (ROUNDUP(T$14/$F41,0)*$D$11))*(1+$D$7))</f>
        <v>531000</v>
      </c>
      <c r="U41" s="7">
        <f>LamChanHangNgan((PhiMayCatDecalVuong(U$14,$D41,$E41)+ PhiMayInToner4M_Recoh(ROUNDUP(U$14/$F41,0)*$E$6)+ (ROUNDUP(U$14/$F41,0)*$D$11))*(1+$D$7))</f>
        <v>604000</v>
      </c>
      <c r="V41" s="7">
        <f>LamChanHangNgan((PhiMayCatDecalVuong(V$14,$D41,$E41)+ PhiMayInToner4M_Recoh(ROUNDUP(V$14/$F41,0)*$E$6)+ (ROUNDUP(V$14/$F41,0)*$D$11))*(1+$D$7))</f>
        <v>677000</v>
      </c>
      <c r="W41" s="7">
        <f>LamChanHangNgan((PhiMayCatDecalVuong(W$14,$D41,$E41)+ PhiMayInToner4M_Recoh(ROUNDUP(W$14/$F41,0)*$E$6)+ (ROUNDUP(W$14/$F41,0)*$D$11))*(1+$D$7))</f>
        <v>750000</v>
      </c>
      <c r="X41" s="7">
        <f>LamChanHangNgan((PhiMayCatDecalVuong(X$14,$D41,$E41)+ PhiMayInToner4M_Recoh(ROUNDUP(X$14/$F41,0)*$E$6)+ (ROUNDUP(X$14/$F41,0)*$D$11))*(1+$D$7))</f>
        <v>823000</v>
      </c>
    </row>
    <row r="42" spans="1:24" x14ac:dyDescent="0.45">
      <c r="B42">
        <v>28</v>
      </c>
      <c r="C42" t="str">
        <f t="shared" si="3"/>
        <v>6.5 x 6.5 cm</v>
      </c>
      <c r="D42">
        <v>6.5</v>
      </c>
      <c r="E42">
        <v>6.5</v>
      </c>
      <c r="F42" s="43">
        <f t="shared" si="2"/>
        <v>24</v>
      </c>
      <c r="G42" s="7">
        <f>LamChanHangNgan((PhiMayCatDecalVuong(G$14,$D42,$E42)+ PhiMayInToner4M_Recoh(ROUNDUP(G$14/$F42,0)*$E$6)+ (ROUNDUP(G$14/$F42,0)*$D$11))*(1+$D$7))</f>
        <v>112000</v>
      </c>
      <c r="H42" s="7">
        <f>LamChanHangNgan((PhiMayCatDecalVuong(H$14,$D42,$E42)+ PhiMayInToner4M_Recoh(ROUNDUP(H$14/$F42,0)*$E$6)+ (ROUNDUP(H$14/$F42,0)*$D$11))*(1+$D$7))</f>
        <v>127000</v>
      </c>
      <c r="I42" s="7">
        <f>LamChanHangNgan((PhiMayCatDecalVuong(I$14,$D42,$E42)+ PhiMayInToner4M_Recoh(ROUNDUP(I$14/$F42,0)*$E$6)+ (ROUNDUP(I$14/$F42,0)*$D$11))*(1+$D$7))</f>
        <v>141000</v>
      </c>
      <c r="J42" s="7">
        <f>LamChanHangNgan((PhiMayCatDecalVuong(J$14,$D42,$E42)+ PhiMayInToner4M_Recoh(ROUNDUP(J$14/$F42,0)*$E$6)+ (ROUNDUP(J$14/$F42,0)*$D$11))*(1+$D$7))</f>
        <v>156000</v>
      </c>
      <c r="K42" s="7">
        <f>LamChanHangNgan((PhiMayCatDecalVuong(K$14,$D42,$E42)+ PhiMayInToner4M_Recoh(ROUNDUP(K$14/$F42,0)*$E$6)+ (ROUNDUP(K$14/$F42,0)*$D$11))*(1+$D$7))</f>
        <v>171000</v>
      </c>
      <c r="L42" s="7">
        <f>LamChanHangNgan((PhiMayCatDecalVuong(L$14,$D42,$E42)+ PhiMayInToner4M_Recoh(ROUNDUP(L$14/$F42,0)*$E$6)+ (ROUNDUP(L$14/$F42,0)*$D$11))*(1+$D$7))</f>
        <v>185000</v>
      </c>
      <c r="M42" s="7">
        <f>LamChanHangNgan((PhiMayCatDecalVuong(M$14,$D42,$E42)+ PhiMayInToner4M_Recoh(ROUNDUP(M$14/$F42,0)*$E$6)+ (ROUNDUP(M$14/$F42,0)*$D$11))*(1+$D$7))</f>
        <v>203000</v>
      </c>
      <c r="N42" s="7">
        <f>LamChanHangNgan((PhiMayCatDecalVuong(N$14,$D42,$E42)+ PhiMayInToner4M_Recoh(ROUNDUP(N$14/$F42,0)*$E$6)+ (ROUNDUP(N$14/$F42,0)*$D$11))*(1+$D$7))</f>
        <v>218000</v>
      </c>
      <c r="O42" s="7">
        <f>LamChanHangNgan((PhiMayCatDecalVuong(O$14,$D42,$E42)+ PhiMayInToner4M_Recoh(ROUNDUP(O$14/$F42,0)*$E$6)+ (ROUNDUP(O$14/$F42,0)*$D$11))*(1+$D$7))</f>
        <v>232000</v>
      </c>
      <c r="P42" s="7">
        <f>LamChanHangNgan((PhiMayCatDecalVuong(P$14,$D42,$E42)+ PhiMayInToner4M_Recoh(ROUNDUP(P$14/$F42,0)*$E$6)+ (ROUNDUP(P$14/$F42,0)*$D$11))*(1+$D$7))</f>
        <v>247000</v>
      </c>
      <c r="Q42" s="7">
        <f>LamChanHangNgan((PhiMayCatDecalVuong(Q$14,$D42,$E42)+ PhiMayInToner4M_Recoh(ROUNDUP(Q$14/$F42,0)*$E$6)+ (ROUNDUP(Q$14/$F42,0)*$D$11))*(1+$D$7))</f>
        <v>323000</v>
      </c>
      <c r="R42" s="7">
        <f>LamChanHangNgan((PhiMayCatDecalVuong(R$14,$D42,$E42)+ PhiMayInToner4M_Recoh(ROUNDUP(R$14/$F42,0)*$E$6)+ (ROUNDUP(R$14/$F42,0)*$D$11))*(1+$D$7))</f>
        <v>400000</v>
      </c>
      <c r="S42" s="7">
        <f>LamChanHangNgan((PhiMayCatDecalVuong(S$14,$D42,$E42)+ PhiMayInToner4M_Recoh(ROUNDUP(S$14/$F42,0)*$E$6)+ (ROUNDUP(S$14/$F42,0)*$D$11))*(1+$D$7))</f>
        <v>476000</v>
      </c>
      <c r="T42" s="7">
        <f>LamChanHangNgan((PhiMayCatDecalVuong(T$14,$D42,$E42)+ PhiMayInToner4M_Recoh(ROUNDUP(T$14/$F42,0)*$E$6)+ (ROUNDUP(T$14/$F42,0)*$D$11))*(1+$D$7))</f>
        <v>549000</v>
      </c>
      <c r="U42" s="7">
        <f>LamChanHangNgan((PhiMayCatDecalVuong(U$14,$D42,$E42)+ PhiMayInToner4M_Recoh(ROUNDUP(U$14/$F42,0)*$E$6)+ (ROUNDUP(U$14/$F42,0)*$D$11))*(1+$D$7))</f>
        <v>625000</v>
      </c>
      <c r="V42" s="7">
        <f>LamChanHangNgan((PhiMayCatDecalVuong(V$14,$D42,$E42)+ PhiMayInToner4M_Recoh(ROUNDUP(V$14/$F42,0)*$E$6)+ (ROUNDUP(V$14/$F42,0)*$D$11))*(1+$D$7))</f>
        <v>702000</v>
      </c>
      <c r="W42" s="7">
        <f>LamChanHangNgan((PhiMayCatDecalVuong(W$14,$D42,$E42)+ PhiMayInToner4M_Recoh(ROUNDUP(W$14/$F42,0)*$E$6)+ (ROUNDUP(W$14/$F42,0)*$D$11))*(1+$D$7))</f>
        <v>778000</v>
      </c>
      <c r="X42" s="7">
        <f>LamChanHangNgan((PhiMayCatDecalVuong(X$14,$D42,$E42)+ PhiMayInToner4M_Recoh(ROUNDUP(X$14/$F42,0)*$E$6)+ (ROUNDUP(X$14/$F42,0)*$D$11))*(1+$D$7))</f>
        <v>854000</v>
      </c>
    </row>
    <row r="43" spans="1:24" x14ac:dyDescent="0.45">
      <c r="B43">
        <v>29</v>
      </c>
      <c r="C43" t="str">
        <f t="shared" si="3"/>
        <v>7 x 7 cm</v>
      </c>
      <c r="D43">
        <v>7</v>
      </c>
      <c r="E43">
        <v>7</v>
      </c>
      <c r="F43" s="43">
        <f t="shared" si="2"/>
        <v>20</v>
      </c>
      <c r="G43" s="7">
        <f>LamChanHangNgan((PhiMayCatDecalVuong(G$14,$D43,$E43)+ PhiMayInToner4M_Recoh(ROUNDUP(G$14/$F43,0)*$E$6)+ (ROUNDUP(G$14/$F43,0)*$D$11))*(1+$D$7))</f>
        <v>112000</v>
      </c>
      <c r="H43" s="7">
        <f>LamChanHangNgan((PhiMayCatDecalVuong(H$14,$D43,$E43)+ PhiMayInToner4M_Recoh(ROUNDUP(H$14/$F43,0)*$E$6)+ (ROUNDUP(H$14/$F43,0)*$D$11))*(1+$D$7))</f>
        <v>131000</v>
      </c>
      <c r="I43" s="7">
        <f>LamChanHangNgan((PhiMayCatDecalVuong(I$14,$D43,$E43)+ PhiMayInToner4M_Recoh(ROUNDUP(I$14/$F43,0)*$E$6)+ (ROUNDUP(I$14/$F43,0)*$D$11))*(1+$D$7))</f>
        <v>149000</v>
      </c>
      <c r="J43" s="7">
        <f>LamChanHangNgan((PhiMayCatDecalVuong(J$14,$D43,$E43)+ PhiMayInToner4M_Recoh(ROUNDUP(J$14/$F43,0)*$E$6)+ (ROUNDUP(J$14/$F43,0)*$D$11))*(1+$D$7))</f>
        <v>167000</v>
      </c>
      <c r="K43" s="7">
        <f>LamChanHangNgan((PhiMayCatDecalVuong(K$14,$D43,$E43)+ PhiMayInToner4M_Recoh(ROUNDUP(K$14/$F43,0)*$E$6)+ (ROUNDUP(K$14/$F43,0)*$D$11))*(1+$D$7))</f>
        <v>185000</v>
      </c>
      <c r="L43" s="7">
        <f>LamChanHangNgan((PhiMayCatDecalVuong(L$14,$D43,$E43)+ PhiMayInToner4M_Recoh(ROUNDUP(L$14/$F43,0)*$E$6)+ (ROUNDUP(L$14/$F43,0)*$D$11))*(1+$D$7))</f>
        <v>203000</v>
      </c>
      <c r="M43" s="7">
        <f>LamChanHangNgan((PhiMayCatDecalVuong(M$14,$D43,$E43)+ PhiMayInToner4M_Recoh(ROUNDUP(M$14/$F43,0)*$E$6)+ (ROUNDUP(M$14/$F43,0)*$D$11))*(1+$D$7))</f>
        <v>221000</v>
      </c>
      <c r="N43" s="7">
        <f>LamChanHangNgan((PhiMayCatDecalVuong(N$14,$D43,$E43)+ PhiMayInToner4M_Recoh(ROUNDUP(N$14/$F43,0)*$E$6)+ (ROUNDUP(N$14/$F43,0)*$D$11))*(1+$D$7))</f>
        <v>239000</v>
      </c>
      <c r="O43" s="7">
        <f>LamChanHangNgan((PhiMayCatDecalVuong(O$14,$D43,$E43)+ PhiMayInToner4M_Recoh(ROUNDUP(O$14/$F43,0)*$E$6)+ (ROUNDUP(O$14/$F43,0)*$D$11))*(1+$D$7))</f>
        <v>257000</v>
      </c>
      <c r="P43" s="7">
        <f>LamChanHangNgan((PhiMayCatDecalVuong(P$14,$D43,$E43)+ PhiMayInToner4M_Recoh(ROUNDUP(P$14/$F43,0)*$E$6)+ (ROUNDUP(P$14/$F43,0)*$D$11))*(1+$D$7))</f>
        <v>275000</v>
      </c>
      <c r="Q43" s="7">
        <f>LamChanHangNgan((PhiMayCatDecalVuong(Q$14,$D43,$E43)+ PhiMayInToner4M_Recoh(ROUNDUP(Q$14/$F43,0)*$E$6)+ (ROUNDUP(Q$14/$F43,0)*$D$11))*(1+$D$7))</f>
        <v>366000</v>
      </c>
      <c r="R43" s="7">
        <f>LamChanHangNgan((PhiMayCatDecalVuong(R$14,$D43,$E43)+ PhiMayInToner4M_Recoh(ROUNDUP(R$14/$F43,0)*$E$6)+ (ROUNDUP(R$14/$F43,0)*$D$11))*(1+$D$7))</f>
        <v>456000</v>
      </c>
      <c r="S43" s="7">
        <f>LamChanHangNgan((PhiMayCatDecalVuong(S$14,$D43,$E43)+ PhiMayInToner4M_Recoh(ROUNDUP(S$14/$F43,0)*$E$6)+ (ROUNDUP(S$14/$F43,0)*$D$11))*(1+$D$7))</f>
        <v>547000</v>
      </c>
      <c r="T43" s="7">
        <f>LamChanHangNgan((PhiMayCatDecalVuong(T$14,$D43,$E43)+ PhiMayInToner4M_Recoh(ROUNDUP(T$14/$F43,0)*$E$6)+ (ROUNDUP(T$14/$F43,0)*$D$11))*(1+$D$7))</f>
        <v>637000</v>
      </c>
      <c r="U43" s="7">
        <f>LamChanHangNgan((PhiMayCatDecalVuong(U$14,$D43,$E43)+ PhiMayInToner4M_Recoh(ROUNDUP(U$14/$F43,0)*$E$6)+ (ROUNDUP(U$14/$F43,0)*$D$11))*(1+$D$7))</f>
        <v>728000</v>
      </c>
      <c r="V43" s="7">
        <f>LamChanHangNgan((PhiMayCatDecalVuong(V$14,$D43,$E43)+ PhiMayInToner4M_Recoh(ROUNDUP(V$14/$F43,0)*$E$6)+ (ROUNDUP(V$14/$F43,0)*$D$11))*(1+$D$7))</f>
        <v>819000</v>
      </c>
      <c r="W43" s="7">
        <f>LamChanHangNgan((PhiMayCatDecalVuong(W$14,$D43,$E43)+ PhiMayInToner4M_Recoh(ROUNDUP(W$14/$F43,0)*$E$6)+ (ROUNDUP(W$14/$F43,0)*$D$11))*(1+$D$7))</f>
        <v>909000</v>
      </c>
      <c r="X43" s="7">
        <f>LamChanHangNgan((PhiMayCatDecalVuong(X$14,$D43,$E43)+ PhiMayInToner4M_Recoh(ROUNDUP(X$14/$F43,0)*$E$6)+ (ROUNDUP(X$14/$F43,0)*$D$11))*(1+$D$7))</f>
        <v>1000000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4.25" x14ac:dyDescent="0.45"/>
  <cols>
    <col min="1" max="1" width="20" bestFit="1" customWidth="1"/>
    <col min="2" max="2" width="10.59765625" bestFit="1" customWidth="1"/>
    <col min="3" max="3" width="13.265625" bestFit="1" customWidth="1"/>
    <col min="7" max="7" width="12.59765625" bestFit="1" customWidth="1"/>
    <col min="10" max="10" width="11" bestFit="1" customWidth="1"/>
    <col min="12" max="12" width="6.86328125" bestFit="1" customWidth="1"/>
  </cols>
  <sheetData>
    <row r="1" spans="1:12" x14ac:dyDescent="0.45">
      <c r="C1" t="s">
        <v>110</v>
      </c>
    </row>
    <row r="2" spans="1:12" x14ac:dyDescent="0.45">
      <c r="A2" s="1" t="s">
        <v>111</v>
      </c>
      <c r="B2" s="9"/>
      <c r="E2" t="s">
        <v>112</v>
      </c>
      <c r="H2" t="s">
        <v>113</v>
      </c>
    </row>
    <row r="3" spans="1:12" x14ac:dyDescent="0.4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4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4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4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4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4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4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4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4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4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4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4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4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4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4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4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4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" workbookViewId="0">
      <selection activeCell="R44" sqref="R44"/>
    </sheetView>
  </sheetViews>
  <sheetFormatPr defaultRowHeight="14.25" x14ac:dyDescent="0.45"/>
  <cols>
    <col min="1" max="1" width="21.59765625" bestFit="1" customWidth="1"/>
    <col min="2" max="2" width="19" bestFit="1" customWidth="1"/>
    <col min="6" max="6" width="21.59765625" bestFit="1" customWidth="1"/>
    <col min="7" max="7" width="19" bestFit="1" customWidth="1"/>
    <col min="8" max="8" width="8.1328125" bestFit="1" customWidth="1"/>
    <col min="11" max="11" width="17.86328125" bestFit="1" customWidth="1"/>
    <col min="12" max="12" width="15.59765625" bestFit="1" customWidth="1"/>
    <col min="13" max="13" width="8.1328125" bestFit="1" customWidth="1"/>
    <col min="16" max="16" width="17.73046875" bestFit="1" customWidth="1"/>
    <col min="17" max="17" width="19.73046875" bestFit="1" customWidth="1"/>
    <col min="18" max="18" width="6.3984375" bestFit="1" customWidth="1"/>
  </cols>
  <sheetData>
    <row r="1" spans="1:18" x14ac:dyDescent="0.4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4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4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4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45">
      <c r="P5" t="s">
        <v>242</v>
      </c>
      <c r="Q5" t="s">
        <v>249</v>
      </c>
      <c r="R5">
        <v>488</v>
      </c>
    </row>
    <row r="6" spans="1:18" x14ac:dyDescent="0.45">
      <c r="P6" t="s">
        <v>244</v>
      </c>
      <c r="Q6" t="s">
        <v>250</v>
      </c>
      <c r="R6">
        <v>355</v>
      </c>
    </row>
    <row r="7" spans="1:18" x14ac:dyDescent="0.45">
      <c r="P7" t="s">
        <v>245</v>
      </c>
      <c r="Q7" t="s">
        <v>248</v>
      </c>
      <c r="R7">
        <v>500</v>
      </c>
    </row>
    <row r="8" spans="1:18" x14ac:dyDescent="0.45">
      <c r="P8" t="s">
        <v>246</v>
      </c>
      <c r="Q8" t="s">
        <v>251</v>
      </c>
      <c r="R8">
        <v>515</v>
      </c>
    </row>
    <row r="9" spans="1:18" x14ac:dyDescent="0.45">
      <c r="P9" t="s">
        <v>220</v>
      </c>
      <c r="Q9" t="s">
        <v>213</v>
      </c>
      <c r="R9">
        <v>628</v>
      </c>
    </row>
    <row r="10" spans="1:18" x14ac:dyDescent="0.45">
      <c r="P10" t="s">
        <v>267</v>
      </c>
      <c r="Q10" t="s">
        <v>268</v>
      </c>
      <c r="R10">
        <v>700</v>
      </c>
    </row>
    <row r="11" spans="1:18" x14ac:dyDescent="0.45">
      <c r="P11" t="s">
        <v>221</v>
      </c>
      <c r="Q11" t="s">
        <v>214</v>
      </c>
      <c r="R11">
        <v>860</v>
      </c>
    </row>
    <row r="12" spans="1:18" x14ac:dyDescent="0.45">
      <c r="P12" t="s">
        <v>222</v>
      </c>
      <c r="Q12" t="s">
        <v>215</v>
      </c>
      <c r="R12">
        <v>1056</v>
      </c>
    </row>
    <row r="13" spans="1:18" x14ac:dyDescent="0.45">
      <c r="P13" t="s">
        <v>269</v>
      </c>
      <c r="Q13" t="s">
        <v>270</v>
      </c>
      <c r="R13">
        <v>785</v>
      </c>
    </row>
    <row r="14" spans="1:18" x14ac:dyDescent="0.45">
      <c r="P14" t="s">
        <v>325</v>
      </c>
      <c r="Q14" t="s">
        <v>328</v>
      </c>
      <c r="R14">
        <v>1600</v>
      </c>
    </row>
    <row r="15" spans="1:18" x14ac:dyDescent="0.45">
      <c r="P15" t="s">
        <v>271</v>
      </c>
      <c r="Q15" t="s">
        <v>272</v>
      </c>
      <c r="R15">
        <v>1030</v>
      </c>
    </row>
    <row r="16" spans="1:18" x14ac:dyDescent="0.45">
      <c r="P16" t="s">
        <v>339</v>
      </c>
      <c r="Q16" t="s">
        <v>340</v>
      </c>
      <c r="R16">
        <v>1060</v>
      </c>
    </row>
    <row r="17" spans="16:18" x14ac:dyDescent="0.45">
      <c r="P17" t="s">
        <v>223</v>
      </c>
      <c r="Q17" t="s">
        <v>216</v>
      </c>
      <c r="R17">
        <v>1272</v>
      </c>
    </row>
    <row r="18" spans="16:18" x14ac:dyDescent="0.45">
      <c r="P18" t="s">
        <v>326</v>
      </c>
      <c r="Q18" t="s">
        <v>327</v>
      </c>
      <c r="R18">
        <v>2060</v>
      </c>
    </row>
    <row r="19" spans="16:18" x14ac:dyDescent="0.45">
      <c r="P19" t="s">
        <v>224</v>
      </c>
      <c r="Q19" t="s">
        <v>217</v>
      </c>
      <c r="R19">
        <v>1200</v>
      </c>
    </row>
    <row r="20" spans="16:18" x14ac:dyDescent="0.45">
      <c r="P20" t="s">
        <v>225</v>
      </c>
      <c r="Q20" t="s">
        <v>218</v>
      </c>
      <c r="R20">
        <v>1456</v>
      </c>
    </row>
    <row r="21" spans="16:18" x14ac:dyDescent="0.45">
      <c r="P21" t="s">
        <v>226</v>
      </c>
      <c r="Q21" t="s">
        <v>219</v>
      </c>
      <c r="R21">
        <v>1704</v>
      </c>
    </row>
    <row r="22" spans="16:18" x14ac:dyDescent="0.45">
      <c r="P22" t="s">
        <v>231</v>
      </c>
      <c r="Q22" t="s">
        <v>252</v>
      </c>
      <c r="R22">
        <v>488</v>
      </c>
    </row>
    <row r="23" spans="16:18" x14ac:dyDescent="0.45">
      <c r="P23" t="s">
        <v>232</v>
      </c>
      <c r="Q23" t="s">
        <v>253</v>
      </c>
      <c r="R23">
        <v>584</v>
      </c>
    </row>
    <row r="24" spans="16:18" x14ac:dyDescent="0.45">
      <c r="P24" t="s">
        <v>389</v>
      </c>
      <c r="Q24" t="s">
        <v>390</v>
      </c>
      <c r="R24">
        <v>2920</v>
      </c>
    </row>
    <row r="25" spans="16:18" x14ac:dyDescent="0.45">
      <c r="P25" t="s">
        <v>229</v>
      </c>
      <c r="Q25" t="s">
        <v>254</v>
      </c>
      <c r="R25">
        <v>700</v>
      </c>
    </row>
    <row r="26" spans="16:18" x14ac:dyDescent="0.45">
      <c r="P26" t="s">
        <v>410</v>
      </c>
      <c r="Q26" t="s">
        <v>254</v>
      </c>
      <c r="R26">
        <v>3500</v>
      </c>
    </row>
    <row r="27" spans="16:18" x14ac:dyDescent="0.45">
      <c r="P27" t="s">
        <v>228</v>
      </c>
      <c r="Q27" t="s">
        <v>255</v>
      </c>
      <c r="R27">
        <v>900</v>
      </c>
    </row>
    <row r="28" spans="16:18" x14ac:dyDescent="0.45">
      <c r="P28" t="s">
        <v>227</v>
      </c>
      <c r="Q28" t="s">
        <v>256</v>
      </c>
      <c r="R28">
        <v>740</v>
      </c>
    </row>
    <row r="29" spans="16:18" x14ac:dyDescent="0.45">
      <c r="P29" t="s">
        <v>230</v>
      </c>
      <c r="Q29" t="s">
        <v>257</v>
      </c>
      <c r="R29">
        <v>1232</v>
      </c>
    </row>
    <row r="30" spans="16:18" x14ac:dyDescent="0.45">
      <c r="P30" t="s">
        <v>234</v>
      </c>
      <c r="Q30" t="s">
        <v>258</v>
      </c>
    </row>
    <row r="31" spans="16:18" x14ac:dyDescent="0.45">
      <c r="P31" t="s">
        <v>233</v>
      </c>
      <c r="Q31" t="s">
        <v>260</v>
      </c>
    </row>
    <row r="32" spans="16:18" x14ac:dyDescent="0.45">
      <c r="P32" t="s">
        <v>235</v>
      </c>
      <c r="Q32" t="s">
        <v>259</v>
      </c>
    </row>
    <row r="33" spans="16:18" x14ac:dyDescent="0.45">
      <c r="P33" t="s">
        <v>236</v>
      </c>
      <c r="Q33" t="s">
        <v>261</v>
      </c>
    </row>
    <row r="34" spans="16:18" x14ac:dyDescent="0.45">
      <c r="P34" t="s">
        <v>240</v>
      </c>
      <c r="Q34" t="s">
        <v>262</v>
      </c>
    </row>
    <row r="35" spans="16:18" x14ac:dyDescent="0.45">
      <c r="P35" t="s">
        <v>239</v>
      </c>
      <c r="Q35" t="s">
        <v>263</v>
      </c>
    </row>
    <row r="36" spans="16:18" x14ac:dyDescent="0.45">
      <c r="P36" t="s">
        <v>238</v>
      </c>
      <c r="Q36" t="s">
        <v>264</v>
      </c>
    </row>
    <row r="37" spans="16:18" x14ac:dyDescent="0.45">
      <c r="P37" t="s">
        <v>237</v>
      </c>
      <c r="Q37" t="s">
        <v>265</v>
      </c>
    </row>
    <row r="38" spans="16:18" x14ac:dyDescent="0.45">
      <c r="P38" t="s">
        <v>329</v>
      </c>
      <c r="Q38" t="s">
        <v>330</v>
      </c>
      <c r="R38">
        <v>4200</v>
      </c>
    </row>
    <row r="39" spans="16:18" x14ac:dyDescent="0.45">
      <c r="P39" t="s">
        <v>331</v>
      </c>
      <c r="Q39" t="s">
        <v>332</v>
      </c>
      <c r="R39">
        <v>3500</v>
      </c>
    </row>
    <row r="40" spans="16:18" x14ac:dyDescent="0.45">
      <c r="P40" t="s">
        <v>361</v>
      </c>
      <c r="Q40" t="s">
        <v>362</v>
      </c>
      <c r="R40">
        <v>1250</v>
      </c>
    </row>
    <row r="41" spans="16:18" x14ac:dyDescent="0.45">
      <c r="P41" t="s">
        <v>441</v>
      </c>
      <c r="Q41" t="s">
        <v>442</v>
      </c>
      <c r="R41">
        <v>1650</v>
      </c>
    </row>
    <row r="42" spans="16:18" x14ac:dyDescent="0.45">
      <c r="P42" t="s">
        <v>443</v>
      </c>
      <c r="Q42" t="s">
        <v>444</v>
      </c>
      <c r="R42">
        <v>810</v>
      </c>
    </row>
    <row r="43" spans="16:18" x14ac:dyDescent="0.45">
      <c r="P43" t="s">
        <v>456</v>
      </c>
      <c r="Q43" t="s">
        <v>457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4.25" x14ac:dyDescent="0.45"/>
  <cols>
    <col min="3" max="3" width="7.1328125" bestFit="1" customWidth="1"/>
  </cols>
  <sheetData>
    <row r="2" spans="2:3" x14ac:dyDescent="0.45">
      <c r="B2" s="32" t="s">
        <v>203</v>
      </c>
      <c r="C2" s="32" t="s">
        <v>204</v>
      </c>
    </row>
    <row r="3" spans="2:3" x14ac:dyDescent="0.45">
      <c r="B3" s="33">
        <v>0.15</v>
      </c>
      <c r="C3" s="33">
        <v>0.13</v>
      </c>
    </row>
    <row r="4" spans="2:3" x14ac:dyDescent="0.45">
      <c r="B4" s="33">
        <v>0.2</v>
      </c>
      <c r="C4" s="34">
        <v>0.16700000000000001</v>
      </c>
    </row>
    <row r="5" spans="2:3" x14ac:dyDescent="0.45">
      <c r="B5" s="33">
        <v>0.25</v>
      </c>
      <c r="C5" s="33">
        <v>0.2</v>
      </c>
    </row>
    <row r="6" spans="2:3" x14ac:dyDescent="0.45">
      <c r="B6" s="33">
        <v>0.3</v>
      </c>
      <c r="C6" s="33">
        <v>0.23</v>
      </c>
    </row>
    <row r="7" spans="2:3" x14ac:dyDescent="0.45">
      <c r="B7" s="34">
        <v>0.33300000000000002</v>
      </c>
      <c r="C7" s="33">
        <v>0.25</v>
      </c>
    </row>
    <row r="8" spans="2:3" x14ac:dyDescent="0.45">
      <c r="B8" s="33">
        <v>0.4</v>
      </c>
      <c r="C8" s="34">
        <v>0.28599999999999998</v>
      </c>
    </row>
    <row r="9" spans="2:3" x14ac:dyDescent="0.45">
      <c r="B9" s="33">
        <v>0.43</v>
      </c>
      <c r="C9" s="33">
        <v>0.3</v>
      </c>
    </row>
    <row r="10" spans="2:3" x14ac:dyDescent="0.45">
      <c r="B10" s="33">
        <v>0.5</v>
      </c>
      <c r="C10" s="33">
        <v>0.33</v>
      </c>
    </row>
    <row r="11" spans="2:3" x14ac:dyDescent="0.45">
      <c r="B11" s="33">
        <v>0.75</v>
      </c>
      <c r="C11" s="34">
        <v>0.42899999999999999</v>
      </c>
    </row>
    <row r="12" spans="2:3" x14ac:dyDescent="0.4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45</vt:i4>
      </vt:variant>
      <vt:variant>
        <vt:lpstr>Phạm vi Có tên</vt:lpstr>
      </vt:variant>
      <vt:variant>
        <vt:i4>8</vt:i4>
      </vt:variant>
    </vt:vector>
  </HeadingPairs>
  <TitlesOfParts>
    <vt:vector size="53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SP-Broc-3A4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SP-TheTichDiem-9x5.5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2019-06-07T01:05:02Z</dcterms:modified>
</cp:coreProperties>
</file>