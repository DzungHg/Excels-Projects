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Sô_la_mviê_cNa_y"/>
  <xr:revisionPtr revIDLastSave="0" documentId="13_ncr:1_{F643F58D-671F-4F99-B7C8-2DC10B7D632D}" xr6:coauthVersionLast="43" xr6:coauthVersionMax="43" xr10:uidLastSave="{00000000-0000-0000-0000-000000000000}"/>
  <bookViews>
    <workbookView xWindow="-120" yWindow="-120" windowWidth="29040" windowHeight="15990" firstSheet="17" activeTab="24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Test" sheetId="11" r:id="rId11"/>
    <sheet name="BaiCMYK" sheetId="14" r:id="rId12"/>
    <sheet name="SP-ToRoi-A4" sheetId="17" r:id="rId13"/>
    <sheet name="SP-ToRoi-A5" sheetId="18" r:id="rId14"/>
    <sheet name="SP-ToRoi-A6" sheetId="19" r:id="rId15"/>
    <sheet name="SP-ToRoi-DL" sheetId="20" r:id="rId16"/>
    <sheet name="SP-Broc-A4" sheetId="21" r:id="rId17"/>
    <sheet name="SP-Broc-A5" sheetId="22" r:id="rId18"/>
    <sheet name="SP-Broc-A3" sheetId="23" r:id="rId19"/>
    <sheet name="SP-Broc-3A3" sheetId="24" r:id="rId20"/>
    <sheet name="SP-DThiep-Chuan" sheetId="16" r:id="rId21"/>
    <sheet name="SP-DThiep-TietKiem" sheetId="25" r:id="rId22"/>
    <sheet name="SP-Folder" sheetId="26" r:id="rId23"/>
    <sheet name="SP-GiayTieuDe" sheetId="27" r:id="rId24"/>
    <sheet name="SP-Thiep-Don" sheetId="28" r:id="rId25"/>
    <sheet name="Base-MayIn" sheetId="10" r:id="rId26"/>
    <sheet name="NguyenVatLieu" sheetId="13" r:id="rId27"/>
    <sheet name="Base-Margin" sheetId="15" r:id="rId28"/>
  </sheets>
  <functionGroups builtInGroupCount="19"/>
  <definedNames>
    <definedName name="atools_list_filter_1" localSheetId="11" hidden="1">BaiCMYK!$E$8:$F$9</definedName>
    <definedName name="atools_list_filter_1" localSheetId="19" hidden="1">'SP-Broc-3A3'!$B$10:$D$11</definedName>
    <definedName name="atools_list_filter_1" localSheetId="18" hidden="1">'SP-Broc-A3'!$B$10:$D$11</definedName>
    <definedName name="atools_list_filter_1" localSheetId="16" hidden="1">'SP-Broc-A4'!$B$10:$D$11</definedName>
    <definedName name="atools_list_filter_1" localSheetId="20" hidden="1">'SP-DThiep-Chuan'!$B$9:$D$11</definedName>
    <definedName name="atools_list_filter_1" localSheetId="21" hidden="1">'SP-DThiep-TietKiem'!$B$9:$D$10</definedName>
    <definedName name="atools_list_filter_1" localSheetId="22" hidden="1">'SP-Folder'!$B$10:$D$11</definedName>
    <definedName name="atools_list_filter_1" localSheetId="23" hidden="1">'SP-GiayTieuDe'!$B$9:$D$9</definedName>
    <definedName name="atools_list_filter_1" localSheetId="24" hidden="1">'SP-Thiep-Don'!$B$9:$E$10</definedName>
    <definedName name="atools_list_filter_1" localSheetId="12" hidden="1">'SP-ToRoi-A4'!$B$21:$D$21</definedName>
    <definedName name="atools_list_filter_1_colinvisibles_ext" localSheetId="11" hidden="1">""</definedName>
    <definedName name="atools_list_filter_1_colinvisibles_ext" localSheetId="19" hidden="1">";;"</definedName>
    <definedName name="atools_list_filter_1_colinvisibles_ext" localSheetId="18" hidden="1">";;"</definedName>
    <definedName name="atools_list_filter_1_colinvisibles_ext" localSheetId="16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23" hidden="1">";;"</definedName>
    <definedName name="atools_list_filter_1_colinvisibles_ext" localSheetId="24" hidden="1">";;"</definedName>
    <definedName name="atools_list_filter_1_colinvisibles_ext" localSheetId="12" hidden="1">";;"</definedName>
    <definedName name="atools_list_filter_1_colsrcidxs_ext" localSheetId="11" hidden="1">"1;3"</definedName>
    <definedName name="atools_list_filter_1_colsrcidxs_ext" localSheetId="19" hidden="1">"1;2;3"</definedName>
    <definedName name="atools_list_filter_1_colsrcidxs_ext" localSheetId="18" hidden="1">"1;2;3"</definedName>
    <definedName name="atools_list_filter_1_colsrcidxs_ext" localSheetId="16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23" hidden="1">"1;2;3"</definedName>
    <definedName name="atools_list_filter_1_colsrcidxs_ext" localSheetId="24" hidden="1">"1;2;3;4"</definedName>
    <definedName name="atools_list_filter_1_colsrcidxs_ext" localSheetId="12" hidden="1">"1;2;3"</definedName>
    <definedName name="atools_list_filter_1_colwidths_ext" localSheetId="11" hidden="1">""</definedName>
    <definedName name="atools_list_filter_1_colwidths_ext" localSheetId="19" hidden="1">"88;96;84"</definedName>
    <definedName name="atools_list_filter_1_colwidths_ext" localSheetId="18" hidden="1">"88;96;84"</definedName>
    <definedName name="atools_list_filter_1_colwidths_ext" localSheetId="16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23" hidden="1">"88;96;84"</definedName>
    <definedName name="atools_list_filter_1_colwidths_ext" localSheetId="24" hidden="1">"88;96;84"</definedName>
    <definedName name="atools_list_filter_1_colwidths_ext" localSheetId="12" hidden="1">"88;96;84"</definedName>
    <definedName name="atools_list_filter_1_onrangeaddr" localSheetId="11" hidden="1">"$E$8:$F$9"</definedName>
    <definedName name="atools_list_filter_1_onrangeaddr" localSheetId="19" hidden="1">"='SP-Broc-3A3'!$B$10:$D$11"</definedName>
    <definedName name="atools_list_filter_1_onrangeaddr" localSheetId="18" hidden="1">"='SP-Broc-A3'!$B$10:$D$11"</definedName>
    <definedName name="atools_list_filter_1_onrangeaddr" localSheetId="16" hidden="1">"='SP-Broc-A4'!$B$9:$D$10"</definedName>
    <definedName name="atools_list_filter_1_onrangeaddr" localSheetId="20" hidden="1">"$B$9:$D$11"</definedName>
    <definedName name="atools_list_filter_1_onrangeaddr" localSheetId="21" hidden="1">"='SP-DThiep-TietKiem'!$B$9:$D$10"</definedName>
    <definedName name="atools_list_filter_1_onrangeaddr" localSheetId="22" hidden="1">"='SP-Folder'!$B$10:$D$11"</definedName>
    <definedName name="atools_list_filter_1_onrangeaddr" localSheetId="23" hidden="1">"='SP-GiayTieuDe'!$B$9:$D$9"</definedName>
    <definedName name="atools_list_filter_1_onrangeaddr" localSheetId="24" hidden="1">"='SP-Thiep-Don'!$B$9:$E$10"</definedName>
    <definedName name="atools_list_filter_1_onrangeaddr" localSheetId="12" hidden="1">"='SP-ToRoi-A4'!$B$12:$D$12"</definedName>
    <definedName name="atools_list_filter_1_pos_ext" localSheetId="11" hidden="1">""</definedName>
    <definedName name="atools_list_filter_1_pos_ext" localSheetId="19" hidden="1">"0;1;2"</definedName>
    <definedName name="atools_list_filter_1_pos_ext" localSheetId="18" hidden="1">"0;1;2"</definedName>
    <definedName name="atools_list_filter_1_pos_ext" localSheetId="16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23" hidden="1">"0;1;2"</definedName>
    <definedName name="atools_list_filter_1_pos_ext" localSheetId="24" hidden="1">"0;1;2"</definedName>
    <definedName name="atools_list_filter_1_pos_ext" localSheetId="12" hidden="1">"0;1;2"</definedName>
    <definedName name="atools_list_filter_1_proper" localSheetId="11" hidden="1">"1|1|0|0|0|||0|0||0|,||1||1||0|18|0|2.0|1|1|1|0"</definedName>
    <definedName name="atools_list_filter_1_proper" localSheetId="19" hidden="1">"1|1|0|0|0|||305|309||0|,||1||0||0|18|185|2.0|1|1|1|0"</definedName>
    <definedName name="atools_list_filter_1_proper" localSheetId="18" hidden="1">"1|1|0|0|0|||305|309||0|,||1||0||0|18|185|2.0|1|1|1|0"</definedName>
    <definedName name="atools_list_filter_1_proper" localSheetId="16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23" hidden="1">"1|1|0|0|0|||305|309||0|,||1||0||0|18|185|2.0|1|1|1|0"</definedName>
    <definedName name="atools_list_filter_1_proper" localSheetId="24" hidden="1">"1|1|0|0|0|||305|309||0|,||1||0||0|18|185|2.0|1|1|1|0"</definedName>
    <definedName name="atools_list_filter_1_proper" localSheetId="12" hidden="1">"1|1|0|0|0|||305|309||0|,||1||0||0|18|185|2.0|1|1|1|0"</definedName>
    <definedName name="atools_list_filter_1_source" localSheetId="11" hidden="1">GIA_KHUON_EP_KIM</definedName>
    <definedName name="atools_list_filter_1_source" localSheetId="19" hidden="1">GIA_GIAY_CO_BAN</definedName>
    <definedName name="atools_list_filter_1_source" localSheetId="18" hidden="1">GIA_GIAY_CO_BAN</definedName>
    <definedName name="atools_list_filter_1_source" localSheetId="16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23" hidden="1">GIA_GIAY_CO_BAN</definedName>
    <definedName name="atools_list_filter_1_source" localSheetId="24" hidden="1">GIA_GIAY_CO_BAN</definedName>
    <definedName name="atools_list_filter_1_source" localSheetId="12" hidden="1">GIA_GIAY_CO_BAN</definedName>
    <definedName name="atools_list_filter_1_sourceaddr" localSheetId="11" hidden="1">"GIA_KHUON_EP_KIM"</definedName>
    <definedName name="atools_list_filter_1_sourceaddr" localSheetId="19" hidden="1">"=GIA_GIAY_CO_BAN"</definedName>
    <definedName name="atools_list_filter_1_sourceaddr" localSheetId="18" hidden="1">"=GIA_GIAY_CO_BAN"</definedName>
    <definedName name="atools_list_filter_1_sourceaddr" localSheetId="16" hidden="1">"=GIA_GIAY_CO_BAN"</definedName>
    <definedName name="atools_list_filter_1_sourceaddr" localSheetId="20" hidden="1">"GIA_GIAY_CO_BAN"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23" hidden="1">"=GIA_GIAY_CO_BAN"</definedName>
    <definedName name="atools_list_filter_1_sourceaddr" localSheetId="24" hidden="1">"=GIA_GIAY_CO_BAN"</definedName>
    <definedName name="atools_list_filter_1_sourceaddr" localSheetId="12" hidden="1">"=GIA_GIAY_CO_BAN"</definedName>
    <definedName name="atools_list_filter_8" localSheetId="11" hidden="1">BaiCMYK!$E$12:$F$12</definedName>
    <definedName name="atools_list_filter_8" localSheetId="16" hidden="1">'SP-Broc-A4'!$B$14:$D$14</definedName>
    <definedName name="atools_list_filter_8_colinvisibles_ext" localSheetId="11" hidden="1">";;"</definedName>
    <definedName name="atools_list_filter_8_colinvisibles_ext" localSheetId="16" hidden="1">";;"</definedName>
    <definedName name="atools_list_filter_8_colsrcidxs_ext" localSheetId="11" hidden="1">"1;3"</definedName>
    <definedName name="atools_list_filter_8_colsrcidxs_ext" localSheetId="16" hidden="1">"1;2;3"</definedName>
    <definedName name="atools_list_filter_8_colwidths_ext" localSheetId="11" hidden="1">"103;96;93"</definedName>
    <definedName name="atools_list_filter_8_colwidths_ext" localSheetId="16" hidden="1">"68;96;88"</definedName>
    <definedName name="atools_list_filter_8_onrangeaddr" localSheetId="11" hidden="1">"=BaiCMYK!$E$12:$F$12"</definedName>
    <definedName name="atools_list_filter_8_onrangeaddr" localSheetId="16" hidden="1">"='SP-Broc-A4'!$B$12:$D$12"</definedName>
    <definedName name="atools_list_filter_8_pos_ext" localSheetId="11" hidden="1">"0;1;2"</definedName>
    <definedName name="atools_list_filter_8_pos_ext" localSheetId="16" hidden="1">"0;1;2"</definedName>
    <definedName name="atools_list_filter_8_proper" localSheetId="11" hidden="1">"1|1|0|0|0|||329|309||0|,||1||0||0|18|185|2.0|1|1|1|0"</definedName>
    <definedName name="atools_list_filter_8_proper" localSheetId="16" hidden="1">"1|1|0|0|0|||289|309||0|,||1||0||0|18|185|2.0|1|1|1|0"</definedName>
    <definedName name="atools_list_filter_8_source" localSheetId="11" hidden="1">GIA_NHU_EP_KIM</definedName>
    <definedName name="atools_list_filter_8_source" localSheetId="16" hidden="1">GIA_MANG</definedName>
    <definedName name="atools_list_filter_8_sourceaddr" localSheetId="11" hidden="1">"=GIA_NHU_EP_KIM"</definedName>
    <definedName name="atools_list_filter_8_sourceaddr" localSheetId="16" hidden="1">"=GIA_MANG"</definedName>
    <definedName name="GIA_GIAY_CO_BAN">NguyenVatLieu!$P$2:$R$40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8" i="28" l="1"/>
  <c r="I28" i="28"/>
  <c r="H28" i="28"/>
  <c r="G28" i="28"/>
  <c r="F28" i="28"/>
  <c r="E28" i="28"/>
  <c r="J25" i="28"/>
  <c r="I25" i="28"/>
  <c r="H25" i="28"/>
  <c r="G25" i="28"/>
  <c r="F25" i="28"/>
  <c r="E25" i="28"/>
  <c r="J22" i="28"/>
  <c r="I22" i="28"/>
  <c r="H22" i="28"/>
  <c r="G22" i="28"/>
  <c r="F22" i="28"/>
  <c r="E22" i="28"/>
  <c r="I14" i="28"/>
  <c r="E14" i="28"/>
  <c r="J13" i="28"/>
  <c r="J14" i="28" s="1"/>
  <c r="I13" i="28"/>
  <c r="H13" i="28"/>
  <c r="H14" i="28" s="1"/>
  <c r="G13" i="28"/>
  <c r="G21" i="28" s="1"/>
  <c r="F13" i="28"/>
  <c r="F14" i="28" s="1"/>
  <c r="E13" i="28"/>
  <c r="J21" i="28"/>
  <c r="J15" i="28"/>
  <c r="F15" i="28"/>
  <c r="I15" i="28"/>
  <c r="E15" i="28"/>
  <c r="H15" i="28"/>
  <c r="H16" i="28" l="1"/>
  <c r="H18" i="28" s="1"/>
  <c r="H17" i="28"/>
  <c r="E17" i="28"/>
  <c r="E16" i="28"/>
  <c r="E18" i="28" s="1"/>
  <c r="E24" i="28" s="1"/>
  <c r="E27" i="28" s="1"/>
  <c r="I16" i="28"/>
  <c r="I18" i="28" s="1"/>
  <c r="I17" i="28"/>
  <c r="F17" i="28"/>
  <c r="F16" i="28"/>
  <c r="F18" i="28" s="1"/>
  <c r="F24" i="28" s="1"/>
  <c r="F27" i="28" s="1"/>
  <c r="J17" i="28"/>
  <c r="J16" i="28"/>
  <c r="J18" i="28" s="1"/>
  <c r="J24" i="28" s="1"/>
  <c r="J27" i="28" s="1"/>
  <c r="H21" i="28"/>
  <c r="G14" i="28"/>
  <c r="E21" i="28"/>
  <c r="I21" i="28"/>
  <c r="F21" i="28"/>
  <c r="H25" i="27"/>
  <c r="G25" i="27"/>
  <c r="F25" i="27"/>
  <c r="E25" i="27"/>
  <c r="H34" i="26"/>
  <c r="G34" i="26"/>
  <c r="F34" i="26"/>
  <c r="E34" i="26"/>
  <c r="D34" i="26"/>
  <c r="H33" i="26"/>
  <c r="G33" i="26"/>
  <c r="F33" i="26"/>
  <c r="E33" i="26"/>
  <c r="D33" i="26"/>
  <c r="C34" i="26"/>
  <c r="C33" i="26"/>
  <c r="G30" i="25"/>
  <c r="F30" i="25"/>
  <c r="G29" i="25"/>
  <c r="F29" i="25"/>
  <c r="E30" i="25"/>
  <c r="E29" i="25"/>
  <c r="N30" i="16"/>
  <c r="M30" i="16"/>
  <c r="L30" i="16"/>
  <c r="K30" i="16"/>
  <c r="J30" i="16"/>
  <c r="I30" i="16"/>
  <c r="H30" i="16"/>
  <c r="G30" i="16"/>
  <c r="F30" i="16"/>
  <c r="E30" i="16"/>
  <c r="N29" i="16"/>
  <c r="M29" i="16"/>
  <c r="L29" i="16"/>
  <c r="K29" i="16"/>
  <c r="J29" i="16"/>
  <c r="I29" i="16"/>
  <c r="H29" i="16"/>
  <c r="G29" i="16"/>
  <c r="F29" i="16"/>
  <c r="E29" i="16"/>
  <c r="E37" i="16"/>
  <c r="G15" i="28"/>
  <c r="G16" i="28" l="1"/>
  <c r="G18" i="28" s="1"/>
  <c r="G24" i="28" s="1"/>
  <c r="G27" i="28" s="1"/>
  <c r="G17" i="28"/>
  <c r="F19" i="28"/>
  <c r="F20" i="28"/>
  <c r="E19" i="28"/>
  <c r="E20" i="28"/>
  <c r="I19" i="28"/>
  <c r="I20" i="28"/>
  <c r="H20" i="28"/>
  <c r="H19" i="28"/>
  <c r="J19" i="28"/>
  <c r="J20" i="28"/>
  <c r="I24" i="28"/>
  <c r="I27" i="28" s="1"/>
  <c r="H24" i="28"/>
  <c r="H27" i="28" s="1"/>
  <c r="J40" i="24"/>
  <c r="I40" i="24"/>
  <c r="H40" i="24"/>
  <c r="G40" i="24"/>
  <c r="F40" i="24"/>
  <c r="E40" i="24"/>
  <c r="J39" i="24"/>
  <c r="I39" i="24"/>
  <c r="H39" i="24"/>
  <c r="G39" i="24"/>
  <c r="F39" i="24"/>
  <c r="E39" i="24"/>
  <c r="J40" i="23"/>
  <c r="I40" i="23"/>
  <c r="H40" i="23"/>
  <c r="G40" i="23"/>
  <c r="F40" i="23"/>
  <c r="E40" i="23"/>
  <c r="J39" i="23"/>
  <c r="I39" i="23"/>
  <c r="H39" i="23"/>
  <c r="G39" i="23"/>
  <c r="F39" i="23"/>
  <c r="E39" i="23"/>
  <c r="J40" i="22"/>
  <c r="I40" i="22"/>
  <c r="H40" i="22"/>
  <c r="G40" i="22"/>
  <c r="F40" i="22"/>
  <c r="E40" i="22"/>
  <c r="J39" i="22"/>
  <c r="I39" i="22"/>
  <c r="H39" i="22"/>
  <c r="G39" i="22"/>
  <c r="F39" i="22"/>
  <c r="E39" i="22"/>
  <c r="J40" i="21"/>
  <c r="I40" i="21"/>
  <c r="H40" i="21"/>
  <c r="G40" i="21"/>
  <c r="F40" i="21"/>
  <c r="J39" i="21"/>
  <c r="I39" i="21"/>
  <c r="H39" i="21"/>
  <c r="G39" i="21"/>
  <c r="F39" i="21"/>
  <c r="E40" i="21"/>
  <c r="E39" i="21"/>
  <c r="J26" i="20"/>
  <c r="I26" i="20"/>
  <c r="H26" i="20"/>
  <c r="G26" i="20"/>
  <c r="F26" i="20"/>
  <c r="E26" i="20"/>
  <c r="J25" i="20"/>
  <c r="I25" i="20"/>
  <c r="H25" i="20"/>
  <c r="G25" i="20"/>
  <c r="F25" i="20"/>
  <c r="E25" i="20"/>
  <c r="J26" i="19"/>
  <c r="I26" i="19"/>
  <c r="H26" i="19"/>
  <c r="G26" i="19"/>
  <c r="F26" i="19"/>
  <c r="E26" i="19"/>
  <c r="J25" i="19"/>
  <c r="I25" i="19"/>
  <c r="H25" i="19"/>
  <c r="G25" i="19"/>
  <c r="F25" i="19"/>
  <c r="E25" i="19"/>
  <c r="J26" i="18"/>
  <c r="I26" i="18"/>
  <c r="H26" i="18"/>
  <c r="G26" i="18"/>
  <c r="F26" i="18"/>
  <c r="E26" i="18"/>
  <c r="J25" i="18"/>
  <c r="I25" i="18"/>
  <c r="H25" i="18"/>
  <c r="G25" i="18"/>
  <c r="F25" i="18"/>
  <c r="E25" i="18"/>
  <c r="J26" i="17"/>
  <c r="I26" i="17"/>
  <c r="H26" i="17"/>
  <c r="G26" i="17"/>
  <c r="F26" i="17"/>
  <c r="J25" i="17"/>
  <c r="I25" i="17"/>
  <c r="H25" i="17"/>
  <c r="G25" i="17"/>
  <c r="F25" i="17"/>
  <c r="E26" i="17"/>
  <c r="E25" i="17"/>
  <c r="G19" i="28" l="1"/>
  <c r="G20" i="28"/>
  <c r="H23" i="27"/>
  <c r="G23" i="27"/>
  <c r="F23" i="27"/>
  <c r="E23" i="27"/>
  <c r="G16" i="27"/>
  <c r="F16" i="27"/>
  <c r="H13" i="27"/>
  <c r="H14" i="27" s="1"/>
  <c r="G13" i="27"/>
  <c r="G14" i="27" s="1"/>
  <c r="F13" i="27"/>
  <c r="F14" i="27" s="1"/>
  <c r="E13" i="27"/>
  <c r="E14" i="27" s="1"/>
  <c r="E9" i="27"/>
  <c r="F15" i="27"/>
  <c r="E15" i="27"/>
  <c r="G15" i="27"/>
  <c r="H15" i="27"/>
  <c r="H16" i="27" l="1"/>
  <c r="H17" i="27" s="1"/>
  <c r="G17" i="27"/>
  <c r="F17" i="27"/>
  <c r="E16" i="27"/>
  <c r="E17" i="27" s="1"/>
  <c r="H29" i="26"/>
  <c r="E16" i="26"/>
  <c r="G8" i="11" a="1"/>
  <c r="B2" i="11" a="1"/>
  <c r="J8" i="11" l="1"/>
  <c r="I9" i="11"/>
  <c r="K11" i="11"/>
  <c r="G8" i="11"/>
  <c r="K8" i="11"/>
  <c r="J9" i="11"/>
  <c r="I10" i="11"/>
  <c r="H11" i="11"/>
  <c r="G10" i="11"/>
  <c r="K10" i="11"/>
  <c r="G11" i="11"/>
  <c r="H8" i="11"/>
  <c r="G9" i="11"/>
  <c r="K9" i="11"/>
  <c r="J10" i="11"/>
  <c r="I11" i="11"/>
  <c r="H9" i="11"/>
  <c r="J11" i="11"/>
  <c r="H10" i="11"/>
  <c r="I8" i="11"/>
  <c r="B2" i="11"/>
  <c r="F2" i="11"/>
  <c r="E3" i="11"/>
  <c r="D4" i="11"/>
  <c r="C5" i="11"/>
  <c r="F4" i="11"/>
  <c r="E2" i="11"/>
  <c r="B5" i="11"/>
  <c r="C2" i="11"/>
  <c r="B3" i="11"/>
  <c r="F3" i="11"/>
  <c r="E4" i="11"/>
  <c r="D5" i="11"/>
  <c r="D2" i="11"/>
  <c r="C3" i="11"/>
  <c r="B4" i="11"/>
  <c r="E5" i="11"/>
  <c r="D3" i="11"/>
  <c r="C4" i="11"/>
  <c r="F5" i="11"/>
  <c r="R21" i="26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E26" i="26"/>
  <c r="H26" i="26"/>
  <c r="D26" i="26"/>
  <c r="D25" i="26"/>
  <c r="G26" i="26"/>
  <c r="F26" i="26"/>
  <c r="C26" i="26"/>
  <c r="C25" i="26"/>
  <c r="R22" i="26"/>
  <c r="R40" i="26"/>
  <c r="P36" i="26"/>
  <c r="P40" i="26"/>
  <c r="C42" i="26"/>
  <c r="C24" i="26" l="1"/>
  <c r="F24" i="26"/>
  <c r="G24" i="26"/>
  <c r="D24" i="26"/>
  <c r="H24" i="26"/>
  <c r="E24" i="26"/>
  <c r="G25" i="26"/>
  <c r="O40" i="26"/>
  <c r="N22" i="26"/>
  <c r="L36" i="26"/>
  <c r="L40" i="26"/>
  <c r="R36" i="26"/>
  <c r="N40" i="26"/>
  <c r="L22" i="26"/>
  <c r="O36" i="26"/>
  <c r="E25" i="26"/>
  <c r="Q36" i="26"/>
  <c r="F42" i="26"/>
  <c r="G42" i="26"/>
  <c r="H25" i="26"/>
  <c r="M40" i="26"/>
  <c r="F25" i="26"/>
  <c r="Q40" i="26"/>
  <c r="N36" i="26"/>
  <c r="M36" i="26"/>
  <c r="G43" i="26" l="1"/>
  <c r="C43" i="26"/>
  <c r="F43" i="26"/>
  <c r="O37" i="26"/>
  <c r="O38" i="26"/>
  <c r="M37" i="26"/>
  <c r="M38" i="26"/>
  <c r="L28" i="26"/>
  <c r="L23" i="26"/>
  <c r="L29" i="26" s="1"/>
  <c r="L38" i="26"/>
  <c r="L37" i="26"/>
  <c r="P38" i="26"/>
  <c r="P37" i="26"/>
  <c r="Q37" i="26"/>
  <c r="Q38" i="26"/>
  <c r="N28" i="26"/>
  <c r="N23" i="26"/>
  <c r="N29" i="26" s="1"/>
  <c r="R28" i="26"/>
  <c r="R23" i="26"/>
  <c r="R29" i="26" s="1"/>
  <c r="N38" i="26"/>
  <c r="N37" i="26"/>
  <c r="R38" i="26"/>
  <c r="R37" i="26"/>
  <c r="O41" i="26"/>
  <c r="E21" i="26"/>
  <c r="P21" i="26"/>
  <c r="P41" i="26"/>
  <c r="F21" i="26"/>
  <c r="M21" i="26"/>
  <c r="Q21" i="26"/>
  <c r="M41" i="26"/>
  <c r="Q41" i="26"/>
  <c r="N41" i="26"/>
  <c r="R41" i="26"/>
  <c r="C21" i="26"/>
  <c r="G21" i="26"/>
  <c r="D21" i="26"/>
  <c r="H21" i="26"/>
  <c r="O21" i="26"/>
  <c r="G16" i="25"/>
  <c r="G17" i="25" s="1"/>
  <c r="F16" i="25"/>
  <c r="E16" i="25"/>
  <c r="N16" i="16"/>
  <c r="M16" i="16"/>
  <c r="L16" i="16"/>
  <c r="K16" i="16"/>
  <c r="J16" i="16"/>
  <c r="I16" i="16"/>
  <c r="H16" i="16"/>
  <c r="G16" i="16"/>
  <c r="F16" i="16"/>
  <c r="E16" i="16"/>
  <c r="G22" i="26"/>
  <c r="H40" i="26"/>
  <c r="D40" i="26"/>
  <c r="Q22" i="26"/>
  <c r="O22" i="26"/>
  <c r="C22" i="26"/>
  <c r="C28" i="26" l="1"/>
  <c r="C30" i="26" s="1"/>
  <c r="G28" i="26"/>
  <c r="G30" i="26" s="1"/>
  <c r="F22" i="26"/>
  <c r="H22" i="26"/>
  <c r="D42" i="26"/>
  <c r="M22" i="26"/>
  <c r="H28" i="26" l="1"/>
  <c r="H30" i="26" s="1"/>
  <c r="F28" i="26"/>
  <c r="F30" i="26" s="1"/>
  <c r="G40" i="26"/>
  <c r="C40" i="26"/>
  <c r="P22" i="26"/>
  <c r="C23" i="26" l="1"/>
  <c r="C29" i="26" s="1"/>
  <c r="C31" i="26" s="1"/>
  <c r="C41" i="26"/>
  <c r="O28" i="26"/>
  <c r="O23" i="26"/>
  <c r="O29" i="26" s="1"/>
  <c r="D43" i="26"/>
  <c r="Q23" i="26"/>
  <c r="Q29" i="26" s="1"/>
  <c r="Q28" i="26"/>
  <c r="G41" i="26"/>
  <c r="M23" i="26"/>
  <c r="M29" i="26" s="1"/>
  <c r="M28" i="26"/>
  <c r="D41" i="26"/>
  <c r="H23" i="26"/>
  <c r="H31" i="26" s="1"/>
  <c r="G23" i="26"/>
  <c r="G29" i="26" s="1"/>
  <c r="G31" i="26" s="1"/>
  <c r="F23" i="26"/>
  <c r="F29" i="26" s="1"/>
  <c r="F31" i="26" s="1"/>
  <c r="P28" i="26"/>
  <c r="P23" i="26"/>
  <c r="P29" i="26" s="1"/>
  <c r="H41" i="26"/>
  <c r="R34" i="26"/>
  <c r="R33" i="26"/>
  <c r="L33" i="26"/>
  <c r="L34" i="26"/>
  <c r="R30" i="26"/>
  <c r="R31" i="26"/>
  <c r="L30" i="26"/>
  <c r="L31" i="26"/>
  <c r="N30" i="26"/>
  <c r="N31" i="26"/>
  <c r="N33" i="26"/>
  <c r="N34" i="26"/>
  <c r="G18" i="25"/>
  <c r="G25" i="25"/>
  <c r="F17" i="25"/>
  <c r="F18" i="25" s="1"/>
  <c r="E17" i="25"/>
  <c r="E18" i="25" s="1"/>
  <c r="E9" i="25"/>
  <c r="F9" i="16"/>
  <c r="N17" i="16"/>
  <c r="N18" i="16" s="1"/>
  <c r="M17" i="16"/>
  <c r="M18" i="16" s="1"/>
  <c r="L17" i="16"/>
  <c r="L18" i="16" s="1"/>
  <c r="K17" i="16"/>
  <c r="K25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E40" i="26"/>
  <c r="E42" i="26"/>
  <c r="D22" i="26"/>
  <c r="F40" i="26"/>
  <c r="H42" i="26"/>
  <c r="E22" i="26"/>
  <c r="J19" i="16"/>
  <c r="I19" i="16"/>
  <c r="G19" i="25"/>
  <c r="M19" i="16"/>
  <c r="L19" i="16"/>
  <c r="F19" i="25"/>
  <c r="F19" i="16"/>
  <c r="E19" i="16"/>
  <c r="E19" i="25"/>
  <c r="N19" i="16"/>
  <c r="E28" i="26" l="1"/>
  <c r="E30" i="26" s="1"/>
  <c r="E23" i="26"/>
  <c r="E29" i="26" s="1"/>
  <c r="E31" i="26" s="1"/>
  <c r="H43" i="26"/>
  <c r="F41" i="26"/>
  <c r="D28" i="26"/>
  <c r="D30" i="26" s="1"/>
  <c r="D23" i="26"/>
  <c r="D29" i="26" s="1"/>
  <c r="D31" i="26" s="1"/>
  <c r="E43" i="26"/>
  <c r="E41" i="26"/>
  <c r="P33" i="26"/>
  <c r="P34" i="26"/>
  <c r="M31" i="26"/>
  <c r="M30" i="26"/>
  <c r="P31" i="26"/>
  <c r="P30" i="26"/>
  <c r="M34" i="26"/>
  <c r="M33" i="26"/>
  <c r="Q31" i="26"/>
  <c r="Q30" i="26"/>
  <c r="O34" i="26"/>
  <c r="O33" i="26"/>
  <c r="Q34" i="26"/>
  <c r="Q33" i="26"/>
  <c r="O31" i="26"/>
  <c r="O30" i="26"/>
  <c r="G21" i="25"/>
  <c r="G20" i="25"/>
  <c r="G22" i="25" s="1"/>
  <c r="G27" i="25" s="1"/>
  <c r="E21" i="25"/>
  <c r="E20" i="25"/>
  <c r="E22" i="25" s="1"/>
  <c r="F21" i="25"/>
  <c r="F20" i="25"/>
  <c r="F22" i="25" s="1"/>
  <c r="E25" i="25"/>
  <c r="F9" i="25"/>
  <c r="F25" i="25"/>
  <c r="K18" i="16"/>
  <c r="N21" i="16"/>
  <c r="N20" i="16"/>
  <c r="N22" i="16" s="1"/>
  <c r="L20" i="16"/>
  <c r="L22" i="16" s="1"/>
  <c r="L21" i="16"/>
  <c r="M21" i="16"/>
  <c r="M20" i="16"/>
  <c r="M22" i="16" s="1"/>
  <c r="L25" i="16"/>
  <c r="M25" i="16"/>
  <c r="N25" i="16"/>
  <c r="J25" i="16"/>
  <c r="E21" i="16"/>
  <c r="E20" i="16"/>
  <c r="E22" i="16" s="1"/>
  <c r="I21" i="16"/>
  <c r="I20" i="16"/>
  <c r="I22" i="16" s="1"/>
  <c r="F21" i="16"/>
  <c r="F20" i="16"/>
  <c r="F22" i="16" s="1"/>
  <c r="J21" i="16"/>
  <c r="J20" i="16"/>
  <c r="J22" i="16" s="1"/>
  <c r="H25" i="16"/>
  <c r="G25" i="16"/>
  <c r="E25" i="16"/>
  <c r="I25" i="16"/>
  <c r="F25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P19" i="24"/>
  <c r="G19" i="24"/>
  <c r="L19" i="24"/>
  <c r="L35" i="24"/>
  <c r="O29" i="24"/>
  <c r="Q33" i="24"/>
  <c r="P33" i="24"/>
  <c r="R29" i="24"/>
  <c r="N29" i="24"/>
  <c r="G19" i="16"/>
  <c r="F29" i="24"/>
  <c r="O33" i="24"/>
  <c r="L29" i="24"/>
  <c r="K19" i="16"/>
  <c r="L33" i="24"/>
  <c r="Q29" i="24"/>
  <c r="G29" i="24"/>
  <c r="Q19" i="24"/>
  <c r="I29" i="24"/>
  <c r="H19" i="16"/>
  <c r="E29" i="24"/>
  <c r="F19" i="24"/>
  <c r="R33" i="24"/>
  <c r="N33" i="24"/>
  <c r="P29" i="24"/>
  <c r="J19" i="24"/>
  <c r="M33" i="24"/>
  <c r="M19" i="24"/>
  <c r="M29" i="24"/>
  <c r="H29" i="24"/>
  <c r="J29" i="24"/>
  <c r="O35" i="24"/>
  <c r="O19" i="24"/>
  <c r="G23" i="25" l="1"/>
  <c r="G26" i="25"/>
  <c r="G24" i="25"/>
  <c r="E27" i="25"/>
  <c r="E38" i="25" s="1"/>
  <c r="F27" i="25"/>
  <c r="F38" i="25" s="1"/>
  <c r="E26" i="25"/>
  <c r="E37" i="25" s="1"/>
  <c r="E23" i="25"/>
  <c r="E24" i="25"/>
  <c r="F23" i="25"/>
  <c r="F26" i="25"/>
  <c r="F37" i="25" s="1"/>
  <c r="F24" i="25"/>
  <c r="H21" i="16"/>
  <c r="H24" i="16" s="1"/>
  <c r="H20" i="16"/>
  <c r="H22" i="16" s="1"/>
  <c r="H27" i="16" s="1"/>
  <c r="H38" i="16" s="1"/>
  <c r="G21" i="16"/>
  <c r="G26" i="16" s="1"/>
  <c r="G37" i="16" s="1"/>
  <c r="G20" i="16"/>
  <c r="G22" i="16" s="1"/>
  <c r="G27" i="16" s="1"/>
  <c r="G38" i="16" s="1"/>
  <c r="K20" i="16"/>
  <c r="K22" i="16" s="1"/>
  <c r="K27" i="16" s="1"/>
  <c r="K38" i="16" s="1"/>
  <c r="K21" i="16"/>
  <c r="M23" i="16"/>
  <c r="M26" i="16"/>
  <c r="M37" i="16" s="1"/>
  <c r="M24" i="16"/>
  <c r="L24" i="16"/>
  <c r="L23" i="16"/>
  <c r="L26" i="16"/>
  <c r="L37" i="16" s="1"/>
  <c r="L27" i="16"/>
  <c r="L38" i="16" s="1"/>
  <c r="K24" i="16"/>
  <c r="K23" i="16"/>
  <c r="K26" i="16"/>
  <c r="K37" i="16" s="1"/>
  <c r="M27" i="16"/>
  <c r="M38" i="16" s="1"/>
  <c r="N27" i="16"/>
  <c r="N38" i="16" s="1"/>
  <c r="N26" i="16"/>
  <c r="N37" i="16" s="1"/>
  <c r="N24" i="16"/>
  <c r="N23" i="16"/>
  <c r="J27" i="16"/>
  <c r="J38" i="16" s="1"/>
  <c r="F27" i="16"/>
  <c r="F38" i="16" s="1"/>
  <c r="E27" i="16"/>
  <c r="E38" i="16" s="1"/>
  <c r="H26" i="16"/>
  <c r="H37" i="16" s="1"/>
  <c r="I27" i="16"/>
  <c r="I38" i="16" s="1"/>
  <c r="G24" i="16"/>
  <c r="G23" i="16"/>
  <c r="J23" i="16"/>
  <c r="J26" i="16"/>
  <c r="J37" i="16" s="1"/>
  <c r="J24" i="16"/>
  <c r="I23" i="16"/>
  <c r="I26" i="16"/>
  <c r="I37" i="16" s="1"/>
  <c r="I24" i="16"/>
  <c r="F23" i="16"/>
  <c r="F26" i="16"/>
  <c r="F37" i="16" s="1"/>
  <c r="F24" i="16"/>
  <c r="E23" i="16"/>
  <c r="E26" i="16"/>
  <c r="E24" i="16"/>
  <c r="P34" i="24"/>
  <c r="G20" i="24"/>
  <c r="G22" i="24" s="1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0" i="24"/>
  <c r="J22" i="24" s="1"/>
  <c r="F21" i="24"/>
  <c r="F20" i="24"/>
  <c r="F22" i="24" s="1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J33" i="24"/>
  <c r="G35" i="23"/>
  <c r="P33" i="23"/>
  <c r="I35" i="24"/>
  <c r="M29" i="23"/>
  <c r="N19" i="24"/>
  <c r="E35" i="23"/>
  <c r="H19" i="24"/>
  <c r="N35" i="24"/>
  <c r="O33" i="23"/>
  <c r="E33" i="24"/>
  <c r="E29" i="23"/>
  <c r="P29" i="23"/>
  <c r="Q35" i="24"/>
  <c r="J29" i="23"/>
  <c r="H33" i="24"/>
  <c r="F33" i="24"/>
  <c r="F33" i="23"/>
  <c r="G29" i="23"/>
  <c r="N33" i="23"/>
  <c r="Q29" i="23"/>
  <c r="E35" i="24"/>
  <c r="R33" i="23"/>
  <c r="Q33" i="23"/>
  <c r="O35" i="23"/>
  <c r="J35" i="23"/>
  <c r="I19" i="24"/>
  <c r="F29" i="23"/>
  <c r="L29" i="23"/>
  <c r="I33" i="24"/>
  <c r="H29" i="23"/>
  <c r="G33" i="24"/>
  <c r="I35" i="23"/>
  <c r="J35" i="24"/>
  <c r="P35" i="23"/>
  <c r="M33" i="23"/>
  <c r="R35" i="24"/>
  <c r="L35" i="23"/>
  <c r="L33" i="23"/>
  <c r="P35" i="24"/>
  <c r="L19" i="23"/>
  <c r="F35" i="23"/>
  <c r="O29" i="23"/>
  <c r="R29" i="23"/>
  <c r="I29" i="23"/>
  <c r="H35" i="24"/>
  <c r="G35" i="24"/>
  <c r="H35" i="23"/>
  <c r="N29" i="23"/>
  <c r="M35" i="24"/>
  <c r="R19" i="24"/>
  <c r="J33" i="23"/>
  <c r="F35" i="24"/>
  <c r="E19" i="24"/>
  <c r="H23" i="16" l="1"/>
  <c r="E36" i="24"/>
  <c r="F34" i="24"/>
  <c r="H34" i="24"/>
  <c r="R21" i="24"/>
  <c r="R20" i="24"/>
  <c r="R22" i="24" s="1"/>
  <c r="I20" i="24"/>
  <c r="I22" i="24" s="1"/>
  <c r="I21" i="24"/>
  <c r="F36" i="24"/>
  <c r="E21" i="24"/>
  <c r="E20" i="24"/>
  <c r="E22" i="24" s="1"/>
  <c r="J34" i="24"/>
  <c r="G34" i="24"/>
  <c r="I34" i="24"/>
  <c r="J36" i="24"/>
  <c r="G36" i="24"/>
  <c r="N20" i="24"/>
  <c r="N22" i="24" s="1"/>
  <c r="N21" i="24"/>
  <c r="E34" i="24"/>
  <c r="H20" i="24"/>
  <c r="H22" i="24" s="1"/>
  <c r="H21" i="24"/>
  <c r="H36" i="24"/>
  <c r="I36" i="24"/>
  <c r="L24" i="24"/>
  <c r="L23" i="24"/>
  <c r="P24" i="24"/>
  <c r="P23" i="24"/>
  <c r="J24" i="24"/>
  <c r="J23" i="24"/>
  <c r="F27" i="24"/>
  <c r="F26" i="24"/>
  <c r="O27" i="24"/>
  <c r="O26" i="24"/>
  <c r="G24" i="24"/>
  <c r="G23" i="24"/>
  <c r="Q27" i="24"/>
  <c r="Q26" i="24"/>
  <c r="J27" i="24"/>
  <c r="J26" i="24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27" i="24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P33" i="22"/>
  <c r="Q35" i="23"/>
  <c r="N35" i="23"/>
  <c r="I35" i="22"/>
  <c r="R33" i="22"/>
  <c r="M35" i="23"/>
  <c r="G35" i="22"/>
  <c r="G33" i="22"/>
  <c r="M19" i="23"/>
  <c r="M29" i="22"/>
  <c r="J33" i="22"/>
  <c r="J19" i="23"/>
  <c r="P29" i="22"/>
  <c r="L35" i="22"/>
  <c r="E19" i="23"/>
  <c r="E33" i="23"/>
  <c r="N33" i="22"/>
  <c r="O19" i="23"/>
  <c r="I29" i="22"/>
  <c r="R19" i="23"/>
  <c r="Q33" i="22"/>
  <c r="O29" i="22"/>
  <c r="L33" i="22"/>
  <c r="G33" i="23"/>
  <c r="L19" i="22"/>
  <c r="N19" i="23"/>
  <c r="F33" i="22"/>
  <c r="M33" i="22"/>
  <c r="Q29" i="22"/>
  <c r="I33" i="23"/>
  <c r="E35" i="22"/>
  <c r="F29" i="22"/>
  <c r="P19" i="23"/>
  <c r="J29" i="22"/>
  <c r="R35" i="23"/>
  <c r="H29" i="22"/>
  <c r="L29" i="22"/>
  <c r="G29" i="22"/>
  <c r="H33" i="23"/>
  <c r="E29" i="22"/>
  <c r="H19" i="23"/>
  <c r="P35" i="22"/>
  <c r="O33" i="22"/>
  <c r="G19" i="23"/>
  <c r="N29" i="22"/>
  <c r="Q19" i="23"/>
  <c r="R29" i="22"/>
  <c r="F19" i="23"/>
  <c r="I19" i="23"/>
  <c r="H35" i="22"/>
  <c r="N27" i="24" l="1"/>
  <c r="N26" i="24"/>
  <c r="H27" i="24"/>
  <c r="H26" i="24"/>
  <c r="I24" i="24"/>
  <c r="I23" i="24"/>
  <c r="E27" i="24"/>
  <c r="E26" i="24"/>
  <c r="I27" i="24"/>
  <c r="I26" i="24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0" i="23"/>
  <c r="E22" i="23" s="1"/>
  <c r="H34" i="23"/>
  <c r="M20" i="23"/>
  <c r="M22" i="23" s="1"/>
  <c r="M21" i="23"/>
  <c r="J21" i="23"/>
  <c r="J20" i="23"/>
  <c r="J22" i="23" s="1"/>
  <c r="I21" i="23"/>
  <c r="I20" i="23"/>
  <c r="I22" i="23" s="1"/>
  <c r="G21" i="23"/>
  <c r="G20" i="23"/>
  <c r="G22" i="23" s="1"/>
  <c r="F21" i="23"/>
  <c r="F20" i="23"/>
  <c r="F22" i="23" s="1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0" i="23"/>
  <c r="H22" i="23" s="1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Q29" i="21"/>
  <c r="J33" i="21"/>
  <c r="O35" i="21"/>
  <c r="J19" i="21"/>
  <c r="N35" i="21"/>
  <c r="Q33" i="21"/>
  <c r="E29" i="21"/>
  <c r="J29" i="21"/>
  <c r="F19" i="22"/>
  <c r="P33" i="21"/>
  <c r="G29" i="21"/>
  <c r="G33" i="21"/>
  <c r="O35" i="22"/>
  <c r="L35" i="21"/>
  <c r="P19" i="21"/>
  <c r="E33" i="21"/>
  <c r="H19" i="21"/>
  <c r="E19" i="21"/>
  <c r="F35" i="21"/>
  <c r="J19" i="22"/>
  <c r="M35" i="22"/>
  <c r="I19" i="21"/>
  <c r="E35" i="21"/>
  <c r="I19" i="22"/>
  <c r="E19" i="22"/>
  <c r="O19" i="21"/>
  <c r="F33" i="21"/>
  <c r="P29" i="21"/>
  <c r="H33" i="21"/>
  <c r="N29" i="21"/>
  <c r="M19" i="22"/>
  <c r="H33" i="22"/>
  <c r="M19" i="21"/>
  <c r="R19" i="21"/>
  <c r="L29" i="21"/>
  <c r="Q35" i="22"/>
  <c r="R35" i="21"/>
  <c r="J35" i="22"/>
  <c r="R19" i="22"/>
  <c r="F19" i="21"/>
  <c r="H19" i="22"/>
  <c r="P19" i="22"/>
  <c r="I35" i="21"/>
  <c r="M33" i="21"/>
  <c r="Q19" i="22"/>
  <c r="I33" i="21"/>
  <c r="O19" i="22"/>
  <c r="O29" i="21"/>
  <c r="P35" i="21"/>
  <c r="R33" i="21"/>
  <c r="H35" i="21"/>
  <c r="L33" i="21"/>
  <c r="O33" i="21"/>
  <c r="F35" i="22"/>
  <c r="G35" i="21"/>
  <c r="N33" i="21"/>
  <c r="G19" i="21"/>
  <c r="N19" i="22"/>
  <c r="E33" i="22"/>
  <c r="Q19" i="21"/>
  <c r="N35" i="22"/>
  <c r="I29" i="21"/>
  <c r="M29" i="21"/>
  <c r="F29" i="21"/>
  <c r="Q35" i="21"/>
  <c r="H29" i="21"/>
  <c r="R35" i="22"/>
  <c r="N19" i="21"/>
  <c r="M35" i="21"/>
  <c r="G19" i="22"/>
  <c r="R29" i="21"/>
  <c r="I33" i="22"/>
  <c r="J35" i="21"/>
  <c r="P27" i="23" l="1"/>
  <c r="N27" i="23"/>
  <c r="N26" i="23"/>
  <c r="Q24" i="23"/>
  <c r="Q23" i="23"/>
  <c r="G24" i="23"/>
  <c r="G23" i="23"/>
  <c r="J24" i="23"/>
  <c r="J23" i="23"/>
  <c r="E27" i="23"/>
  <c r="E26" i="23"/>
  <c r="N23" i="23"/>
  <c r="N24" i="23"/>
  <c r="Q27" i="23"/>
  <c r="Q26" i="23"/>
  <c r="F27" i="23"/>
  <c r="F26" i="23"/>
  <c r="I27" i="23"/>
  <c r="I26" i="23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26" i="23"/>
  <c r="O27" i="23"/>
  <c r="O26" i="23"/>
  <c r="R23" i="23"/>
  <c r="R24" i="23"/>
  <c r="G26" i="23"/>
  <c r="G27" i="23"/>
  <c r="J27" i="23"/>
  <c r="J26" i="23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0" i="22"/>
  <c r="I22" i="22" s="1"/>
  <c r="F36" i="22"/>
  <c r="O20" i="22"/>
  <c r="O22" i="22" s="1"/>
  <c r="O21" i="22"/>
  <c r="E34" i="22"/>
  <c r="P21" i="22"/>
  <c r="P20" i="22"/>
  <c r="P22" i="22" s="1"/>
  <c r="J21" i="22"/>
  <c r="J20" i="22"/>
  <c r="J22" i="22" s="1"/>
  <c r="R21" i="22"/>
  <c r="R20" i="22"/>
  <c r="R22" i="22" s="1"/>
  <c r="G21" i="22"/>
  <c r="G20" i="22"/>
  <c r="G22" i="22" s="1"/>
  <c r="H34" i="22"/>
  <c r="H20" i="22"/>
  <c r="H22" i="22" s="1"/>
  <c r="H21" i="22"/>
  <c r="E20" i="22"/>
  <c r="E22" i="22" s="1"/>
  <c r="E21" i="22"/>
  <c r="F21" i="22"/>
  <c r="F20" i="22"/>
  <c r="F22" i="22" s="1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0" i="21"/>
  <c r="G22" i="21" s="1"/>
  <c r="G21" i="21"/>
  <c r="H20" i="21"/>
  <c r="H22" i="21" s="1"/>
  <c r="H21" i="21"/>
  <c r="E21" i="21"/>
  <c r="E20" i="21"/>
  <c r="E22" i="21" s="1"/>
  <c r="I21" i="21"/>
  <c r="I20" i="21"/>
  <c r="I22" i="21" s="1"/>
  <c r="F21" i="21"/>
  <c r="F20" i="21"/>
  <c r="F22" i="21" s="1"/>
  <c r="J21" i="21"/>
  <c r="J20" i="21"/>
  <c r="J22" i="21" s="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J15" i="18"/>
  <c r="J15" i="19"/>
  <c r="E15" i="18"/>
  <c r="I15" i="17"/>
  <c r="G15" i="20"/>
  <c r="F15" i="17"/>
  <c r="H15" i="17"/>
  <c r="I15" i="19"/>
  <c r="F15" i="19"/>
  <c r="H15" i="20"/>
  <c r="G15" i="18"/>
  <c r="H15" i="18"/>
  <c r="E15" i="19"/>
  <c r="F15" i="20"/>
  <c r="L19" i="21"/>
  <c r="F15" i="18"/>
  <c r="G15" i="19"/>
  <c r="J15" i="17"/>
  <c r="G15" i="17"/>
  <c r="I15" i="18"/>
  <c r="Q27" i="22" l="1"/>
  <c r="Q23" i="22"/>
  <c r="E14" i="17"/>
  <c r="M27" i="22"/>
  <c r="H26" i="21"/>
  <c r="H27" i="21"/>
  <c r="F27" i="21"/>
  <c r="F26" i="21"/>
  <c r="E26" i="21"/>
  <c r="E27" i="21"/>
  <c r="G27" i="21"/>
  <c r="G26" i="21"/>
  <c r="J27" i="21"/>
  <c r="J26" i="21"/>
  <c r="I26" i="21"/>
  <c r="I27" i="21"/>
  <c r="M23" i="22"/>
  <c r="N26" i="22"/>
  <c r="N27" i="22"/>
  <c r="E27" i="22"/>
  <c r="E26" i="22"/>
  <c r="G26" i="22"/>
  <c r="G27" i="22"/>
  <c r="F27" i="22"/>
  <c r="F26" i="22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26" i="22"/>
  <c r="I27" i="22"/>
  <c r="I26" i="22"/>
  <c r="F24" i="22"/>
  <c r="F23" i="22"/>
  <c r="H26" i="22"/>
  <c r="H27" i="22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6" i="17"/>
  <c r="J18" i="17" s="1"/>
  <c r="J23" i="17" s="1"/>
  <c r="I16" i="17"/>
  <c r="I18" i="17" s="1"/>
  <c r="I23" i="17" s="1"/>
  <c r="H16" i="17"/>
  <c r="H18" i="17" s="1"/>
  <c r="H23" i="17" s="1"/>
  <c r="F16" i="17"/>
  <c r="F18" i="17" s="1"/>
  <c r="F23" i="17" s="1"/>
  <c r="G16" i="17"/>
  <c r="G18" i="17" s="1"/>
  <c r="G23" i="17" s="1"/>
  <c r="F17" i="20"/>
  <c r="F16" i="20"/>
  <c r="F18" i="20" s="1"/>
  <c r="G17" i="20"/>
  <c r="G16" i="20"/>
  <c r="G18" i="20" s="1"/>
  <c r="H17" i="20"/>
  <c r="H16" i="20"/>
  <c r="H18" i="20" s="1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6" i="19"/>
  <c r="E18" i="19" s="1"/>
  <c r="F17" i="19"/>
  <c r="F16" i="19"/>
  <c r="F18" i="19" s="1"/>
  <c r="F23" i="19" s="1"/>
  <c r="G16" i="19"/>
  <c r="G18" i="19" s="1"/>
  <c r="G17" i="19"/>
  <c r="I16" i="19"/>
  <c r="I18" i="19" s="1"/>
  <c r="I17" i="19"/>
  <c r="J16" i="19"/>
  <c r="J18" i="19" s="1"/>
  <c r="J17" i="19"/>
  <c r="H21" i="19"/>
  <c r="I21" i="19"/>
  <c r="J21" i="19"/>
  <c r="G21" i="19"/>
  <c r="E21" i="19"/>
  <c r="E16" i="18"/>
  <c r="E18" i="18" s="1"/>
  <c r="E17" i="18"/>
  <c r="F17" i="18"/>
  <c r="F16" i="18"/>
  <c r="F18" i="18" s="1"/>
  <c r="F23" i="18" s="1"/>
  <c r="G17" i="18"/>
  <c r="G16" i="18"/>
  <c r="G18" i="18" s="1"/>
  <c r="G23" i="18" s="1"/>
  <c r="H16" i="18"/>
  <c r="H18" i="18" s="1"/>
  <c r="H23" i="18" s="1"/>
  <c r="H17" i="18"/>
  <c r="I16" i="18"/>
  <c r="I18" i="18" s="1"/>
  <c r="I17" i="18"/>
  <c r="J16" i="18"/>
  <c r="J18" i="18" s="1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E15" i="20"/>
  <c r="H15" i="19"/>
  <c r="E15" i="17"/>
  <c r="J15" i="20"/>
  <c r="I15" i="20"/>
  <c r="E16" i="17" l="1"/>
  <c r="E18" i="17" s="1"/>
  <c r="E23" i="17" s="1"/>
  <c r="E17" i="17"/>
  <c r="E20" i="17" s="1"/>
  <c r="L27" i="21"/>
  <c r="L26" i="21"/>
  <c r="L23" i="21"/>
  <c r="L24" i="21"/>
  <c r="J22" i="17"/>
  <c r="J20" i="17"/>
  <c r="J19" i="17"/>
  <c r="G22" i="17"/>
  <c r="G19" i="17"/>
  <c r="G20" i="17"/>
  <c r="I22" i="17"/>
  <c r="I20" i="17"/>
  <c r="I19" i="17"/>
  <c r="H22" i="17"/>
  <c r="H19" i="17"/>
  <c r="H20" i="17"/>
  <c r="F22" i="17"/>
  <c r="F20" i="17"/>
  <c r="F19" i="17"/>
  <c r="E22" i="17"/>
  <c r="E21" i="20"/>
  <c r="E17" i="20"/>
  <c r="E16" i="20"/>
  <c r="E18" i="20" s="1"/>
  <c r="E23" i="20" s="1"/>
  <c r="J16" i="20"/>
  <c r="J18" i="20" s="1"/>
  <c r="J17" i="20"/>
  <c r="I16" i="20"/>
  <c r="I18" i="20" s="1"/>
  <c r="I17" i="20"/>
  <c r="H23" i="20"/>
  <c r="H22" i="20"/>
  <c r="H19" i="20"/>
  <c r="H20" i="20"/>
  <c r="J21" i="20"/>
  <c r="G23" i="20"/>
  <c r="G22" i="20"/>
  <c r="G19" i="20"/>
  <c r="G20" i="20"/>
  <c r="I21" i="20"/>
  <c r="F23" i="20"/>
  <c r="F22" i="20"/>
  <c r="F19" i="20"/>
  <c r="F20" i="20"/>
  <c r="H16" i="19"/>
  <c r="H18" i="19" s="1"/>
  <c r="H23" i="19" s="1"/>
  <c r="H17" i="19"/>
  <c r="H19" i="19" s="1"/>
  <c r="G22" i="19"/>
  <c r="G19" i="19"/>
  <c r="G20" i="19"/>
  <c r="G23" i="19"/>
  <c r="J19" i="19"/>
  <c r="J20" i="19"/>
  <c r="J22" i="19"/>
  <c r="J23" i="19"/>
  <c r="F22" i="19"/>
  <c r="F19" i="19"/>
  <c r="F20" i="19"/>
  <c r="H22" i="19"/>
  <c r="I19" i="19"/>
  <c r="I22" i="19"/>
  <c r="I20" i="19"/>
  <c r="E23" i="19"/>
  <c r="I23" i="19"/>
  <c r="E20" i="19"/>
  <c r="E22" i="19"/>
  <c r="E19" i="19"/>
  <c r="G22" i="18"/>
  <c r="G19" i="18"/>
  <c r="G20" i="18"/>
  <c r="J19" i="18"/>
  <c r="J20" i="18"/>
  <c r="J22" i="18"/>
  <c r="J23" i="18"/>
  <c r="F22" i="18"/>
  <c r="F19" i="18"/>
  <c r="F20" i="18"/>
  <c r="H22" i="18"/>
  <c r="H19" i="18"/>
  <c r="H20" i="18"/>
  <c r="I19" i="18"/>
  <c r="I20" i="18"/>
  <c r="I22" i="18"/>
  <c r="E22" i="18"/>
  <c r="E20" i="18"/>
  <c r="E19" i="18"/>
  <c r="I23" i="18"/>
  <c r="E23" i="18"/>
  <c r="E3" i="14"/>
  <c r="R4" i="2" a="1"/>
  <c r="B5" i="2"/>
  <c r="H20" i="19" l="1"/>
  <c r="E19" i="17"/>
  <c r="I23" i="20"/>
  <c r="J19" i="20"/>
  <c r="J20" i="20"/>
  <c r="J22" i="20"/>
  <c r="I19" i="20"/>
  <c r="I22" i="20"/>
  <c r="I20" i="20"/>
  <c r="J23" i="20"/>
  <c r="E20" i="20"/>
  <c r="E22" i="20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9" i="6"/>
  <c r="B12" i="6"/>
  <c r="B16" i="6"/>
  <c r="B13" i="6"/>
  <c r="B15" i="6"/>
  <c r="B10" i="6"/>
  <c r="B18" i="6"/>
  <c r="B8" i="6"/>
  <c r="B6" i="6"/>
  <c r="B14" i="6"/>
  <c r="B17" i="6"/>
  <c r="B9" i="6"/>
  <c r="B20" i="6"/>
  <c r="B11" i="6"/>
  <c r="B22" i="6"/>
  <c r="B7" i="6"/>
  <c r="B21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8" i="12"/>
  <c r="E17" i="12"/>
  <c r="E24" i="12"/>
  <c r="E35" i="12"/>
  <c r="E21" i="12"/>
  <c r="E19" i="12"/>
  <c r="E11" i="12"/>
  <c r="B6" i="4"/>
  <c r="E32" i="12"/>
  <c r="E7" i="12"/>
  <c r="E33" i="12"/>
  <c r="E22" i="12"/>
  <c r="E29" i="12"/>
  <c r="E25" i="12"/>
  <c r="E18" i="12"/>
  <c r="E9" i="12"/>
  <c r="E31" i="12"/>
  <c r="E14" i="12"/>
  <c r="E13" i="12"/>
  <c r="E28" i="12"/>
  <c r="E6" i="12"/>
  <c r="E27" i="12"/>
  <c r="E36" i="12"/>
  <c r="E12" i="12"/>
  <c r="E16" i="12"/>
  <c r="E5" i="12"/>
  <c r="E26" i="12"/>
  <c r="E10" i="12"/>
  <c r="E15" i="12"/>
  <c r="E20" i="12"/>
  <c r="E34" i="12"/>
  <c r="E23" i="12"/>
  <c r="E30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20" i="8"/>
  <c r="B22" i="4"/>
  <c r="B9" i="4"/>
  <c r="B10" i="5"/>
  <c r="B11" i="9"/>
  <c r="B16" i="7"/>
  <c r="B10" i="7"/>
  <c r="B30" i="8"/>
  <c r="B21" i="8"/>
  <c r="B21" i="5"/>
  <c r="B28" i="8"/>
  <c r="B10" i="4"/>
  <c r="B23" i="4"/>
  <c r="B7" i="9"/>
  <c r="B18" i="9"/>
  <c r="B13" i="5"/>
  <c r="B9" i="8"/>
  <c r="B20" i="5"/>
  <c r="B6" i="8"/>
  <c r="B13" i="7"/>
  <c r="B35" i="8"/>
  <c r="B14" i="7"/>
  <c r="B8" i="5"/>
  <c r="B13" i="9"/>
  <c r="B7" i="7"/>
  <c r="B9" i="9"/>
  <c r="B15" i="5"/>
  <c r="B34" i="8"/>
  <c r="B15" i="4"/>
  <c r="B15" i="8"/>
  <c r="B8" i="9"/>
  <c r="B17" i="7"/>
  <c r="B14" i="8"/>
  <c r="B20" i="4"/>
  <c r="B14" i="4"/>
  <c r="B27" i="8"/>
  <c r="B32" i="8"/>
  <c r="B12" i="7"/>
  <c r="B7" i="8"/>
  <c r="B25" i="5"/>
  <c r="B6" i="5"/>
  <c r="B31" i="8"/>
  <c r="B18" i="8"/>
  <c r="B15" i="7"/>
  <c r="B22" i="7"/>
  <c r="B7" i="4"/>
  <c r="B24" i="4"/>
  <c r="B5" i="8"/>
  <c r="B24" i="8"/>
  <c r="B11" i="5"/>
  <c r="B20" i="7"/>
  <c r="B14" i="5"/>
  <c r="B11" i="4"/>
  <c r="B16" i="5"/>
  <c r="B21" i="4"/>
  <c r="B9" i="7"/>
  <c r="B18" i="4"/>
  <c r="B8" i="7"/>
  <c r="B6" i="9"/>
  <c r="B12" i="4"/>
  <c r="B21" i="7"/>
  <c r="B11" i="7"/>
  <c r="B15" i="9"/>
  <c r="B17" i="8"/>
  <c r="B18" i="5"/>
  <c r="B12" i="9"/>
  <c r="B8" i="4"/>
  <c r="B17" i="5"/>
  <c r="B19" i="9"/>
  <c r="B22" i="8"/>
  <c r="B19" i="4"/>
  <c r="B19" i="8"/>
  <c r="B14" i="9"/>
  <c r="B5" i="9"/>
  <c r="B10" i="8"/>
  <c r="B12" i="5"/>
  <c r="B25" i="8"/>
  <c r="B24" i="5"/>
  <c r="B20" i="9"/>
  <c r="B23" i="8"/>
  <c r="B11" i="8"/>
  <c r="B16" i="4"/>
  <c r="B17" i="4"/>
  <c r="B19" i="5"/>
  <c r="B25" i="4"/>
  <c r="B8" i="8"/>
  <c r="B33" i="8"/>
  <c r="B16" i="9"/>
  <c r="B13" i="8"/>
  <c r="B18" i="7"/>
  <c r="B26" i="8"/>
  <c r="B17" i="9"/>
  <c r="B23" i="5"/>
  <c r="B12" i="8"/>
  <c r="B16" i="8"/>
  <c r="B29" i="8"/>
  <c r="B6" i="7"/>
  <c r="B7" i="5"/>
  <c r="B22" i="5"/>
  <c r="B13" i="4"/>
  <c r="B36" i="8"/>
  <c r="B19" i="7"/>
  <c r="B9" i="5"/>
  <c r="B10" i="9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F10" i="8"/>
  <c r="G10" i="8" s="1"/>
  <c r="I10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6" i="8" l="1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33" i="2"/>
  <c r="B11" i="2"/>
  <c r="B64" i="2"/>
  <c r="B9" i="2"/>
  <c r="B36" i="2"/>
  <c r="B67" i="2"/>
  <c r="B10" i="1"/>
  <c r="B17" i="2"/>
  <c r="B26" i="2"/>
  <c r="B16" i="2"/>
  <c r="B34" i="2"/>
  <c r="B28" i="1"/>
  <c r="B29" i="2"/>
  <c r="B51" i="2"/>
  <c r="B7" i="2"/>
  <c r="B53" i="2"/>
  <c r="B34" i="1"/>
  <c r="B9" i="1"/>
  <c r="B26" i="1"/>
  <c r="B15" i="2"/>
  <c r="B20" i="2"/>
  <c r="B14" i="1"/>
  <c r="B23" i="2"/>
  <c r="B36" i="1"/>
  <c r="B70" i="2"/>
  <c r="B28" i="2"/>
  <c r="B45" i="2"/>
  <c r="B7" i="1"/>
  <c r="B56" i="2"/>
  <c r="B31" i="1"/>
  <c r="B16" i="1"/>
  <c r="B58" i="2"/>
  <c r="B24" i="2"/>
  <c r="B22" i="1"/>
  <c r="B68" i="2"/>
  <c r="B71" i="2"/>
  <c r="B41" i="2"/>
  <c r="B59" i="2"/>
  <c r="B42" i="2"/>
  <c r="B25" i="1"/>
  <c r="B27" i="2"/>
  <c r="B31" i="2"/>
  <c r="B19" i="2"/>
  <c r="B32" i="2"/>
  <c r="B24" i="1"/>
  <c r="B13" i="1"/>
  <c r="B72" i="2"/>
  <c r="B44" i="2"/>
  <c r="B8" i="2"/>
  <c r="B61" i="2"/>
  <c r="B49" i="2"/>
  <c r="B6" i="1"/>
  <c r="B43" i="2"/>
  <c r="B17" i="1"/>
  <c r="B57" i="2"/>
  <c r="B33" i="1"/>
  <c r="B18" i="1"/>
  <c r="B23" i="1"/>
  <c r="B35" i="2"/>
  <c r="B66" i="2"/>
  <c r="B25" i="2"/>
  <c r="B35" i="1"/>
  <c r="B5" i="1"/>
  <c r="B12" i="1"/>
  <c r="B22" i="2"/>
  <c r="B21" i="1"/>
  <c r="B30" i="1"/>
  <c r="B47" i="2"/>
  <c r="B15" i="1"/>
  <c r="B30" i="2"/>
  <c r="B69" i="2"/>
  <c r="B20" i="1"/>
  <c r="B27" i="1"/>
  <c r="B32" i="1"/>
  <c r="B55" i="2"/>
  <c r="B29" i="1"/>
  <c r="B60" i="2"/>
  <c r="B13" i="2"/>
  <c r="B54" i="2"/>
  <c r="B48" i="2"/>
  <c r="B19" i="1"/>
  <c r="B14" i="2"/>
  <c r="B63" i="2"/>
  <c r="B18" i="2"/>
  <c r="B11" i="1"/>
  <c r="B46" i="2"/>
  <c r="B8" i="1"/>
  <c r="B21" i="2"/>
  <c r="B50" i="2"/>
  <c r="B52" i="2"/>
  <c r="B10" i="2"/>
  <c r="B62" i="2"/>
  <c r="B6" i="2"/>
  <c r="B12" i="2"/>
  <c r="B65" i="2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D6EF9549-F5C2-4973-B50F-954AEF66F10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0923E74-2AD7-420D-B8D0-DFE29215FC6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3DFB54FE-C355-4D09-BB2C-6BA9D0D8E61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0F428E93-8DF0-4822-8796-800C3BDF9DA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944CC527-3608-4420-84A9-88DCCCC5707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9734A0A3-E864-4ACA-A6A5-55E7653AD3D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82566A68-7AC7-496F-AAC2-9B49F8C13EA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23C85E64-DD3D-4DFA-9DFB-8E8F12F119D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20AB5F6-2C78-4928-960A-17BD0706604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0B7CFB58-4068-4973-B79F-5C79644D32F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2B1D69ED-7FE1-4133-A3E4-190BEB84895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0840D28F-CAA9-4FC8-AF6B-3E2038F3143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7807F690-F9F5-4B18-9413-56BA49514A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3D84E6CE-7E12-41CA-940C-E631A3B6B0A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53C97840-9919-49AA-A072-E6F50811A33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DCE4225-DC2B-4D31-8182-F850406F934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824265E3-E578-482C-BE59-6D54D347641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F1CBB476-C0F5-4981-AFAC-01D8B6E9281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26F21A70-184D-42BA-8DFD-893F8759882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DADCE761-C60D-4732-AFD6-5C297FF0E3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E0DEE345-56BE-457D-8DAA-E357DE9CB43C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B0A9CBE6-74EC-42A5-A214-AE2C8C7C5AC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102C22E-FF12-461C-BF55-5811E226BDD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696A4DE0-EF8A-4B15-B55D-B96CE51CF29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B39C5B41-EFA6-4D2B-95D3-C3CBBE45081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D8A44FDA-4173-4531-B253-0F42B9F25141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E7944D9C-5FF3-4B75-827A-9C6C2D5F421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07015883-1653-40BB-85AB-434E1D59E9A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0" authorId="0" shapeId="0" xr:uid="{980F471C-601A-4AFB-9BFD-4C36EC80FBF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42" authorId="1" shapeId="0" xr:uid="{F6D48DF7-A1A7-45D3-ABAE-2991508C719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42" authorId="2" shapeId="0" xr:uid="{0CA8EFEE-5221-41BF-A6B1-8536A7B4126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42" authorId="3" shapeId="0" xr:uid="{D0EABE00-5001-4D89-A261-641347E7CDB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42" authorId="4" shapeId="0" xr:uid="{E8960FD6-43D8-4A4D-BCF8-E239FAC97A6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42" authorId="5" shapeId="0" xr:uid="{FBF590CE-98C6-456F-BBCA-7C67A88A4A35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42" authorId="6" shapeId="0" xr:uid="{EB70AD47-F6F1-48D2-91D9-7D2A1FE4113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42" authorId="7" shapeId="0" xr:uid="{2325AD1E-6BA5-4C61-BA98-B5DD89EF58B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sharedStrings.xml><?xml version="1.0" encoding="utf-8"?>
<sst xmlns="http://schemas.openxmlformats.org/spreadsheetml/2006/main" count="1001" uniqueCount="384">
  <si>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</si>
  <si>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</si>
  <si>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</si>
  <si>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</si>
  <si>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</si>
  <si>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</si>
  <si>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</si>
  <si>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</si>
  <si>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</si>
  <si>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</si>
  <si>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</si>
  <si>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</si>
  <si>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</si>
  <si>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</si>
  <si>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</si>
  <si>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</si>
  <si>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</si>
  <si>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</si>
  <si>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</si>
  <si>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</si>
  <si>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</si>
  <si>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</si>
  <si>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</si>
  <si>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</si>
  <si>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</si>
  <si>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</si>
  <si>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</si>
  <si>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</si>
  <si>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</si>
  <si>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</si>
  <si>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</si>
  <si>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</si>
  <si>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</si>
  <si>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</si>
  <si>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</si>
  <si>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</si>
  <si>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</si>
  <si>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</si>
  <si>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</si>
  <si>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</si>
  <si>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</si>
  <si>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</si>
  <si>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</si>
  <si>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</si>
  <si>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</si>
  <si>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</si>
  <si>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</si>
  <si>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</si>
  <si>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</si>
  <si>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</si>
  <si>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</si>
  <si>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</si>
  <si>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</si>
  <si>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</si>
  <si>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</si>
  <si>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</si>
  <si>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</si>
  <si>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</si>
  <si>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</si>
  <si>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</si>
  <si>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</si>
  <si>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</si>
  <si>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</si>
  <si>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</si>
  <si>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</si>
  <si>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</si>
  <si>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</si>
  <si>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</si>
  <si>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</si>
  <si>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</si>
  <si>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</si>
  <si>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</si>
  <si>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</si>
  <si>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</si>
  <si>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</si>
  <si>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</si>
  <si>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</si>
  <si>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</si>
  <si>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</si>
  <si>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</si>
  <si>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</si>
  <si>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</si>
  <si>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</si>
  <si>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</si>
  <si>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</si>
  <si>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</si>
  <si>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</si>
  <si>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</si>
  <si>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</si>
  <si>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</si>
  <si>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</si>
  <si>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</si>
  <si>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</si>
  <si>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</si>
  <si>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</si>
  <si>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</si>
  <si>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</si>
  <si>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</si>
  <si>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</si>
  <si>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</si>
  <si>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</si>
  <si>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</si>
  <si>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</si>
  <si>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</si>
  <si>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</si>
  <si>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</si>
  <si>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</si>
  <si>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</si>
  <si>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</si>
  <si>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</si>
  <si>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</si>
  <si>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</si>
  <si>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</si>
  <si>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</si>
  <si>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</si>
  <si>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</si>
  <si>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</si>
  <si>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</si>
  <si>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</si>
  <si>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</si>
  <si>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</si>
  <si>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</si>
  <si>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</si>
  <si>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</si>
  <si>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</si>
  <si>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</si>
  <si>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</si>
  <si>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</si>
  <si>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</si>
  <si>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</si>
  <si>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</si>
  <si>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</si>
  <si>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</si>
  <si>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</si>
  <si>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</si>
  <si>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</si>
  <si>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</si>
  <si>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</si>
  <si>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</si>
  <si>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</si>
  <si>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</si>
  <si>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</si>
  <si>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</si>
  <si>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</si>
  <si>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</si>
  <si>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</si>
  <si>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</si>
  <si>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</si>
  <si>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</si>
  <si>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</si>
  <si>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</si>
  <si>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</si>
  <si>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</si>
  <si>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</si>
  <si>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</si>
  <si>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</si>
  <si>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</si>
  <si>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</si>
  <si>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</si>
  <si>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</si>
  <si>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</si>
  <si>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</si>
  <si>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</si>
  <si>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</si>
  <si>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</si>
  <si>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</si>
  <si>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</si>
  <si>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</si>
  <si>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</si>
  <si>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</si>
  <si>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</si>
  <si>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</si>
  <si>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</si>
  <si>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</si>
  <si>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</si>
  <si>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</si>
  <si>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</si>
  <si>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</si>
  <si>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</si>
  <si>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</si>
  <si>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</si>
  <si>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</si>
  <si>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</si>
  <si>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</si>
  <si>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</si>
  <si>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</si>
  <si>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</si>
  <si>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</si>
  <si>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</si>
  <si>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</si>
  <si>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</si>
  <si>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</si>
  <si>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</si>
  <si>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</si>
  <si>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</si>
  <si>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</si>
  <si>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</si>
  <si>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</si>
  <si>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</si>
  <si>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</si>
  <si>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</si>
  <si>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</si>
  <si>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</si>
  <si>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</si>
  <si>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</si>
  <si>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</si>
  <si>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</si>
  <si>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</si>
  <si>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</si>
  <si>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</si>
  <si>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</si>
  <si>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</si>
  <si>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</si>
  <si>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</si>
  <si>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</si>
  <si>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</si>
  <si>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</si>
  <si>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</si>
  <si>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</si>
  <si>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</si>
  <si>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</si>
  <si>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</si>
  <si>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</si>
  <si>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</si>
  <si>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</si>
  <si>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</si>
  <si>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</si>
  <si>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</si>
  <si>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</si>
  <si>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</si>
  <si>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</si>
  <si>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FOR150-32x43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</si>
  <si>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</si>
  <si>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</si>
  <si>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</si>
  <si>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</si>
  <si>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</si>
  <si>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</si>
  <si>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</si>
  <si>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</si>
  <si>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</si>
  <si>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</si>
  <si>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</si>
  <si>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</si>
  <si>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</si>
  <si>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</si>
  <si>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</si>
  <si>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</si>
  <si>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</si>
  <si>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</si>
  <si>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</si>
  <si>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</si>
  <si>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</si>
  <si>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</si>
  <si>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</si>
  <si>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</si>
  <si>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</si>
  <si>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</si>
  <si>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</si>
  <si>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</si>
  <si>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</si>
  <si>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</si>
  <si>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</si>
  <si>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</si>
  <si>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</si>
  <si>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</si>
  <si>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</si>
  <si>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</si>
  <si>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</si>
  <si>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</si>
  <si>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</si>
  <si>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</si>
  <si>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</si>
  <si>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</si>
  <si>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</si>
  <si>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</si>
  <si>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</si>
  <si>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</si>
  <si>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</si>
  <si>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</si>
  <si>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</si>
  <si>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</si>
  <si>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</si>
  <si>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</si>
  <si>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</si>
  <si>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</si>
  <si>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</si>
  <si>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</si>
  <si>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</si>
  <si>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</si>
  <si>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</si>
  <si>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</si>
  <si>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</si>
  <si>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</si>
  <si>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</si>
  <si>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</si>
  <si>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</si>
  <si>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</si>
  <si>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</si>
  <si>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</si>
  <si>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</si>
  <si>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</si>
  <si>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</si>
  <si>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</si>
  <si>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</si>
  <si>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</si>
  <si>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</si>
  <si>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</si>
  <si>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</si>
  <si>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</si>
  <si>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</si>
  <si>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</si>
  <si>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</si>
  <si>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</si>
  <si>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</si>
  <si>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</si>
  <si>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</si>
  <si>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</si>
  <si>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</si>
  <si>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</si>
  <si>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</si>
  <si>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</si>
  <si>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</si>
  <si>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</si>
  <si>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</si>
  <si>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</si>
  <si>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</si>
  <si>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</si>
  <si>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</si>
  <si>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</si>
  <si>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</si>
  <si>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</si>
  <si>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</si>
  <si>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</si>
  <si>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</si>
  <si>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</si>
  <si>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</si>
  <si>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</si>
  <si>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</si>
  <si>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</si>
  <si>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</si>
  <si>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</si>
  <si>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</si>
  <si>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</si>
  <si>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</si>
  <si>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</si>
  <si>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</si>
  <si>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</si>
  <si>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</si>
  <si>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</si>
  <si>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</si>
  <si>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</si>
  <si>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</si>
  <si>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</si>
  <si>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</si>
  <si>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</si>
  <si>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</si>
  <si>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</si>
  <si>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</si>
  <si>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</si>
  <si>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</si>
  <si>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</si>
  <si>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</si>
  <si>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</si>
  <si>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</si>
  <si>
    <t>Niêm yết 1M</t>
  </si>
  <si>
    <t>Niêm yết 2M</t>
  </si>
  <si>
    <t>Tổng giá bán in 2M + giấy C200 - Niêm Yết</t>
  </si>
  <si>
    <t>Tổng giá bán in 2M + giấy C250 - Niêm yết</t>
  </si>
  <si>
    <t>Tính không màng và màng</t>
  </si>
  <si>
    <t>Niêm yết - bán in 1M + giấy</t>
  </si>
  <si>
    <t>Niêm yết - bán in 2M + giấy</t>
  </si>
  <si>
    <t>Niêm Yết: Giá Folder 1M 0 cán màng</t>
  </si>
  <si>
    <t>Niêm Yết: Giá Folder 2M 0 cán màng</t>
  </si>
  <si>
    <t>Niêm yết</t>
  </si>
  <si>
    <t>Thiệp đơn các khổ</t>
  </si>
  <si>
    <t>12.5x15.5 (6), 10 x19.5 (6), 15x15(6)</t>
  </si>
  <si>
    <t>(không quan tâm)</t>
  </si>
  <si>
    <t>Giá giấy 1 theo số SP</t>
  </si>
  <si>
    <t>Giá giấy 2 theo số SP</t>
  </si>
  <si>
    <t>Tổng giá bán in 2M + giấy 1</t>
  </si>
  <si>
    <t>Tổng giá bán in 2M + giấy 2</t>
  </si>
  <si>
    <t>Niêm yết 2M giấy 1</t>
  </si>
  <si>
    <t>Niêm yết 2M giấy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</si>
</sst>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1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12</xdr:col>
      <xdr:colOff>152400</xdr:colOff>
      <xdr:row>11</xdr:row>
      <xdr:rowOff>76199</xdr:rowOff>
    </xdr:from>
    <xdr:to>
      <xdr:col>14</xdr:col>
      <xdr:colOff>323850</xdr:colOff>
      <xdr:row>20</xdr:row>
      <xdr:rowOff>161924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1182350" y="2362199"/>
          <a:ext cx="139065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500</a:t>
          </a:r>
          <a:r>
            <a:rPr lang="en-US" sz="1100" baseline="0"/>
            <a:t> danh thiếp: </a:t>
          </a:r>
        </a:p>
        <a:p>
          <a:r>
            <a:rPr lang="en-US" sz="1100" baseline="0"/>
            <a:t>1M: 199000</a:t>
          </a:r>
        </a:p>
        <a:p>
          <a:r>
            <a:rPr lang="en-US" sz="1100" baseline="0"/>
            <a:t>2M: 340000</a:t>
          </a:r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280000</a:t>
          </a:r>
        </a:p>
        <a:p>
          <a:r>
            <a:rPr lang="en-US" sz="1100" baseline="0"/>
            <a:t>2M: 450000</a:t>
          </a:r>
        </a:p>
        <a:p>
          <a:endParaRPr lang="en-US" sz="1100" baseline="0"/>
        </a:p>
        <a:p>
          <a:r>
            <a:rPr lang="en-US" sz="1100" baseline="0"/>
            <a:t>2000 danh thiếp</a:t>
          </a:r>
        </a:p>
        <a:p>
          <a:r>
            <a:rPr lang="en-US" sz="1100" baseline="0"/>
            <a:t>1M: 430000</a:t>
          </a:r>
        </a:p>
        <a:p>
          <a:r>
            <a:rPr lang="en-US" sz="1100" baseline="0"/>
            <a:t>2M: 680000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44</xdr:row>
      <xdr:rowOff>28574</xdr:rowOff>
    </xdr:from>
    <xdr:to>
      <xdr:col>16</xdr:col>
      <xdr:colOff>142874</xdr:colOff>
      <xdr:row>47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0" dT="2019-05-25T04:36:23.51" personId="{00000000-0000-0000-0000-000000000000}" id="{980F471C-601A-4AFB-9BFD-4C36EC80FBF3}">
    <text>Chỉ máy chạy chưa tiền màng</text>
  </threadedComment>
  <threadedComment ref="L42" dT="2019-05-25T04:25:33.29" personId="{00000000-0000-0000-0000-000000000000}" id="{F6D48DF7-A1A7-45D3-ABAE-2991508C7198}">
    <text>Giá chưa gồm màng</text>
  </threadedComment>
  <threadedComment ref="M42" dT="2019-05-25T04:25:33.29" personId="{00000000-0000-0000-0000-000000000000}" id="{0CA8EFEE-5221-41BF-A6B1-8536A7B41268}">
    <text>Giá chưa gồm màng</text>
  </threadedComment>
  <threadedComment ref="N42" dT="2019-05-25T04:25:33.29" personId="{00000000-0000-0000-0000-000000000000}" id="{D0EABE00-5001-4D89-A261-641347E7CDB8}">
    <text>Giá chưa gồm màng</text>
  </threadedComment>
  <threadedComment ref="O42" dT="2019-05-25T04:25:33.29" personId="{00000000-0000-0000-0000-000000000000}" id="{E8960FD6-43D8-4A4D-BCF8-E239FAC97A6B}">
    <text>Giá chưa gồm màng</text>
  </threadedComment>
  <threadedComment ref="P42" dT="2019-05-25T04:25:33.29" personId="{00000000-0000-0000-0000-000000000000}" id="{FBF590CE-98C6-456F-BBCA-7C67A88A4A35}">
    <text>Giá chưa gồm màng</text>
  </threadedComment>
  <threadedComment ref="Q42" dT="2019-05-25T04:25:33.29" personId="{00000000-0000-0000-0000-000000000000}" id="{EB70AD47-F6F1-48D2-91D9-7D2A1FE4113A}">
    <text>Giá chưa gồm màng</text>
  </threadedComment>
  <threadedComment ref="R42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280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281</v>
      </c>
      <c r="K4" s="2" t="s">
        <v>282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0.75</v>
      </c>
      <c r="E5" s="7">
        <f>B5*(1+D5)</f>
        <v>112152.833275</v>
      </c>
      <c r="F5" s="7">
        <f>E5-B5</f>
        <v>48065.499974999999</v>
      </c>
      <c r="G5" s="4">
        <f>F5/E5</f>
        <v>0.42857142857142855</v>
      </c>
      <c r="I5" s="23">
        <f>E5/A5</f>
        <v>112152.833275</v>
      </c>
      <c r="J5" s="7">
        <f>$E5/$A5*2</f>
        <v>224305.66654999999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0.75</v>
      </c>
      <c r="E6" s="7">
        <f t="shared" ref="E6:E36" si="1">B6*(1+D6)</f>
        <v>176808.33327499998</v>
      </c>
      <c r="F6" s="7">
        <f t="shared" ref="F6:F36" si="2">E6-B6</f>
        <v>75774.999974999984</v>
      </c>
      <c r="G6" s="4">
        <f t="shared" ref="G6:G36" si="3">F6/E6</f>
        <v>0.42857142857142855</v>
      </c>
      <c r="I6" s="23">
        <f t="shared" ref="I6:I36" si="4">E6/A6</f>
        <v>3536.1666654999995</v>
      </c>
      <c r="J6" s="7">
        <f t="shared" ref="J6:J36" si="5">$E6/$A6*2</f>
        <v>7072.3333309999989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0.75</v>
      </c>
      <c r="E7" s="7">
        <f t="shared" si="1"/>
        <v>242783.33327499998</v>
      </c>
      <c r="F7" s="7">
        <f t="shared" si="2"/>
        <v>104049.99997499998</v>
      </c>
      <c r="G7" s="4">
        <f t="shared" si="3"/>
        <v>0.42857142857142855</v>
      </c>
      <c r="I7" s="23">
        <f t="shared" si="4"/>
        <v>2427.83333275</v>
      </c>
      <c r="J7" s="7">
        <f t="shared" si="5"/>
        <v>4855.6666654999999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0.75</v>
      </c>
      <c r="E8" s="7">
        <f t="shared" si="1"/>
        <v>308758.33327499998</v>
      </c>
      <c r="F8" s="7">
        <f t="shared" si="2"/>
        <v>132324.99997499998</v>
      </c>
      <c r="G8" s="4">
        <f t="shared" si="3"/>
        <v>0.42857142857142855</v>
      </c>
      <c r="I8" s="23">
        <f t="shared" si="4"/>
        <v>2058.3888884999997</v>
      </c>
      <c r="J8" s="7">
        <f t="shared" si="5"/>
        <v>4116.7777769999993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0.75</v>
      </c>
      <c r="E9" s="7">
        <f t="shared" si="1"/>
        <v>374733.33327499998</v>
      </c>
      <c r="F9" s="7">
        <f t="shared" si="2"/>
        <v>160599.99997499998</v>
      </c>
      <c r="G9" s="4">
        <f t="shared" si="3"/>
        <v>0.42857142857142855</v>
      </c>
      <c r="I9" s="23">
        <f t="shared" si="4"/>
        <v>1873.666666375</v>
      </c>
      <c r="J9" s="7">
        <f t="shared" si="5"/>
        <v>3747.33333275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0.75</v>
      </c>
      <c r="E10" s="7">
        <f t="shared" si="1"/>
        <v>440708.33327499998</v>
      </c>
      <c r="F10" s="7">
        <f t="shared" si="2"/>
        <v>188874.99997499998</v>
      </c>
      <c r="G10" s="4">
        <f t="shared" si="3"/>
        <v>0.42857142857142855</v>
      </c>
      <c r="I10" s="23">
        <f t="shared" si="4"/>
        <v>1762.8333330999999</v>
      </c>
      <c r="J10" s="7">
        <f t="shared" si="5"/>
        <v>3525.6666661999998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0.75</v>
      </c>
      <c r="E11" s="7">
        <f t="shared" si="1"/>
        <v>506683.33327499998</v>
      </c>
      <c r="F11" s="7">
        <f t="shared" si="2"/>
        <v>217149.99997499998</v>
      </c>
      <c r="G11" s="4">
        <f t="shared" si="3"/>
        <v>0.42857142857142855</v>
      </c>
      <c r="I11" s="23">
        <f t="shared" si="4"/>
        <v>1688.9444442499998</v>
      </c>
      <c r="J11" s="7">
        <f t="shared" si="5"/>
        <v>3377.8888884999997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0.75</v>
      </c>
      <c r="E12" s="7">
        <f t="shared" si="1"/>
        <v>572658.33327499998</v>
      </c>
      <c r="F12" s="7">
        <f t="shared" si="2"/>
        <v>245424.99997499998</v>
      </c>
      <c r="G12" s="4">
        <f t="shared" si="3"/>
        <v>0.42857142857142855</v>
      </c>
      <c r="I12" s="23">
        <f t="shared" si="4"/>
        <v>1636.1666665</v>
      </c>
      <c r="J12" s="7">
        <f t="shared" si="5"/>
        <v>3272.333333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0.75</v>
      </c>
      <c r="E13" s="7">
        <f t="shared" si="1"/>
        <v>638633.33327499998</v>
      </c>
      <c r="F13" s="7">
        <f t="shared" si="2"/>
        <v>273699.99997499998</v>
      </c>
      <c r="G13" s="4">
        <f t="shared" si="3"/>
        <v>0.42857142857142855</v>
      </c>
      <c r="I13" s="23">
        <f t="shared" si="4"/>
        <v>1596.5833331874999</v>
      </c>
      <c r="J13" s="7">
        <f t="shared" si="5"/>
        <v>3193.1666663749997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0.75</v>
      </c>
      <c r="E14" s="7">
        <f t="shared" si="1"/>
        <v>704608.33327499998</v>
      </c>
      <c r="F14" s="7">
        <f t="shared" si="2"/>
        <v>301974.99997499998</v>
      </c>
      <c r="G14" s="4">
        <f t="shared" si="3"/>
        <v>0.42857142857142855</v>
      </c>
      <c r="I14" s="23">
        <f t="shared" si="4"/>
        <v>1565.7962961666667</v>
      </c>
      <c r="J14" s="7">
        <f t="shared" si="5"/>
        <v>3131.5925923333334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0.75</v>
      </c>
      <c r="E15" s="7">
        <f t="shared" si="1"/>
        <v>770583.33327499998</v>
      </c>
      <c r="F15" s="7">
        <f t="shared" si="2"/>
        <v>330249.99997499998</v>
      </c>
      <c r="G15" s="4">
        <f t="shared" si="3"/>
        <v>0.42857142857142855</v>
      </c>
      <c r="I15" s="23">
        <f t="shared" si="4"/>
        <v>1541.1666665499999</v>
      </c>
      <c r="J15" s="7">
        <f t="shared" si="5"/>
        <v>3082.3333330999999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0.75</v>
      </c>
      <c r="E16" s="7">
        <f t="shared" si="1"/>
        <v>902533.33327499998</v>
      </c>
      <c r="F16" s="7">
        <f t="shared" si="2"/>
        <v>386799.99997499998</v>
      </c>
      <c r="G16" s="4">
        <f t="shared" si="3"/>
        <v>0.42857142857142855</v>
      </c>
      <c r="I16" s="23">
        <f>E16/A16</f>
        <v>1504.2222221249999</v>
      </c>
      <c r="J16" s="7">
        <f t="shared" si="5"/>
        <v>3008.4444442499998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0.75</v>
      </c>
      <c r="E17" s="7">
        <f t="shared" si="1"/>
        <v>1034483.3332750001</v>
      </c>
      <c r="F17" s="7">
        <f t="shared" si="2"/>
        <v>443349.99997500004</v>
      </c>
      <c r="G17" s="4">
        <f t="shared" si="3"/>
        <v>0.42857142857142855</v>
      </c>
      <c r="I17" s="7">
        <f t="shared" si="4"/>
        <v>1477.8333332500001</v>
      </c>
      <c r="J17" s="7">
        <f t="shared" si="5"/>
        <v>2955.6666665000002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0.75</v>
      </c>
      <c r="E18" s="7">
        <f t="shared" si="1"/>
        <v>1166433.3332750001</v>
      </c>
      <c r="F18" s="7">
        <f t="shared" si="2"/>
        <v>499899.99997500004</v>
      </c>
      <c r="G18" s="4">
        <f t="shared" si="3"/>
        <v>0.42857142857142855</v>
      </c>
      <c r="I18" s="7">
        <f t="shared" si="4"/>
        <v>1458.0416665937501</v>
      </c>
      <c r="J18" s="7">
        <f t="shared" si="5"/>
        <v>2916.0833331875001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0.75</v>
      </c>
      <c r="E19" s="7">
        <f t="shared" si="1"/>
        <v>1298383.3332750001</v>
      </c>
      <c r="F19" s="7">
        <f t="shared" si="2"/>
        <v>556449.99997500004</v>
      </c>
      <c r="G19" s="4">
        <f t="shared" si="3"/>
        <v>0.42857142857142855</v>
      </c>
      <c r="I19" s="7">
        <f t="shared" si="4"/>
        <v>1442.6481480833334</v>
      </c>
      <c r="J19" s="7">
        <f t="shared" si="5"/>
        <v>2885.2962961666667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0.75</v>
      </c>
      <c r="E20" s="7">
        <f t="shared" si="1"/>
        <v>1430333.3332750001</v>
      </c>
      <c r="F20" s="7">
        <f t="shared" si="2"/>
        <v>612999.99997500004</v>
      </c>
      <c r="G20" s="4">
        <f t="shared" si="3"/>
        <v>0.42857142857142855</v>
      </c>
      <c r="I20" s="7">
        <f t="shared" si="4"/>
        <v>1430.3333332750001</v>
      </c>
      <c r="J20" s="7">
        <f t="shared" si="5"/>
        <v>2860.6666665500002</v>
      </c>
      <c r="K20" s="25"/>
    </row>
    <row r="21" spans="1:32" x14ac:dyDescent="0.25">
      <c r="A21">
        <v>1200</v>
      </c>
      <c r="B21" s="6">
        <f t="shared" si="0"/>
        <v>968133.33330000006</v>
      </c>
      <c r="D21" s="4">
        <v>0.75</v>
      </c>
      <c r="E21" s="7">
        <f t="shared" si="1"/>
        <v>1694233.3332750001</v>
      </c>
      <c r="F21" s="7">
        <f t="shared" si="2"/>
        <v>726099.99997500004</v>
      </c>
      <c r="G21" s="4">
        <f t="shared" si="3"/>
        <v>0.42857142857142855</v>
      </c>
      <c r="I21" s="7">
        <f t="shared" si="4"/>
        <v>1411.8611110625002</v>
      </c>
      <c r="J21" s="7">
        <f t="shared" si="5"/>
        <v>2823.7222221250004</v>
      </c>
      <c r="K21" s="25"/>
    </row>
    <row r="22" spans="1:32" ht="16.5" x14ac:dyDescent="0.25">
      <c r="A22">
        <v>1400</v>
      </c>
      <c r="B22" s="6">
        <f t="shared" si="0"/>
        <v>1118933.3333000001</v>
      </c>
      <c r="D22" s="4">
        <v>0.75</v>
      </c>
      <c r="E22" s="7">
        <f t="shared" si="1"/>
        <v>1958133.3332750001</v>
      </c>
      <c r="F22" s="7">
        <f t="shared" si="2"/>
        <v>839199.99997500004</v>
      </c>
      <c r="G22" s="4">
        <f t="shared" si="3"/>
        <v>0.42857142857142855</v>
      </c>
      <c r="I22" s="7">
        <f t="shared" si="4"/>
        <v>1398.6666666250001</v>
      </c>
      <c r="J22" s="7">
        <f t="shared" si="5"/>
        <v>2797.3333332500001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J23" s="7">
        <f t="shared" si="5"/>
        <v>2229.4222221599998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J24" s="7">
        <f t="shared" si="5"/>
        <v>2199.8666666199997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J25" s="7">
        <f t="shared" si="5"/>
        <v>2182.1333332959998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J26" s="7">
        <f t="shared" si="5"/>
        <v>2170.31111108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J27" s="7">
        <f t="shared" si="5"/>
        <v>2161.8666666399999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J28" s="7">
        <f t="shared" si="5"/>
        <v>2155.5333333100002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J29" s="7">
        <f t="shared" si="5"/>
        <v>2146.6666666479996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J30" s="7">
        <f t="shared" si="5"/>
        <v>2140.7555555399999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J31" s="7">
        <f t="shared" si="5"/>
        <v>2136.5333333199997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J32" s="7">
        <f t="shared" si="5"/>
        <v>2133.3666666549998</v>
      </c>
      <c r="AA32" s="14" t="s">
        <v>64</v>
      </c>
    </row>
    <row r="33" spans="1:10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  <c r="J33" s="7">
        <f t="shared" si="5"/>
        <v>2130.9037036933332</v>
      </c>
    </row>
    <row r="34" spans="1:10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  <c r="J34" s="7">
        <f t="shared" si="5"/>
        <v>2128.9333333239997</v>
      </c>
    </row>
    <row r="35" spans="1:10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  <c r="J35" s="7">
        <f t="shared" si="5"/>
        <v>2123.022222216</v>
      </c>
    </row>
    <row r="36" spans="1:10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  <c r="J36" s="7">
        <f t="shared" si="5"/>
        <v>2120.0666666619995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10" x14ac:dyDescent="0.25">
      <c r="A42">
        <v>50</v>
      </c>
      <c r="B42" s="6">
        <f t="shared" ref="B42:B72" si="7">PhiMayInToner1M(A42)</f>
        <v>83533.333299999998</v>
      </c>
      <c r="D42" s="4">
        <v>0.5</v>
      </c>
      <c r="E42" s="7">
        <f t="shared" ref="E42:E72" si="8">B42*(1+D42)</f>
        <v>125299.99995</v>
      </c>
      <c r="F42" s="7">
        <f t="shared" ref="F42:F72" si="9">E42-B42</f>
        <v>41766.666649999999</v>
      </c>
      <c r="G42" s="4">
        <f t="shared" ref="G42:G72" si="10">F42/E42</f>
        <v>0.33333333333333331</v>
      </c>
      <c r="I42" s="7">
        <f t="shared" ref="I42:I72" si="11">E42/A42</f>
        <v>2505.9999990000001</v>
      </c>
    </row>
    <row r="43" spans="1:10" x14ac:dyDescent="0.25">
      <c r="A43">
        <v>100</v>
      </c>
      <c r="B43" s="6">
        <f t="shared" si="7"/>
        <v>103733.3333</v>
      </c>
      <c r="D43" s="4">
        <v>0.5</v>
      </c>
      <c r="E43" s="7">
        <f t="shared" si="8"/>
        <v>155599.99995</v>
      </c>
      <c r="F43" s="7">
        <f t="shared" si="9"/>
        <v>51866.666649999999</v>
      </c>
      <c r="G43" s="4">
        <f t="shared" si="10"/>
        <v>0.33333333333333331</v>
      </c>
      <c r="I43" s="7">
        <f t="shared" si="11"/>
        <v>1555.9999995000001</v>
      </c>
    </row>
    <row r="44" spans="1:10" x14ac:dyDescent="0.25">
      <c r="A44">
        <v>150</v>
      </c>
      <c r="B44" s="6">
        <f t="shared" si="7"/>
        <v>123933.3333</v>
      </c>
      <c r="D44" s="4">
        <v>0.5</v>
      </c>
      <c r="E44" s="7">
        <f t="shared" si="8"/>
        <v>185899.99995</v>
      </c>
      <c r="F44" s="7">
        <f t="shared" si="9"/>
        <v>61966.666649999999</v>
      </c>
      <c r="G44" s="4">
        <f t="shared" si="10"/>
        <v>0.33333333333333331</v>
      </c>
      <c r="I44" s="7">
        <f t="shared" si="11"/>
        <v>1239.333333</v>
      </c>
    </row>
    <row r="45" spans="1:10" x14ac:dyDescent="0.25">
      <c r="A45">
        <v>200</v>
      </c>
      <c r="B45" s="6">
        <f t="shared" si="7"/>
        <v>144133.3333</v>
      </c>
      <c r="D45" s="4">
        <v>0.5</v>
      </c>
      <c r="E45" s="7">
        <f t="shared" si="8"/>
        <v>216199.99995</v>
      </c>
      <c r="F45" s="7">
        <f t="shared" si="9"/>
        <v>72066.666649999999</v>
      </c>
      <c r="G45" s="4">
        <f t="shared" si="10"/>
        <v>0.33333333333333331</v>
      </c>
      <c r="I45" s="7">
        <f t="shared" si="11"/>
        <v>1080.9999997499999</v>
      </c>
    </row>
    <row r="46" spans="1:10" x14ac:dyDescent="0.25">
      <c r="A46">
        <v>250</v>
      </c>
      <c r="B46" s="6">
        <f t="shared" si="7"/>
        <v>164333.3333</v>
      </c>
      <c r="D46" s="4">
        <v>0.5</v>
      </c>
      <c r="E46" s="7">
        <f t="shared" si="8"/>
        <v>246499.99995</v>
      </c>
      <c r="F46" s="7">
        <f t="shared" si="9"/>
        <v>82166.666649999999</v>
      </c>
      <c r="G46" s="4">
        <f t="shared" si="10"/>
        <v>0.33333333333333331</v>
      </c>
      <c r="I46" s="7">
        <f t="shared" si="11"/>
        <v>985.99999979999996</v>
      </c>
    </row>
    <row r="47" spans="1:10" x14ac:dyDescent="0.25">
      <c r="A47">
        <v>300</v>
      </c>
      <c r="B47" s="6">
        <f t="shared" si="7"/>
        <v>184533.3333</v>
      </c>
      <c r="D47" s="4">
        <v>0.5</v>
      </c>
      <c r="E47" s="7">
        <f t="shared" si="8"/>
        <v>276799.99994999997</v>
      </c>
      <c r="F47" s="7">
        <f t="shared" si="9"/>
        <v>92266.66664999997</v>
      </c>
      <c r="G47" s="4">
        <f t="shared" si="10"/>
        <v>0.33333333333333326</v>
      </c>
      <c r="I47" s="7">
        <f t="shared" si="11"/>
        <v>922.66666649999991</v>
      </c>
    </row>
    <row r="48" spans="1:10" x14ac:dyDescent="0.25">
      <c r="A48">
        <v>350</v>
      </c>
      <c r="B48" s="6">
        <f t="shared" si="7"/>
        <v>204733.3333</v>
      </c>
      <c r="D48" s="4">
        <v>0.5</v>
      </c>
      <c r="E48" s="7">
        <f t="shared" si="8"/>
        <v>307099.99994999997</v>
      </c>
      <c r="F48" s="7">
        <f t="shared" si="9"/>
        <v>102366.66664999997</v>
      </c>
      <c r="G48" s="4">
        <f t="shared" si="10"/>
        <v>0.33333333333333326</v>
      </c>
      <c r="I48" s="7">
        <f t="shared" si="11"/>
        <v>877.42857128571416</v>
      </c>
    </row>
    <row r="49" spans="1:9" x14ac:dyDescent="0.25">
      <c r="A49">
        <v>400</v>
      </c>
      <c r="B49" s="6">
        <f t="shared" si="7"/>
        <v>224933.3333</v>
      </c>
      <c r="D49" s="4">
        <v>0.6</v>
      </c>
      <c r="E49" s="7">
        <f t="shared" si="8"/>
        <v>359893.33328000002</v>
      </c>
      <c r="F49" s="7">
        <f t="shared" si="9"/>
        <v>134959.99998000002</v>
      </c>
      <c r="G49" s="4">
        <f t="shared" si="10"/>
        <v>0.37500000000000006</v>
      </c>
      <c r="I49" s="7">
        <f t="shared" si="11"/>
        <v>899.73333320000006</v>
      </c>
    </row>
    <row r="50" spans="1:9" x14ac:dyDescent="0.25">
      <c r="A50">
        <v>450</v>
      </c>
      <c r="B50" s="6">
        <f t="shared" si="7"/>
        <v>245133.3333</v>
      </c>
      <c r="D50" s="4">
        <v>0.6</v>
      </c>
      <c r="E50" s="7">
        <f t="shared" si="8"/>
        <v>392213.33328000002</v>
      </c>
      <c r="F50" s="7">
        <f t="shared" si="9"/>
        <v>147079.99998000002</v>
      </c>
      <c r="G50" s="4">
        <f t="shared" si="10"/>
        <v>0.37500000000000006</v>
      </c>
      <c r="I50" s="7">
        <f t="shared" si="11"/>
        <v>871.58518506666667</v>
      </c>
    </row>
    <row r="51" spans="1:9" x14ac:dyDescent="0.25">
      <c r="A51">
        <v>500</v>
      </c>
      <c r="B51" s="6">
        <f t="shared" si="7"/>
        <v>265333.3333</v>
      </c>
      <c r="D51" s="4">
        <v>0.6</v>
      </c>
      <c r="E51" s="7">
        <f t="shared" si="8"/>
        <v>424533.33328000002</v>
      </c>
      <c r="F51" s="7">
        <f t="shared" si="9"/>
        <v>159199.99998000002</v>
      </c>
      <c r="G51" s="4">
        <f t="shared" si="10"/>
        <v>0.37500000000000006</v>
      </c>
      <c r="I51" s="7">
        <f t="shared" si="11"/>
        <v>849.06666656000004</v>
      </c>
    </row>
    <row r="52" spans="1:9" x14ac:dyDescent="0.25">
      <c r="A52">
        <v>600</v>
      </c>
      <c r="B52" s="6">
        <f t="shared" si="7"/>
        <v>305733.3333</v>
      </c>
      <c r="D52" s="4">
        <v>0.6</v>
      </c>
      <c r="E52" s="7">
        <f t="shared" si="8"/>
        <v>489173.33328000002</v>
      </c>
      <c r="F52" s="7">
        <f t="shared" si="9"/>
        <v>183439.99998000002</v>
      </c>
      <c r="G52" s="4">
        <f t="shared" si="10"/>
        <v>0.37500000000000006</v>
      </c>
      <c r="I52" s="7">
        <f t="shared" si="11"/>
        <v>815.2888888</v>
      </c>
    </row>
    <row r="53" spans="1:9" x14ac:dyDescent="0.25">
      <c r="A53">
        <v>700</v>
      </c>
      <c r="B53" s="6">
        <f t="shared" si="7"/>
        <v>346133.3333</v>
      </c>
      <c r="D53" s="4">
        <v>0.6</v>
      </c>
      <c r="E53" s="7">
        <f t="shared" si="8"/>
        <v>553813.33328000002</v>
      </c>
      <c r="F53" s="7">
        <f t="shared" si="9"/>
        <v>207679.99998000002</v>
      </c>
      <c r="G53" s="4">
        <f t="shared" si="10"/>
        <v>0.375</v>
      </c>
      <c r="I53" s="7">
        <f t="shared" si="11"/>
        <v>791.16190468571426</v>
      </c>
    </row>
    <row r="54" spans="1:9" x14ac:dyDescent="0.25">
      <c r="A54">
        <v>800</v>
      </c>
      <c r="B54" s="6">
        <f t="shared" si="7"/>
        <v>386533.3333</v>
      </c>
      <c r="D54" s="4">
        <v>0.6</v>
      </c>
      <c r="E54" s="7">
        <f t="shared" si="8"/>
        <v>618453.33328000002</v>
      </c>
      <c r="F54" s="7">
        <f t="shared" si="9"/>
        <v>231919.99998000002</v>
      </c>
      <c r="G54" s="4">
        <f t="shared" si="10"/>
        <v>0.375</v>
      </c>
      <c r="I54" s="7">
        <f t="shared" si="11"/>
        <v>773.06666660000008</v>
      </c>
    </row>
    <row r="55" spans="1:9" x14ac:dyDescent="0.25">
      <c r="A55">
        <v>900</v>
      </c>
      <c r="B55" s="6">
        <f t="shared" si="7"/>
        <v>426933.3333</v>
      </c>
      <c r="D55" s="4">
        <v>0.6</v>
      </c>
      <c r="E55" s="7">
        <f t="shared" si="8"/>
        <v>683093.33328000002</v>
      </c>
      <c r="F55" s="7">
        <f t="shared" si="9"/>
        <v>256159.99998000002</v>
      </c>
      <c r="G55" s="4">
        <f t="shared" si="10"/>
        <v>0.375</v>
      </c>
      <c r="I55" s="7">
        <f t="shared" si="11"/>
        <v>758.99259253333332</v>
      </c>
    </row>
    <row r="56" spans="1:9" x14ac:dyDescent="0.25">
      <c r="A56">
        <v>1000</v>
      </c>
      <c r="B56" s="6">
        <f t="shared" si="7"/>
        <v>467333.3333</v>
      </c>
      <c r="D56" s="4">
        <v>0.4</v>
      </c>
      <c r="E56" s="7">
        <f t="shared" si="8"/>
        <v>654266.66661999992</v>
      </c>
      <c r="F56" s="7">
        <f t="shared" si="9"/>
        <v>186933.33331999992</v>
      </c>
      <c r="G56" s="4">
        <f t="shared" si="10"/>
        <v>0.28571428571428564</v>
      </c>
      <c r="I56" s="7">
        <f t="shared" si="11"/>
        <v>654.26666661999991</v>
      </c>
    </row>
    <row r="57" spans="1:9" x14ac:dyDescent="0.25">
      <c r="A57">
        <v>1200</v>
      </c>
      <c r="B57" s="6">
        <f t="shared" si="7"/>
        <v>548133.33330000006</v>
      </c>
      <c r="D57" s="4">
        <v>0.4</v>
      </c>
      <c r="E57" s="7">
        <f t="shared" si="8"/>
        <v>767386.66662000003</v>
      </c>
      <c r="F57" s="7">
        <f t="shared" si="9"/>
        <v>219253.33331999998</v>
      </c>
      <c r="G57" s="4">
        <f t="shared" si="10"/>
        <v>0.2857142857142857</v>
      </c>
      <c r="I57" s="7">
        <f t="shared" si="11"/>
        <v>639.48888885000008</v>
      </c>
    </row>
    <row r="58" spans="1:9" x14ac:dyDescent="0.25">
      <c r="A58">
        <v>1400</v>
      </c>
      <c r="B58" s="6">
        <f t="shared" si="7"/>
        <v>628933.33330000006</v>
      </c>
      <c r="D58" s="4">
        <v>0.4</v>
      </c>
      <c r="E58" s="7">
        <f t="shared" si="8"/>
        <v>880506.66662000003</v>
      </c>
      <c r="F58" s="7">
        <f t="shared" si="9"/>
        <v>251573.33331999998</v>
      </c>
      <c r="G58" s="4">
        <f t="shared" si="10"/>
        <v>0.2857142857142857</v>
      </c>
      <c r="I58" s="7">
        <f t="shared" si="11"/>
        <v>628.93333330000007</v>
      </c>
    </row>
    <row r="59" spans="1:9" x14ac:dyDescent="0.25">
      <c r="A59">
        <v>1500</v>
      </c>
      <c r="B59" s="6">
        <f t="shared" si="7"/>
        <v>669333.33330000006</v>
      </c>
      <c r="D59" s="4">
        <v>0.4</v>
      </c>
      <c r="E59" s="7">
        <f t="shared" si="8"/>
        <v>937066.66662000003</v>
      </c>
      <c r="F59" s="7">
        <f t="shared" si="9"/>
        <v>267733.33331999998</v>
      </c>
      <c r="G59" s="4">
        <f t="shared" si="10"/>
        <v>0.2857142857142857</v>
      </c>
      <c r="I59" s="7">
        <f t="shared" si="11"/>
        <v>624.71111108000002</v>
      </c>
    </row>
    <row r="60" spans="1:9" x14ac:dyDescent="0.25">
      <c r="A60">
        <v>2000</v>
      </c>
      <c r="B60" s="6">
        <f t="shared" si="7"/>
        <v>871333.33330000006</v>
      </c>
      <c r="D60" s="4">
        <v>0.4</v>
      </c>
      <c r="E60" s="7">
        <f t="shared" si="8"/>
        <v>1219866.66662</v>
      </c>
      <c r="F60" s="7">
        <f t="shared" si="9"/>
        <v>348533.33331999998</v>
      </c>
      <c r="G60" s="4">
        <f t="shared" si="10"/>
        <v>0.2857142857142857</v>
      </c>
      <c r="I60" s="7">
        <f t="shared" si="11"/>
        <v>609.93333330999997</v>
      </c>
    </row>
    <row r="61" spans="1:9" x14ac:dyDescent="0.25">
      <c r="A61">
        <v>2500</v>
      </c>
      <c r="B61" s="6">
        <f t="shared" si="7"/>
        <v>1073333.3333000001</v>
      </c>
      <c r="D61" s="4">
        <v>0.4</v>
      </c>
      <c r="E61" s="7">
        <f t="shared" si="8"/>
        <v>1502666.66662</v>
      </c>
      <c r="F61" s="7">
        <f t="shared" si="9"/>
        <v>429333.33331999998</v>
      </c>
      <c r="G61" s="4">
        <f t="shared" si="10"/>
        <v>0.2857142857142857</v>
      </c>
      <c r="I61" s="7">
        <f t="shared" si="11"/>
        <v>601.06666664800002</v>
      </c>
    </row>
    <row r="62" spans="1:9" x14ac:dyDescent="0.25">
      <c r="A62">
        <v>3000</v>
      </c>
      <c r="B62" s="6">
        <f t="shared" si="7"/>
        <v>1275333.3333000001</v>
      </c>
      <c r="D62" s="4">
        <v>0.4</v>
      </c>
      <c r="E62" s="7">
        <f t="shared" si="8"/>
        <v>1785466.66662</v>
      </c>
      <c r="F62" s="7">
        <f t="shared" si="9"/>
        <v>510133.33331999998</v>
      </c>
      <c r="G62" s="4">
        <f t="shared" si="10"/>
        <v>0.2857142857142857</v>
      </c>
      <c r="I62" s="7">
        <f t="shared" si="11"/>
        <v>595.15555554000002</v>
      </c>
    </row>
    <row r="63" spans="1:9" x14ac:dyDescent="0.25">
      <c r="A63">
        <v>3500</v>
      </c>
      <c r="B63" s="6">
        <f t="shared" si="7"/>
        <v>1477333.3333000001</v>
      </c>
      <c r="D63" s="4">
        <v>0.4</v>
      </c>
      <c r="E63" s="7">
        <f t="shared" si="8"/>
        <v>2068266.66662</v>
      </c>
      <c r="F63" s="7">
        <f t="shared" si="9"/>
        <v>590933.33331999998</v>
      </c>
      <c r="G63" s="4">
        <f t="shared" si="10"/>
        <v>0.2857142857142857</v>
      </c>
      <c r="I63" s="7">
        <f t="shared" si="11"/>
        <v>590.93333331999997</v>
      </c>
    </row>
    <row r="64" spans="1:9" x14ac:dyDescent="0.25">
      <c r="A64">
        <v>4000</v>
      </c>
      <c r="B64" s="6">
        <f t="shared" si="7"/>
        <v>1679333.3333000001</v>
      </c>
      <c r="D64" s="4">
        <v>0.4</v>
      </c>
      <c r="E64" s="7">
        <f t="shared" si="8"/>
        <v>2351066.6666199998</v>
      </c>
      <c r="F64" s="7">
        <f t="shared" si="9"/>
        <v>671733.33331999974</v>
      </c>
      <c r="G64" s="4">
        <f t="shared" si="10"/>
        <v>0.28571428571428564</v>
      </c>
      <c r="I64" s="7">
        <f t="shared" si="11"/>
        <v>587.76666665499999</v>
      </c>
    </row>
    <row r="65" spans="1:9" x14ac:dyDescent="0.25">
      <c r="A65">
        <v>5000</v>
      </c>
      <c r="B65" s="6">
        <f t="shared" si="7"/>
        <v>2083333.3333000001</v>
      </c>
      <c r="D65" s="4">
        <v>0.4</v>
      </c>
      <c r="E65" s="7">
        <f t="shared" si="8"/>
        <v>2916666.6666199998</v>
      </c>
      <c r="F65" s="7">
        <f t="shared" si="9"/>
        <v>833333.33331999974</v>
      </c>
      <c r="G65" s="4">
        <f t="shared" si="10"/>
        <v>0.28571428571428564</v>
      </c>
      <c r="I65" s="7">
        <f t="shared" si="11"/>
        <v>583.33333332399991</v>
      </c>
    </row>
    <row r="66" spans="1:9" x14ac:dyDescent="0.25">
      <c r="A66">
        <v>6000</v>
      </c>
      <c r="B66" s="6">
        <f t="shared" si="7"/>
        <v>2487333.3333000001</v>
      </c>
      <c r="D66" s="4">
        <v>0.4</v>
      </c>
      <c r="E66" s="7">
        <f t="shared" si="8"/>
        <v>3482266.6666199998</v>
      </c>
      <c r="F66" s="7">
        <f t="shared" si="9"/>
        <v>994933.33331999974</v>
      </c>
      <c r="G66" s="4">
        <f t="shared" si="10"/>
        <v>0.28571428571428564</v>
      </c>
      <c r="I66" s="7">
        <f t="shared" si="11"/>
        <v>580.37777776999997</v>
      </c>
    </row>
    <row r="67" spans="1:9" x14ac:dyDescent="0.25">
      <c r="A67">
        <v>7000</v>
      </c>
      <c r="B67" s="6">
        <f t="shared" si="7"/>
        <v>2891333.3333000001</v>
      </c>
      <c r="D67" s="4">
        <v>0.4</v>
      </c>
      <c r="E67" s="7">
        <f t="shared" si="8"/>
        <v>4047866.6666199998</v>
      </c>
      <c r="F67" s="7">
        <f t="shared" si="9"/>
        <v>1156533.3333199997</v>
      </c>
      <c r="G67" s="4">
        <f t="shared" si="10"/>
        <v>0.28571428571428564</v>
      </c>
      <c r="I67" s="7">
        <f t="shared" si="11"/>
        <v>578.26666665999994</v>
      </c>
    </row>
    <row r="68" spans="1:9" x14ac:dyDescent="0.25">
      <c r="A68">
        <v>8000</v>
      </c>
      <c r="B68" s="6">
        <f t="shared" si="7"/>
        <v>3295333.3333000001</v>
      </c>
      <c r="D68" s="4">
        <v>0.4</v>
      </c>
      <c r="E68" s="7">
        <f t="shared" si="8"/>
        <v>4613466.6666199993</v>
      </c>
      <c r="F68" s="7">
        <f t="shared" si="9"/>
        <v>1318133.3333199993</v>
      </c>
      <c r="G68" s="4">
        <f t="shared" si="10"/>
        <v>0.28571428571428559</v>
      </c>
      <c r="I68" s="7">
        <f t="shared" si="11"/>
        <v>576.68333332749989</v>
      </c>
    </row>
    <row r="69" spans="1:9" x14ac:dyDescent="0.25">
      <c r="A69">
        <v>9000</v>
      </c>
      <c r="B69" s="6">
        <f t="shared" si="7"/>
        <v>3699333.3333000001</v>
      </c>
      <c r="D69" s="4">
        <v>0.4</v>
      </c>
      <c r="E69" s="7">
        <f t="shared" si="8"/>
        <v>5179066.6666199993</v>
      </c>
      <c r="F69" s="7">
        <f t="shared" si="9"/>
        <v>1479733.3333199993</v>
      </c>
      <c r="G69" s="4">
        <f t="shared" si="10"/>
        <v>0.28571428571428559</v>
      </c>
      <c r="I69" s="7">
        <f t="shared" si="11"/>
        <v>575.45185184666661</v>
      </c>
    </row>
    <row r="70" spans="1:9" x14ac:dyDescent="0.25">
      <c r="A70">
        <v>10000</v>
      </c>
      <c r="B70" s="6">
        <f t="shared" si="7"/>
        <v>4103333.3333000001</v>
      </c>
      <c r="D70" s="4">
        <v>0.4</v>
      </c>
      <c r="E70" s="7">
        <f t="shared" si="8"/>
        <v>5744666.6666199993</v>
      </c>
      <c r="F70" s="7">
        <f t="shared" si="9"/>
        <v>1641333.3333199993</v>
      </c>
      <c r="G70" s="4">
        <f t="shared" si="10"/>
        <v>0.28571428571428564</v>
      </c>
      <c r="I70" s="7">
        <f t="shared" si="11"/>
        <v>574.46666666199997</v>
      </c>
    </row>
    <row r="71" spans="1:9" x14ac:dyDescent="0.25">
      <c r="A71">
        <v>15000</v>
      </c>
      <c r="B71" s="6">
        <f t="shared" si="7"/>
        <v>6123333.3333000001</v>
      </c>
      <c r="D71" s="4">
        <v>0.4</v>
      </c>
      <c r="E71" s="7">
        <f t="shared" si="8"/>
        <v>8572666.6666199993</v>
      </c>
      <c r="F71" s="7">
        <f t="shared" si="9"/>
        <v>2449333.3333199993</v>
      </c>
      <c r="G71" s="4">
        <f t="shared" si="10"/>
        <v>0.28571428571428564</v>
      </c>
      <c r="I71" s="7">
        <f t="shared" si="11"/>
        <v>571.51111110799991</v>
      </c>
    </row>
    <row r="72" spans="1:9" x14ac:dyDescent="0.25">
      <c r="A72">
        <v>20000</v>
      </c>
      <c r="B72" s="6">
        <f t="shared" si="7"/>
        <v>8143333.3333000001</v>
      </c>
      <c r="D72" s="4">
        <v>0.4</v>
      </c>
      <c r="E72" s="7">
        <f t="shared" si="8"/>
        <v>11400666.666619999</v>
      </c>
      <c r="F72" s="7">
        <f t="shared" si="9"/>
        <v>3257333.3333199993</v>
      </c>
      <c r="G72" s="4">
        <f t="shared" si="10"/>
        <v>0.28571428571428564</v>
      </c>
      <c r="I72" s="7">
        <f t="shared" si="11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L6" sqref="L6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325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274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29.7</v>
      </c>
      <c r="C4">
        <v>21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E$12/$D$6 +1</f>
        <v>76</v>
      </c>
      <c r="F13">
        <f t="shared" ref="F13:J13" si="0">F$12/$D$6 +1</f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299</v>
      </c>
      <c r="E14">
        <f>E$13*$E$6</f>
        <v>152</v>
      </c>
      <c r="F14">
        <f t="shared" ref="F14:J14" si="1">F$13*$E$6</f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293</v>
      </c>
      <c r="E15" s="36">
        <f>PhiMayInToner4M(E$14)</f>
        <v>177941.3333</v>
      </c>
      <c r="F15" s="36">
        <f t="shared" ref="F15:J15" si="2">PhiMayInToner4M(F$14)</f>
        <v>140241.3333</v>
      </c>
      <c r="G15" s="36">
        <f t="shared" si="2"/>
        <v>177941.3333</v>
      </c>
      <c r="H15" s="36">
        <f t="shared" si="2"/>
        <v>215641.3333</v>
      </c>
      <c r="I15" s="36">
        <f t="shared" si="2"/>
        <v>253341.3333</v>
      </c>
      <c r="J15" s="36">
        <f t="shared" si="2"/>
        <v>291041.3333</v>
      </c>
    </row>
    <row r="16" spans="1:10" x14ac:dyDescent="0.25">
      <c r="A16" s="2" t="s">
        <v>301</v>
      </c>
      <c r="E16" s="36">
        <f>E$15*2</f>
        <v>355882.6666</v>
      </c>
      <c r="F16" s="36">
        <f t="shared" ref="F16:J16" si="3">F$15*2</f>
        <v>280482.6666</v>
      </c>
      <c r="G16" s="36">
        <f t="shared" si="3"/>
        <v>355882.6666</v>
      </c>
      <c r="H16" s="36">
        <f t="shared" si="3"/>
        <v>431282.6666</v>
      </c>
      <c r="I16" s="36">
        <f t="shared" si="3"/>
        <v>506682.6666</v>
      </c>
      <c r="J16" s="36">
        <f t="shared" si="3"/>
        <v>582082.6666</v>
      </c>
    </row>
    <row r="17" spans="1:10" ht="30" x14ac:dyDescent="0.25">
      <c r="A17" s="2" t="s">
        <v>294</v>
      </c>
      <c r="E17" s="29">
        <f t="shared" ref="E17:J17" si="4">E$15*(1+$D$7)</f>
        <v>311397.33327499998</v>
      </c>
      <c r="F17" s="29">
        <f t="shared" si="4"/>
        <v>245422.33327499998</v>
      </c>
      <c r="G17" s="29">
        <f t="shared" si="4"/>
        <v>311397.33327499998</v>
      </c>
      <c r="H17" s="29">
        <f t="shared" si="4"/>
        <v>377372.33327499998</v>
      </c>
      <c r="I17" s="29">
        <f t="shared" si="4"/>
        <v>443347.33327499998</v>
      </c>
      <c r="J17" s="29">
        <f t="shared" si="4"/>
        <v>509322.33327499998</v>
      </c>
    </row>
    <row r="18" spans="1:10" ht="30" x14ac:dyDescent="0.25">
      <c r="A18" s="2" t="s">
        <v>297</v>
      </c>
      <c r="E18" s="29">
        <f>E$16*(1+$D$7)</f>
        <v>622794.66654999997</v>
      </c>
      <c r="F18" s="29">
        <f t="shared" ref="F18:J18" si="5">F$16*(1+$D$7)</f>
        <v>490844.66654999997</v>
      </c>
      <c r="G18" s="29">
        <f t="shared" si="5"/>
        <v>622794.66654999997</v>
      </c>
      <c r="H18" s="29">
        <f t="shared" si="5"/>
        <v>754744.66654999997</v>
      </c>
      <c r="I18" s="29">
        <f t="shared" si="5"/>
        <v>886694.66654999997</v>
      </c>
      <c r="J18" s="29">
        <f t="shared" si="5"/>
        <v>1018644.66655</v>
      </c>
    </row>
    <row r="19" spans="1:10" x14ac:dyDescent="0.25">
      <c r="A19" s="2" t="s">
        <v>289</v>
      </c>
      <c r="E19" s="7">
        <f>E$17/E$13</f>
        <v>4097.3333325657895</v>
      </c>
      <c r="F19" s="7">
        <f t="shared" ref="F19:J19" si="6">F$17/F$13</f>
        <v>4812.2026132352939</v>
      </c>
      <c r="G19" s="7">
        <f t="shared" si="6"/>
        <v>4097.3333325657895</v>
      </c>
      <c r="H19" s="7">
        <f t="shared" si="6"/>
        <v>3736.3597353960395</v>
      </c>
      <c r="I19" s="7">
        <f t="shared" si="6"/>
        <v>3518.6296291666667</v>
      </c>
      <c r="J19" s="7">
        <f t="shared" si="6"/>
        <v>3372.9955846026487</v>
      </c>
    </row>
    <row r="20" spans="1:10" x14ac:dyDescent="0.25">
      <c r="A20" s="2" t="s">
        <v>291</v>
      </c>
      <c r="E20" s="7">
        <f>E$17/E$14</f>
        <v>2048.6666662828948</v>
      </c>
      <c r="F20" s="7">
        <f t="shared" ref="F20:J20" si="7">F$17/F$14</f>
        <v>2406.101306617647</v>
      </c>
      <c r="G20" s="7">
        <f t="shared" si="7"/>
        <v>2048.6666662828948</v>
      </c>
      <c r="H20" s="7">
        <f t="shared" si="7"/>
        <v>1868.1798676980197</v>
      </c>
      <c r="I20" s="7">
        <f t="shared" si="7"/>
        <v>1759.3148145833334</v>
      </c>
      <c r="J20" s="7">
        <f t="shared" si="7"/>
        <v>1686.4977923013244</v>
      </c>
    </row>
    <row r="21" spans="1:10" x14ac:dyDescent="0.25">
      <c r="A21" s="2" t="s">
        <v>292</v>
      </c>
      <c r="E21" s="29">
        <f>$E$9*E$13</f>
        <v>68495</v>
      </c>
      <c r="F21" s="29">
        <f>$E$9*F$13</f>
        <v>45963.75</v>
      </c>
      <c r="G21" s="29">
        <f t="shared" ref="G21:J21" si="8">$E$9*G$13</f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295</v>
      </c>
      <c r="E22" s="29">
        <f>E$17+E$21</f>
        <v>379892.33327499998</v>
      </c>
      <c r="F22" s="29">
        <f t="shared" ref="F22:J22" si="9">F$17+F$21</f>
        <v>291386.08327499998</v>
      </c>
      <c r="G22" s="29">
        <f t="shared" si="9"/>
        <v>379892.33327499998</v>
      </c>
      <c r="H22" s="29">
        <f t="shared" si="9"/>
        <v>468398.58327499998</v>
      </c>
      <c r="I22" s="29">
        <f t="shared" si="9"/>
        <v>556904.83327499998</v>
      </c>
      <c r="J22" s="29">
        <f t="shared" si="9"/>
        <v>645411.08327499998</v>
      </c>
    </row>
    <row r="23" spans="1:10" ht="30" x14ac:dyDescent="0.25">
      <c r="A23" s="2" t="s">
        <v>296</v>
      </c>
      <c r="E23" s="29">
        <f>E$18+E$21</f>
        <v>691289.66654999997</v>
      </c>
      <c r="F23" s="29">
        <f t="shared" ref="F23:J23" si="10">F$18+F$21</f>
        <v>536808.41654999997</v>
      </c>
      <c r="G23" s="29">
        <f t="shared" si="10"/>
        <v>691289.66654999997</v>
      </c>
      <c r="H23" s="29">
        <f t="shared" si="10"/>
        <v>845770.91654999997</v>
      </c>
      <c r="I23" s="29">
        <f t="shared" si="10"/>
        <v>1000252.16655</v>
      </c>
      <c r="J23" s="29">
        <f t="shared" si="10"/>
        <v>1154733.41655</v>
      </c>
    </row>
    <row r="24" spans="1:10" x14ac:dyDescent="0.25">
      <c r="A24" s="2"/>
    </row>
    <row r="25" spans="1:10" x14ac:dyDescent="0.25">
      <c r="A25" s="2" t="s">
        <v>365</v>
      </c>
      <c r="E25" s="7">
        <f>E$22-MOD(E$22,1000)</f>
        <v>379000</v>
      </c>
      <c r="F25" s="7">
        <f t="shared" ref="F25:J25" si="11">F$22-MOD(F$22,1000)</f>
        <v>291000</v>
      </c>
      <c r="G25" s="7">
        <f t="shared" si="11"/>
        <v>379000</v>
      </c>
      <c r="H25" s="7">
        <f t="shared" si="11"/>
        <v>468000</v>
      </c>
      <c r="I25" s="7">
        <f t="shared" si="11"/>
        <v>556000</v>
      </c>
      <c r="J25" s="7">
        <f t="shared" si="11"/>
        <v>645000</v>
      </c>
    </row>
    <row r="26" spans="1:10" x14ac:dyDescent="0.25">
      <c r="A26" s="2" t="s">
        <v>366</v>
      </c>
      <c r="E26" s="7">
        <f>E$23-MOD(E$23,1000)</f>
        <v>691000</v>
      </c>
      <c r="F26" s="7">
        <f t="shared" ref="F26:J26" si="12">F$23-MOD(F$23,1000)</f>
        <v>536000</v>
      </c>
      <c r="G26" s="7">
        <f t="shared" si="12"/>
        <v>691000</v>
      </c>
      <c r="H26" s="7">
        <f t="shared" si="12"/>
        <v>845000</v>
      </c>
      <c r="I26" s="7">
        <f t="shared" si="12"/>
        <v>1000000</v>
      </c>
      <c r="J26" s="7">
        <f t="shared" si="12"/>
        <v>1154000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21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14</v>
      </c>
      <c r="F13">
        <f t="shared" ref="F13:J13" si="0">ROUNDUP(F$12/$D$6 +1,0)</f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299</v>
      </c>
      <c r="E14">
        <f>E$13*$E$6</f>
        <v>28</v>
      </c>
      <c r="F14">
        <f t="shared" ref="F14:J14" si="1">F$13*$E$6</f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293</v>
      </c>
      <c r="E15" s="36">
        <f>PhiMayInToner4M(E$14)</f>
        <v>84445.333299999998</v>
      </c>
      <c r="F15" s="36">
        <f t="shared" ref="F15:J15" si="2">PhiMayInToner4M(F$14)</f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301</v>
      </c>
      <c r="E16" s="36">
        <f>E$15*2</f>
        <v>168890.6666</v>
      </c>
      <c r="F16" s="36">
        <f t="shared" ref="F16:J16" si="3">F$15*2</f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294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297</v>
      </c>
      <c r="E18" s="29">
        <f>E$16*(1+$D$7)</f>
        <v>295558.66654999997</v>
      </c>
      <c r="F18" s="29">
        <f t="shared" ref="F18:J18" si="5">F$16*(1+$D$7)</f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289</v>
      </c>
      <c r="E19" s="7">
        <f>E$17/E$13</f>
        <v>10555.666662499998</v>
      </c>
      <c r="F19" s="7">
        <f t="shared" ref="F19:J19" si="6">F$17/F$13</f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291</v>
      </c>
      <c r="E20" s="7">
        <f>E$17/E$14</f>
        <v>5277.833331249999</v>
      </c>
      <c r="F20" s="7">
        <f t="shared" ref="F20:J20" si="7">F$17/F$14</f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292</v>
      </c>
      <c r="E21" s="29">
        <f>$E$9*E$13</f>
        <v>12617.5</v>
      </c>
      <c r="F21" s="29">
        <f>$E$9*F$13</f>
        <v>23432.5</v>
      </c>
      <c r="G21" s="29">
        <f t="shared" ref="G21:J21" si="8">$E$9*G$13</f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295</v>
      </c>
      <c r="E22" s="29">
        <f>E$17+E$21</f>
        <v>160396.83327499998</v>
      </c>
      <c r="F22" s="29">
        <f t="shared" ref="F22:J22" si="9">F$17+F$21</f>
        <v>202879.83327499998</v>
      </c>
      <c r="G22" s="29">
        <f t="shared" si="9"/>
        <v>248903.08327499998</v>
      </c>
      <c r="H22" s="29">
        <f t="shared" si="9"/>
        <v>291386.08327499998</v>
      </c>
      <c r="I22" s="29">
        <f t="shared" si="9"/>
        <v>337409.33327499998</v>
      </c>
      <c r="J22" s="29">
        <f t="shared" si="9"/>
        <v>379892.33327499998</v>
      </c>
    </row>
    <row r="23" spans="1:10" ht="30" x14ac:dyDescent="0.25">
      <c r="A23" s="2" t="s">
        <v>296</v>
      </c>
      <c r="E23" s="29">
        <f>E$18+E$21</f>
        <v>308176.16654999997</v>
      </c>
      <c r="F23" s="29">
        <f t="shared" ref="F23:J23" si="10">F$18+F$21</f>
        <v>382327.16654999997</v>
      </c>
      <c r="G23" s="29">
        <f t="shared" si="10"/>
        <v>462657.41654999997</v>
      </c>
      <c r="H23" s="29">
        <f t="shared" si="10"/>
        <v>536808.41654999997</v>
      </c>
      <c r="I23" s="29">
        <f t="shared" si="10"/>
        <v>617138.66654999997</v>
      </c>
      <c r="J23" s="29">
        <f t="shared" si="10"/>
        <v>691289.66654999997</v>
      </c>
    </row>
    <row r="24" spans="1:10" x14ac:dyDescent="0.25">
      <c r="A24" s="2"/>
    </row>
    <row r="25" spans="1:10" x14ac:dyDescent="0.25">
      <c r="A25" s="2" t="s">
        <v>365</v>
      </c>
      <c r="E25" s="7">
        <f>E$22-MOD(E$22,1000)</f>
        <v>160000</v>
      </c>
      <c r="F25" s="7">
        <f t="shared" ref="F25:J25" si="11">F$22-MOD(F$22,1000)</f>
        <v>202000</v>
      </c>
      <c r="G25" s="7">
        <f t="shared" si="11"/>
        <v>248000</v>
      </c>
      <c r="H25" s="7">
        <f t="shared" si="11"/>
        <v>291000</v>
      </c>
      <c r="I25" s="7">
        <f t="shared" si="11"/>
        <v>337000</v>
      </c>
      <c r="J25" s="7">
        <f t="shared" si="11"/>
        <v>379000</v>
      </c>
    </row>
    <row r="26" spans="1:10" x14ac:dyDescent="0.25">
      <c r="A26" s="2" t="s">
        <v>366</v>
      </c>
      <c r="E26" s="7">
        <f>E$23-MOD(E$23,1000)</f>
        <v>308000</v>
      </c>
      <c r="F26" s="7">
        <f t="shared" ref="F26:J26" si="12">F$23-MOD(F$23,1000)</f>
        <v>382000</v>
      </c>
      <c r="G26" s="7">
        <f t="shared" si="12"/>
        <v>462000</v>
      </c>
      <c r="H26" s="7">
        <f t="shared" si="12"/>
        <v>536000</v>
      </c>
      <c r="I26" s="7">
        <f t="shared" si="12"/>
        <v>617000</v>
      </c>
      <c r="J26" s="7">
        <f t="shared" si="12"/>
        <v>691000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8</v>
      </c>
      <c r="F13">
        <f t="shared" ref="F13:J13" si="0">ROUNDUP(F$12/$D$6 +1,0)</f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299</v>
      </c>
      <c r="E14">
        <f>E$13*$E$6</f>
        <v>16</v>
      </c>
      <c r="F14">
        <f t="shared" ref="F14:J14" si="1">F$13*$E$6</f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293</v>
      </c>
      <c r="E15" s="36">
        <f>PhiMayInToner4M(E$14)</f>
        <v>75397.333299999998</v>
      </c>
      <c r="F15" s="36">
        <f t="shared" ref="F15:J15" si="2">PhiMayInToner4M(F$14)</f>
        <v>84445.333299999998</v>
      </c>
      <c r="G15" s="36">
        <f t="shared" si="2"/>
        <v>93493.333299999998</v>
      </c>
      <c r="H15" s="36">
        <f t="shared" si="2"/>
        <v>102541.3333</v>
      </c>
      <c r="I15" s="36">
        <f t="shared" si="2"/>
        <v>113097.3333</v>
      </c>
      <c r="J15" s="36">
        <f t="shared" si="2"/>
        <v>122145.3333</v>
      </c>
    </row>
    <row r="16" spans="1:10" x14ac:dyDescent="0.25">
      <c r="A16" s="2" t="s">
        <v>301</v>
      </c>
      <c r="E16" s="36">
        <f>E$15*2</f>
        <v>150794.6666</v>
      </c>
      <c r="F16" s="36">
        <f t="shared" ref="F16:J16" si="3">F$15*2</f>
        <v>168890.6666</v>
      </c>
      <c r="G16" s="36">
        <f t="shared" si="3"/>
        <v>186986.6666</v>
      </c>
      <c r="H16" s="36">
        <f t="shared" si="3"/>
        <v>205082.6666</v>
      </c>
      <c r="I16" s="36">
        <f t="shared" si="3"/>
        <v>226194.6666</v>
      </c>
      <c r="J16" s="36">
        <f t="shared" si="3"/>
        <v>244290.6666</v>
      </c>
    </row>
    <row r="17" spans="1:10" ht="30" x14ac:dyDescent="0.25">
      <c r="A17" s="2" t="s">
        <v>294</v>
      </c>
      <c r="E17" s="29">
        <f t="shared" ref="E17:J17" si="4">E$15*(1+$D$7)</f>
        <v>131945.33327499998</v>
      </c>
      <c r="F17" s="29">
        <f t="shared" si="4"/>
        <v>147779.33327499998</v>
      </c>
      <c r="G17" s="29">
        <f t="shared" si="4"/>
        <v>163613.33327499998</v>
      </c>
      <c r="H17" s="29">
        <f t="shared" si="4"/>
        <v>179447.33327499998</v>
      </c>
      <c r="I17" s="29">
        <f t="shared" si="4"/>
        <v>197920.33327499998</v>
      </c>
      <c r="J17" s="29">
        <f t="shared" si="4"/>
        <v>213754.33327499998</v>
      </c>
    </row>
    <row r="18" spans="1:10" ht="30" x14ac:dyDescent="0.25">
      <c r="A18" s="2" t="s">
        <v>297</v>
      </c>
      <c r="E18" s="29">
        <f>E$16*(1+$D$7)</f>
        <v>263890.66654999997</v>
      </c>
      <c r="F18" s="29">
        <f t="shared" ref="F18:J18" si="5">F$16*(1+$D$7)</f>
        <v>295558.66654999997</v>
      </c>
      <c r="G18" s="29">
        <f t="shared" si="5"/>
        <v>327226.66654999997</v>
      </c>
      <c r="H18" s="29">
        <f t="shared" si="5"/>
        <v>358894.66654999997</v>
      </c>
      <c r="I18" s="29">
        <f t="shared" si="5"/>
        <v>395840.66654999997</v>
      </c>
      <c r="J18" s="29">
        <f t="shared" si="5"/>
        <v>427508.66654999997</v>
      </c>
    </row>
    <row r="19" spans="1:10" x14ac:dyDescent="0.25">
      <c r="A19" s="2" t="s">
        <v>289</v>
      </c>
      <c r="E19" s="7">
        <f>E$17/E$13</f>
        <v>16493.166659374998</v>
      </c>
      <c r="F19" s="7">
        <f t="shared" ref="F19:J19" si="6">F$17/F$13</f>
        <v>10555.666662499998</v>
      </c>
      <c r="G19" s="7">
        <f t="shared" si="6"/>
        <v>8180.6666637499993</v>
      </c>
      <c r="H19" s="7">
        <f t="shared" si="6"/>
        <v>6901.8205105769221</v>
      </c>
      <c r="I19" s="7">
        <f t="shared" si="6"/>
        <v>5997.5858568181811</v>
      </c>
      <c r="J19" s="7">
        <f t="shared" si="6"/>
        <v>5480.880340384615</v>
      </c>
    </row>
    <row r="20" spans="1:10" x14ac:dyDescent="0.25">
      <c r="A20" s="2" t="s">
        <v>291</v>
      </c>
      <c r="E20" s="7">
        <f>E$17/E$14</f>
        <v>8246.5833296874989</v>
      </c>
      <c r="F20" s="7">
        <f t="shared" ref="F20:J20" si="7">F$17/F$14</f>
        <v>5277.833331249999</v>
      </c>
      <c r="G20" s="7">
        <f t="shared" si="7"/>
        <v>4090.3333318749997</v>
      </c>
      <c r="H20" s="7">
        <f t="shared" si="7"/>
        <v>3450.910255288461</v>
      </c>
      <c r="I20" s="7">
        <f t="shared" si="7"/>
        <v>2998.7929284090906</v>
      </c>
      <c r="J20" s="7">
        <f t="shared" si="7"/>
        <v>2740.4401701923075</v>
      </c>
    </row>
    <row r="21" spans="1:10" x14ac:dyDescent="0.25">
      <c r="A21" s="2" t="s">
        <v>292</v>
      </c>
      <c r="E21" s="29">
        <f>$E$9*E$13</f>
        <v>7210</v>
      </c>
      <c r="F21" s="29">
        <f>$E$9*F$13</f>
        <v>12617.5</v>
      </c>
      <c r="G21" s="29">
        <f t="shared" ref="G21:J21" si="8">$E$9*G$13</f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295</v>
      </c>
      <c r="E22" s="29">
        <f>E$17+E$21</f>
        <v>139155.33327499998</v>
      </c>
      <c r="F22" s="29">
        <f t="shared" ref="F22:J22" si="9">F$17+F$21</f>
        <v>160396.83327499998</v>
      </c>
      <c r="G22" s="29">
        <f t="shared" si="9"/>
        <v>181638.33327499998</v>
      </c>
      <c r="H22" s="29">
        <f t="shared" si="9"/>
        <v>202879.83327499998</v>
      </c>
      <c r="I22" s="29">
        <f t="shared" si="9"/>
        <v>227661.58327499998</v>
      </c>
      <c r="J22" s="29">
        <f t="shared" si="9"/>
        <v>248903.08327499998</v>
      </c>
    </row>
    <row r="23" spans="1:10" ht="30" x14ac:dyDescent="0.25">
      <c r="A23" s="2" t="s">
        <v>296</v>
      </c>
      <c r="E23" s="29">
        <f>E$18+E$21</f>
        <v>271100.66654999997</v>
      </c>
      <c r="F23" s="29">
        <f t="shared" ref="F23:J23" si="10">F$18+F$21</f>
        <v>308176.16654999997</v>
      </c>
      <c r="G23" s="29">
        <f t="shared" si="10"/>
        <v>345251.66654999997</v>
      </c>
      <c r="H23" s="29">
        <f t="shared" si="10"/>
        <v>382327.16654999997</v>
      </c>
      <c r="I23" s="29">
        <f t="shared" si="10"/>
        <v>425581.91654999997</v>
      </c>
      <c r="J23" s="29">
        <f t="shared" si="10"/>
        <v>462657.41654999997</v>
      </c>
    </row>
    <row r="24" spans="1:10" x14ac:dyDescent="0.25">
      <c r="A24" s="2"/>
    </row>
    <row r="25" spans="1:10" x14ac:dyDescent="0.25">
      <c r="A25" s="2" t="s">
        <v>365</v>
      </c>
      <c r="E25" s="7">
        <f>E$22-MOD(E$22,1000)</f>
        <v>139000</v>
      </c>
      <c r="F25" s="7">
        <f t="shared" ref="F25:J25" si="11">F$22-MOD(F$22,1000)</f>
        <v>160000</v>
      </c>
      <c r="G25" s="7">
        <f t="shared" si="11"/>
        <v>181000</v>
      </c>
      <c r="H25" s="7">
        <f t="shared" si="11"/>
        <v>202000</v>
      </c>
      <c r="I25" s="7">
        <f t="shared" si="11"/>
        <v>227000</v>
      </c>
      <c r="J25" s="7">
        <f t="shared" si="11"/>
        <v>248000</v>
      </c>
    </row>
    <row r="26" spans="1:10" x14ac:dyDescent="0.25">
      <c r="A26" s="2" t="s">
        <v>366</v>
      </c>
      <c r="E26" s="7">
        <f>E$23-MOD(E$23,1000)</f>
        <v>271000</v>
      </c>
      <c r="F26" s="7">
        <f t="shared" ref="F26:J26" si="12">F$23-MOD(F$23,1000)</f>
        <v>308000</v>
      </c>
      <c r="G26" s="7">
        <f t="shared" si="12"/>
        <v>345000</v>
      </c>
      <c r="H26" s="7">
        <f t="shared" si="12"/>
        <v>382000</v>
      </c>
      <c r="I26" s="7">
        <f t="shared" si="12"/>
        <v>425000</v>
      </c>
      <c r="J26" s="7">
        <f t="shared" si="12"/>
        <v>462000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6"/>
  <sheetViews>
    <sheetView workbookViewId="0">
      <selection activeCell="C13" sqref="A1:XFD104857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305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10</v>
      </c>
      <c r="F13">
        <f t="shared" ref="F13:J13" si="0">ROUNDUP(F$12/$D$6 +1,0)</f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299</v>
      </c>
      <c r="E14">
        <f>E$13*$E$6</f>
        <v>20</v>
      </c>
      <c r="F14">
        <f t="shared" ref="F14:J14" si="1">F$13*$E$6</f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293</v>
      </c>
      <c r="E15" s="36">
        <f>PhiMayInToner4M(E$14)</f>
        <v>78413.333299999998</v>
      </c>
      <c r="F15" s="36">
        <f t="shared" ref="F15:J15" si="2">PhiMayInToner4M(F$14)</f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301</v>
      </c>
      <c r="E16" s="36">
        <f>E$15*2</f>
        <v>156826.6666</v>
      </c>
      <c r="F16" s="36">
        <f t="shared" ref="F16:J16" si="3">F$15*2</f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294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297</v>
      </c>
      <c r="E18" s="29">
        <f>E$16*(1+$D$7)</f>
        <v>274446.66654999997</v>
      </c>
      <c r="F18" s="29">
        <f t="shared" ref="F18:J18" si="5">F$16*(1+$D$7)</f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289</v>
      </c>
      <c r="E19" s="7">
        <f>E$17/E$13</f>
        <v>13722.333327499999</v>
      </c>
      <c r="F19" s="7">
        <f t="shared" ref="F19:J19" si="6">F$17/F$13</f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291</v>
      </c>
      <c r="E20" s="7">
        <f>E$17/E$14</f>
        <v>6861.1666637499993</v>
      </c>
      <c r="F20" s="7">
        <f t="shared" ref="F20:J20" si="7">F$17/F$14</f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292</v>
      </c>
      <c r="E21" s="29">
        <f>$E$9*E$13</f>
        <v>9012.5</v>
      </c>
      <c r="F21" s="29">
        <f>$E$9*F$13</f>
        <v>16222.5</v>
      </c>
      <c r="G21" s="29">
        <f t="shared" ref="G21:J21" si="8">$E$9*G$13</f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295</v>
      </c>
      <c r="E22" s="29">
        <f>E$17+E$21</f>
        <v>146235.83327499998</v>
      </c>
      <c r="F22" s="29">
        <f t="shared" ref="F22:J22" si="9">F$17+F$21</f>
        <v>174557.83327499998</v>
      </c>
      <c r="G22" s="29">
        <f t="shared" si="9"/>
        <v>202879.83327499998</v>
      </c>
      <c r="H22" s="29">
        <f t="shared" si="9"/>
        <v>234742.08327499998</v>
      </c>
      <c r="I22" s="29">
        <f t="shared" si="9"/>
        <v>263064.08327499998</v>
      </c>
      <c r="J22" s="29">
        <f t="shared" si="9"/>
        <v>291386.08327499998</v>
      </c>
    </row>
    <row r="23" spans="1:10" ht="30" x14ac:dyDescent="0.25">
      <c r="A23" s="2" t="s">
        <v>296</v>
      </c>
      <c r="E23" s="29">
        <f>E$18+E$21</f>
        <v>283459.16654999997</v>
      </c>
      <c r="F23" s="29">
        <f t="shared" ref="F23:J23" si="10">F$18+F$21</f>
        <v>332893.16654999997</v>
      </c>
      <c r="G23" s="29">
        <f t="shared" si="10"/>
        <v>382327.16654999997</v>
      </c>
      <c r="H23" s="29">
        <f t="shared" si="10"/>
        <v>437940.41654999997</v>
      </c>
      <c r="I23" s="29">
        <f t="shared" si="10"/>
        <v>487374.41654999997</v>
      </c>
      <c r="J23" s="29">
        <f t="shared" si="10"/>
        <v>536808.41654999997</v>
      </c>
    </row>
    <row r="24" spans="1:10" x14ac:dyDescent="0.25">
      <c r="A24" s="2"/>
    </row>
    <row r="25" spans="1:10" x14ac:dyDescent="0.25">
      <c r="A25" s="2" t="s">
        <v>365</v>
      </c>
      <c r="E25" s="7">
        <f>E$22-MOD(E$22,1000)</f>
        <v>146000</v>
      </c>
      <c r="F25" s="7">
        <f t="shared" ref="F25:J25" si="11">F$22-MOD(F$22,1000)</f>
        <v>174000</v>
      </c>
      <c r="G25" s="7">
        <f t="shared" si="11"/>
        <v>202000</v>
      </c>
      <c r="H25" s="7">
        <f t="shared" si="11"/>
        <v>234000</v>
      </c>
      <c r="I25" s="7">
        <f t="shared" si="11"/>
        <v>263000</v>
      </c>
      <c r="J25" s="7">
        <f t="shared" si="11"/>
        <v>291000</v>
      </c>
    </row>
    <row r="26" spans="1:10" x14ac:dyDescent="0.25">
      <c r="A26" s="2" t="s">
        <v>366</v>
      </c>
      <c r="E26" s="7">
        <f>E$23-MOD(E$23,1000)</f>
        <v>283000</v>
      </c>
      <c r="F26" s="7">
        <f t="shared" ref="F26:J26" si="12">F$23-MOD(F$23,1000)</f>
        <v>332000</v>
      </c>
      <c r="G26" s="7">
        <f t="shared" si="12"/>
        <v>382000</v>
      </c>
      <c r="H26" s="7">
        <f t="shared" si="12"/>
        <v>437000</v>
      </c>
      <c r="I26" s="7">
        <f t="shared" si="12"/>
        <v>487000</v>
      </c>
      <c r="J26" s="7">
        <f t="shared" si="12"/>
        <v>536000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40"/>
  <sheetViews>
    <sheetView topLeftCell="A17" workbookViewId="0">
      <selection activeCell="E40" sqref="E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314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29.7</v>
      </c>
      <c r="C4">
        <v>21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268</v>
      </c>
      <c r="C10" t="s">
        <v>269</v>
      </c>
      <c r="D10">
        <v>700</v>
      </c>
      <c r="E10" s="7">
        <f>D10*(1+$D$8)</f>
        <v>1225</v>
      </c>
    </row>
    <row r="11" spans="1:18" x14ac:dyDescent="0.25">
      <c r="B11" t="s">
        <v>270</v>
      </c>
      <c r="C11" t="s">
        <v>271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369</v>
      </c>
    </row>
    <row r="16" spans="1:18" x14ac:dyDescent="0.25">
      <c r="A16" s="1" t="s">
        <v>279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298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299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293</v>
      </c>
      <c r="E19" s="36">
        <f>PhiMayInToner4M(E$18)</f>
        <v>102541.3333</v>
      </c>
      <c r="F19" s="36">
        <f t="shared" ref="F19:R19" si="4">PhiMayInToner4M(F$18)</f>
        <v>140241.3333</v>
      </c>
      <c r="G19" s="36">
        <f t="shared" si="4"/>
        <v>177941.3333</v>
      </c>
      <c r="H19" s="36">
        <f t="shared" si="4"/>
        <v>215641.3333</v>
      </c>
      <c r="I19" s="36">
        <f t="shared" si="4"/>
        <v>253341.3333</v>
      </c>
      <c r="J19" s="36">
        <f t="shared" si="4"/>
        <v>291041.3333</v>
      </c>
      <c r="L19" s="36">
        <f t="shared" si="4"/>
        <v>64841.333299999998</v>
      </c>
      <c r="M19" s="36">
        <f t="shared" si="4"/>
        <v>102541.3333</v>
      </c>
      <c r="N19" s="36">
        <f t="shared" si="4"/>
        <v>140241.3333</v>
      </c>
      <c r="O19" s="36">
        <f t="shared" si="4"/>
        <v>177941.3333</v>
      </c>
      <c r="P19" s="36">
        <f t="shared" si="4"/>
        <v>215641.3333</v>
      </c>
      <c r="Q19" s="36">
        <f t="shared" si="4"/>
        <v>253341.3333</v>
      </c>
      <c r="R19" s="36">
        <f t="shared" si="4"/>
        <v>291041.3333</v>
      </c>
    </row>
    <row r="20" spans="1:18" x14ac:dyDescent="0.25">
      <c r="A20" s="2" t="s">
        <v>301</v>
      </c>
      <c r="E20" s="36">
        <f>E$19*2</f>
        <v>205082.6666</v>
      </c>
      <c r="F20" s="36">
        <f t="shared" ref="F20:R20" si="5">F$19*2</f>
        <v>280482.6666</v>
      </c>
      <c r="G20" s="36">
        <f t="shared" si="5"/>
        <v>355882.6666</v>
      </c>
      <c r="H20" s="36">
        <f t="shared" si="5"/>
        <v>431282.6666</v>
      </c>
      <c r="I20" s="36">
        <f t="shared" si="5"/>
        <v>506682.6666</v>
      </c>
      <c r="J20" s="36">
        <f t="shared" si="5"/>
        <v>582082.6666</v>
      </c>
      <c r="L20" s="36">
        <f t="shared" si="5"/>
        <v>129682.6666</v>
      </c>
      <c r="M20" s="36">
        <f t="shared" si="5"/>
        <v>205082.6666</v>
      </c>
      <c r="N20" s="36">
        <f t="shared" si="5"/>
        <v>280482.6666</v>
      </c>
      <c r="O20" s="36">
        <f t="shared" si="5"/>
        <v>355882.6666</v>
      </c>
      <c r="P20" s="36">
        <f t="shared" si="5"/>
        <v>431282.6666</v>
      </c>
      <c r="Q20" s="36">
        <f t="shared" si="5"/>
        <v>506682.6666</v>
      </c>
      <c r="R20" s="36">
        <f t="shared" si="5"/>
        <v>582082.6666</v>
      </c>
    </row>
    <row r="21" spans="1:18" ht="30" x14ac:dyDescent="0.25">
      <c r="A21" s="2" t="s">
        <v>294</v>
      </c>
      <c r="E21" s="29">
        <f t="shared" ref="E21:J21" si="6">E$19*(1+$D$8)</f>
        <v>179447.33327499998</v>
      </c>
      <c r="F21" s="29">
        <f t="shared" si="6"/>
        <v>245422.33327499998</v>
      </c>
      <c r="G21" s="29">
        <f t="shared" si="6"/>
        <v>311397.33327499998</v>
      </c>
      <c r="H21" s="29">
        <f t="shared" si="6"/>
        <v>377372.33327499998</v>
      </c>
      <c r="I21" s="29">
        <f t="shared" si="6"/>
        <v>443347.33327499998</v>
      </c>
      <c r="J21" s="29">
        <f t="shared" si="6"/>
        <v>509322.33327499998</v>
      </c>
      <c r="L21" s="29">
        <f>L$19*(1+$D$8)</f>
        <v>113472.333275</v>
      </c>
      <c r="M21" s="29">
        <f t="shared" ref="M21:R21" si="7">M$19*(1+$D$8)</f>
        <v>179447.33327499998</v>
      </c>
      <c r="N21" s="29">
        <f t="shared" si="7"/>
        <v>245422.33327499998</v>
      </c>
      <c r="O21" s="29">
        <f t="shared" si="7"/>
        <v>311397.33327499998</v>
      </c>
      <c r="P21" s="29">
        <f t="shared" si="7"/>
        <v>377372.33327499998</v>
      </c>
      <c r="Q21" s="29">
        <f t="shared" si="7"/>
        <v>443347.33327499998</v>
      </c>
      <c r="R21" s="29">
        <f t="shared" si="7"/>
        <v>509322.33327499998</v>
      </c>
    </row>
    <row r="22" spans="1:18" ht="30" x14ac:dyDescent="0.25">
      <c r="A22" s="2" t="s">
        <v>297</v>
      </c>
      <c r="E22" s="29">
        <f t="shared" ref="E22:J22" si="8">E$20*(1+$D$8)</f>
        <v>358894.66654999997</v>
      </c>
      <c r="F22" s="29">
        <f t="shared" si="8"/>
        <v>490844.66654999997</v>
      </c>
      <c r="G22" s="29">
        <f t="shared" si="8"/>
        <v>622794.66654999997</v>
      </c>
      <c r="H22" s="29">
        <f t="shared" si="8"/>
        <v>754744.66654999997</v>
      </c>
      <c r="I22" s="29">
        <f t="shared" si="8"/>
        <v>886694.66654999997</v>
      </c>
      <c r="J22" s="29">
        <f t="shared" si="8"/>
        <v>1018644.66655</v>
      </c>
      <c r="L22" s="29">
        <f>L$20*(1+$D$8)</f>
        <v>226944.66654999999</v>
      </c>
      <c r="M22" s="29">
        <f t="shared" ref="M22:R22" si="9">M$20*(1+$D$8)</f>
        <v>358894.66654999997</v>
      </c>
      <c r="N22" s="29">
        <f t="shared" si="9"/>
        <v>490844.66654999997</v>
      </c>
      <c r="O22" s="29">
        <f t="shared" si="9"/>
        <v>622794.66654999997</v>
      </c>
      <c r="P22" s="29">
        <f t="shared" si="9"/>
        <v>754744.66654999997</v>
      </c>
      <c r="Q22" s="29">
        <f t="shared" si="9"/>
        <v>886694.66654999997</v>
      </c>
      <c r="R22" s="29">
        <f t="shared" si="9"/>
        <v>1018644.66655</v>
      </c>
    </row>
    <row r="23" spans="1:18" x14ac:dyDescent="0.25">
      <c r="A23" s="2" t="s">
        <v>289</v>
      </c>
      <c r="E23" s="7">
        <f>E$21/E$17</f>
        <v>6901.8205105769221</v>
      </c>
      <c r="F23" s="7">
        <f t="shared" ref="F23:R23" si="10">F$21/F$17</f>
        <v>4812.2026132352939</v>
      </c>
      <c r="G23" s="7">
        <f t="shared" si="10"/>
        <v>4097.3333325657895</v>
      </c>
      <c r="H23" s="7">
        <f t="shared" si="10"/>
        <v>3736.3597353960395</v>
      </c>
      <c r="I23" s="7">
        <f t="shared" si="10"/>
        <v>3518.6296291666667</v>
      </c>
      <c r="J23" s="7">
        <f t="shared" si="10"/>
        <v>3372.9955846026487</v>
      </c>
      <c r="L23" s="7">
        <f t="shared" si="10"/>
        <v>113472.333275</v>
      </c>
      <c r="M23" s="7">
        <f t="shared" si="10"/>
        <v>6901.8205105769221</v>
      </c>
      <c r="N23" s="7">
        <f t="shared" si="10"/>
        <v>4812.2026132352939</v>
      </c>
      <c r="O23" s="7">
        <f t="shared" si="10"/>
        <v>4097.3333325657895</v>
      </c>
      <c r="P23" s="7">
        <f t="shared" si="10"/>
        <v>3736.3597353960395</v>
      </c>
      <c r="Q23" s="7">
        <f t="shared" si="10"/>
        <v>3518.6296291666667</v>
      </c>
      <c r="R23" s="7">
        <f t="shared" si="10"/>
        <v>3372.9955846026487</v>
      </c>
    </row>
    <row r="24" spans="1:18" x14ac:dyDescent="0.25">
      <c r="A24" s="2" t="s">
        <v>291</v>
      </c>
      <c r="E24" s="7">
        <f>E$21/E$18</f>
        <v>3450.910255288461</v>
      </c>
      <c r="F24" s="7">
        <f t="shared" ref="F24:R24" si="11">F$21/F$18</f>
        <v>2406.101306617647</v>
      </c>
      <c r="G24" s="7">
        <f t="shared" si="11"/>
        <v>2048.6666662828948</v>
      </c>
      <c r="H24" s="7">
        <f t="shared" si="11"/>
        <v>1868.1798676980197</v>
      </c>
      <c r="I24" s="7">
        <f t="shared" si="11"/>
        <v>1759.3148145833334</v>
      </c>
      <c r="J24" s="7">
        <f t="shared" si="11"/>
        <v>1686.4977923013244</v>
      </c>
      <c r="L24" s="7">
        <f t="shared" si="11"/>
        <v>56736.166637499999</v>
      </c>
      <c r="M24" s="7">
        <f t="shared" si="11"/>
        <v>3450.910255288461</v>
      </c>
      <c r="N24" s="7">
        <f t="shared" si="11"/>
        <v>2406.101306617647</v>
      </c>
      <c r="O24" s="7">
        <f t="shared" si="11"/>
        <v>2048.6666662828948</v>
      </c>
      <c r="P24" s="7">
        <f t="shared" si="11"/>
        <v>1868.1798676980197</v>
      </c>
      <c r="Q24" s="7">
        <f t="shared" si="11"/>
        <v>1759.3148145833334</v>
      </c>
      <c r="R24" s="7">
        <f t="shared" si="11"/>
        <v>1686.4977923013244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390744.66654999997</v>
      </c>
      <c r="F26" s="29">
        <f t="shared" ref="F26:R26" si="12">F$22+F$17*$E$10</f>
        <v>553319.66654999997</v>
      </c>
      <c r="G26" s="29">
        <f t="shared" si="12"/>
        <v>715894.66654999997</v>
      </c>
      <c r="H26" s="29">
        <f t="shared" si="12"/>
        <v>878469.66654999997</v>
      </c>
      <c r="I26" s="29">
        <f t="shared" si="12"/>
        <v>1041044.66655</v>
      </c>
      <c r="J26" s="29">
        <f t="shared" si="12"/>
        <v>1203619.66655</v>
      </c>
      <c r="L26" s="29">
        <f t="shared" si="12"/>
        <v>228169.66654999999</v>
      </c>
      <c r="M26" s="29">
        <f t="shared" si="12"/>
        <v>390744.66654999997</v>
      </c>
      <c r="N26" s="29">
        <f t="shared" si="12"/>
        <v>553319.66654999997</v>
      </c>
      <c r="O26" s="29">
        <f t="shared" si="12"/>
        <v>715894.66654999997</v>
      </c>
      <c r="P26" s="29">
        <f t="shared" si="12"/>
        <v>878469.66654999997</v>
      </c>
      <c r="Q26" s="29">
        <f t="shared" si="12"/>
        <v>1041044.66655</v>
      </c>
      <c r="R26" s="29">
        <f t="shared" si="12"/>
        <v>1203619.66655</v>
      </c>
    </row>
    <row r="27" spans="1:18" ht="30" x14ac:dyDescent="0.25">
      <c r="A27" s="2" t="s">
        <v>317</v>
      </c>
      <c r="E27" s="29">
        <f>E$22+E$17*$E$11</f>
        <v>394612.16654999997</v>
      </c>
      <c r="F27" s="29">
        <f t="shared" ref="F27:R27" si="13">F$22+F$17*$E$11</f>
        <v>560905.91654999997</v>
      </c>
      <c r="G27" s="29">
        <f t="shared" si="13"/>
        <v>727199.66654999997</v>
      </c>
      <c r="H27" s="29">
        <f t="shared" si="13"/>
        <v>893493.41654999997</v>
      </c>
      <c r="I27" s="29">
        <f t="shared" si="13"/>
        <v>1059787.16655</v>
      </c>
      <c r="J27" s="29">
        <f t="shared" si="13"/>
        <v>1226080.91655</v>
      </c>
      <c r="L27" s="29">
        <f t="shared" si="13"/>
        <v>228318.41654999999</v>
      </c>
      <c r="M27" s="29">
        <f t="shared" si="13"/>
        <v>394612.16654999997</v>
      </c>
      <c r="N27" s="29">
        <f t="shared" si="13"/>
        <v>560905.91654999997</v>
      </c>
      <c r="O27" s="29">
        <f t="shared" si="13"/>
        <v>727199.66654999997</v>
      </c>
      <c r="P27" s="29">
        <f t="shared" si="13"/>
        <v>893493.41654999997</v>
      </c>
      <c r="Q27" s="29">
        <f t="shared" si="13"/>
        <v>1059787.16655</v>
      </c>
      <c r="R27" s="29">
        <f t="shared" si="13"/>
        <v>1226080.91655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309</v>
      </c>
      <c r="E33" s="7">
        <f>PhiMayCanMang(E$17,$C$5/100, $D$5/100)*(1+$D$8)+ E$17*$E$14</f>
        <v>140828.64635</v>
      </c>
      <c r="F33" s="7">
        <f t="shared" ref="F33:J33" si="17">PhiMayCanMang(F$17,$C$5/100, $D$5/100)*(1+$D$8)+ F$17*$E$14</f>
        <v>153034.99924999999</v>
      </c>
      <c r="G33" s="7">
        <f t="shared" si="17"/>
        <v>165241.35232500001</v>
      </c>
      <c r="H33" s="7">
        <f t="shared" si="17"/>
        <v>176994.7641</v>
      </c>
      <c r="I33" s="7">
        <f t="shared" si="17"/>
        <v>189201.117</v>
      </c>
      <c r="J33" s="7">
        <f t="shared" si="17"/>
        <v>201407.4699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133315.68635</v>
      </c>
      <c r="N33" s="7">
        <f t="shared" si="18"/>
        <v>138298.03925</v>
      </c>
      <c r="O33" s="7">
        <f t="shared" si="18"/>
        <v>143280.39232500002</v>
      </c>
      <c r="P33" s="7">
        <f t="shared" si="18"/>
        <v>147809.80410000001</v>
      </c>
      <c r="Q33" s="7">
        <f t="shared" si="18"/>
        <v>152792.15700000001</v>
      </c>
      <c r="R33" s="7">
        <f t="shared" si="18"/>
        <v>157774.5099</v>
      </c>
    </row>
    <row r="34" spans="1:18" x14ac:dyDescent="0.25">
      <c r="A34" s="2" t="s">
        <v>318</v>
      </c>
      <c r="E34" s="7">
        <f>E$33/E$16</f>
        <v>2816.5729269999997</v>
      </c>
      <c r="F34" s="7">
        <f t="shared" ref="F34:J34" si="19">F$33/F$16</f>
        <v>1530.3499924999999</v>
      </c>
      <c r="G34" s="7">
        <f t="shared" si="19"/>
        <v>1101.6090155000002</v>
      </c>
      <c r="H34" s="7">
        <f t="shared" si="19"/>
        <v>884.97382049999999</v>
      </c>
      <c r="I34" s="7">
        <f t="shared" si="19"/>
        <v>756.80446800000004</v>
      </c>
      <c r="J34" s="7">
        <f t="shared" si="19"/>
        <v>671.35823300000004</v>
      </c>
      <c r="L34" s="7"/>
      <c r="M34" s="7">
        <f>M$17*$E$14/M$16</f>
        <v>150.25919999999999</v>
      </c>
      <c r="N34" s="7">
        <f t="shared" ref="N34:R34" si="20">N$17*$E$14/N$16</f>
        <v>147.36959999999999</v>
      </c>
      <c r="O34" s="7">
        <f t="shared" si="20"/>
        <v>146.40639999999999</v>
      </c>
      <c r="P34" s="7">
        <f t="shared" si="20"/>
        <v>145.9248</v>
      </c>
      <c r="Q34" s="7">
        <f t="shared" si="20"/>
        <v>145.63584</v>
      </c>
      <c r="R34" s="7">
        <f t="shared" si="20"/>
        <v>145.44319999999999</v>
      </c>
    </row>
    <row r="35" spans="1:18" x14ac:dyDescent="0.25">
      <c r="A35" s="2" t="s">
        <v>310</v>
      </c>
      <c r="E35" s="7">
        <f>PhiMayCanMang(E$17*2,$C$5/100, $D$5/100)*(1+$D$8)+ E$17*$E$14*2</f>
        <v>153323.95925000001</v>
      </c>
      <c r="F35" s="7">
        <f t="shared" ref="F35:J35" si="21">PhiMayCanMang(F$17*2,$C$5/100, $D$5/100)*(1+$D$8)+ F$17*$E$14*2</f>
        <v>177736.665225</v>
      </c>
      <c r="G35" s="7">
        <f t="shared" si="21"/>
        <v>201696.42989999999</v>
      </c>
      <c r="H35" s="7">
        <f t="shared" si="21"/>
        <v>226109.13587499998</v>
      </c>
      <c r="I35" s="7">
        <f t="shared" si="21"/>
        <v>250068.90055000002</v>
      </c>
      <c r="J35" s="7">
        <f t="shared" si="21"/>
        <v>274481.60635000002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138298.03925</v>
      </c>
      <c r="N35" s="7">
        <f t="shared" si="22"/>
        <v>148262.74522500002</v>
      </c>
      <c r="O35" s="7">
        <f t="shared" si="22"/>
        <v>157774.5099</v>
      </c>
      <c r="P35" s="7">
        <f t="shared" si="22"/>
        <v>167739.21587499999</v>
      </c>
      <c r="Q35" s="7">
        <f t="shared" si="22"/>
        <v>177250.98055000001</v>
      </c>
      <c r="R35" s="7">
        <f t="shared" si="22"/>
        <v>187215.68635</v>
      </c>
    </row>
    <row r="36" spans="1:18" x14ac:dyDescent="0.25">
      <c r="A36" s="2" t="s">
        <v>319</v>
      </c>
      <c r="E36" s="7">
        <f>E$35/E$16</f>
        <v>3066.4791850000001</v>
      </c>
      <c r="F36" s="7">
        <f t="shared" ref="F36:J36" si="23">F$35/F$16</f>
        <v>1777.36665225</v>
      </c>
      <c r="G36" s="7">
        <f t="shared" si="23"/>
        <v>1344.6428659999999</v>
      </c>
      <c r="H36" s="7">
        <f t="shared" si="23"/>
        <v>1130.545679375</v>
      </c>
      <c r="I36" s="7">
        <f t="shared" si="23"/>
        <v>1000.2756022000001</v>
      </c>
      <c r="J36" s="7">
        <f t="shared" si="23"/>
        <v>914.93868783333335</v>
      </c>
      <c r="M36" s="7">
        <f>M$17*2*$E$14/M$16</f>
        <v>300.51839999999999</v>
      </c>
      <c r="N36" s="7">
        <f t="shared" ref="N36:R36" si="24">N$17*2*$E$14/N$16</f>
        <v>294.73919999999998</v>
      </c>
      <c r="O36" s="7">
        <f t="shared" si="24"/>
        <v>292.81279999999998</v>
      </c>
      <c r="P36" s="7">
        <f t="shared" si="24"/>
        <v>291.84960000000001</v>
      </c>
      <c r="Q36" s="7">
        <f t="shared" si="24"/>
        <v>291.27168</v>
      </c>
      <c r="R36" s="7">
        <f t="shared" si="24"/>
        <v>290.88639999999998</v>
      </c>
    </row>
    <row r="39" spans="1:18" ht="30" x14ac:dyDescent="0.25">
      <c r="A39" s="2" t="s">
        <v>367</v>
      </c>
      <c r="E39" s="7">
        <f>E$26-MOD(E$26,1000)</f>
        <v>390000</v>
      </c>
      <c r="F39" s="7">
        <f t="shared" ref="F39:J39" si="25">F$26-MOD(F$26,1000)</f>
        <v>553000</v>
      </c>
      <c r="G39" s="7">
        <f t="shared" si="25"/>
        <v>715000</v>
      </c>
      <c r="H39" s="7">
        <f t="shared" si="25"/>
        <v>878000</v>
      </c>
      <c r="I39" s="7">
        <f t="shared" si="25"/>
        <v>1041000</v>
      </c>
      <c r="J39" s="7">
        <f t="shared" si="25"/>
        <v>1203000</v>
      </c>
    </row>
    <row r="40" spans="1:18" ht="30" x14ac:dyDescent="0.25">
      <c r="A40" s="2" t="s">
        <v>368</v>
      </c>
      <c r="E40" s="7">
        <f>E$27-MOD(E$27,1000)</f>
        <v>394000</v>
      </c>
      <c r="F40" s="7">
        <f t="shared" ref="F40:J40" si="26">F$27-MOD(F$27,1000)</f>
        <v>560000</v>
      </c>
      <c r="G40" s="7">
        <f t="shared" si="26"/>
        <v>727000</v>
      </c>
      <c r="H40" s="7">
        <f t="shared" si="26"/>
        <v>893000</v>
      </c>
      <c r="I40" s="7">
        <f t="shared" si="26"/>
        <v>1059000</v>
      </c>
      <c r="J40" s="7">
        <f t="shared" si="26"/>
        <v>1226000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40"/>
  <sheetViews>
    <sheetView topLeftCell="A16" workbookViewId="0">
      <selection activeCell="I42" sqref="I42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321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15</v>
      </c>
      <c r="C4">
        <v>20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268</v>
      </c>
      <c r="C10" t="s">
        <v>269</v>
      </c>
      <c r="D10">
        <v>700</v>
      </c>
      <c r="E10" s="7">
        <f>D10*(1+$D$8)</f>
        <v>1225</v>
      </c>
    </row>
    <row r="11" spans="1:18" x14ac:dyDescent="0.25">
      <c r="B11" t="s">
        <v>270</v>
      </c>
      <c r="C11" t="s">
        <v>271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322</v>
      </c>
    </row>
    <row r="16" spans="1:18" x14ac:dyDescent="0.25">
      <c r="A16" s="1" t="s">
        <v>279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298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299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293</v>
      </c>
      <c r="E19" s="36">
        <f>PhiMayInToner4M(E$18)</f>
        <v>83691.333299999998</v>
      </c>
      <c r="F19" s="36">
        <f t="shared" ref="F19:R19" si="4">PhiMayInToner4M(F$18)</f>
        <v>102541.3333</v>
      </c>
      <c r="G19" s="36">
        <f t="shared" si="4"/>
        <v>121391.3333</v>
      </c>
      <c r="H19" s="36">
        <f t="shared" si="4"/>
        <v>140241.3333</v>
      </c>
      <c r="I19" s="36">
        <f t="shared" si="4"/>
        <v>159091.3333</v>
      </c>
      <c r="J19" s="36">
        <f t="shared" si="4"/>
        <v>177941.3333</v>
      </c>
      <c r="L19" s="36">
        <f t="shared" si="4"/>
        <v>64841.333299999998</v>
      </c>
      <c r="M19" s="36">
        <f t="shared" si="4"/>
        <v>83691.333299999998</v>
      </c>
      <c r="N19" s="36">
        <f t="shared" si="4"/>
        <v>102541.3333</v>
      </c>
      <c r="O19" s="36">
        <f t="shared" si="4"/>
        <v>121391.3333</v>
      </c>
      <c r="P19" s="36">
        <f t="shared" si="4"/>
        <v>140241.3333</v>
      </c>
      <c r="Q19" s="36">
        <f t="shared" si="4"/>
        <v>159091.3333</v>
      </c>
      <c r="R19" s="36">
        <f t="shared" si="4"/>
        <v>177941.3333</v>
      </c>
    </row>
    <row r="20" spans="1:18" x14ac:dyDescent="0.25">
      <c r="A20" s="2" t="s">
        <v>301</v>
      </c>
      <c r="E20" s="36">
        <f>E$19*2</f>
        <v>167382.6666</v>
      </c>
      <c r="F20" s="36">
        <f t="shared" ref="F20:R20" si="5">F$19*2</f>
        <v>205082.6666</v>
      </c>
      <c r="G20" s="36">
        <f t="shared" si="5"/>
        <v>242782.6666</v>
      </c>
      <c r="H20" s="36">
        <f t="shared" si="5"/>
        <v>280482.6666</v>
      </c>
      <c r="I20" s="36">
        <f t="shared" si="5"/>
        <v>318182.6666</v>
      </c>
      <c r="J20" s="36">
        <f t="shared" si="5"/>
        <v>355882.6666</v>
      </c>
      <c r="L20" s="36">
        <f t="shared" si="5"/>
        <v>129682.6666</v>
      </c>
      <c r="M20" s="36">
        <f t="shared" si="5"/>
        <v>167382.6666</v>
      </c>
      <c r="N20" s="36">
        <f t="shared" si="5"/>
        <v>205082.6666</v>
      </c>
      <c r="O20" s="36">
        <f t="shared" si="5"/>
        <v>242782.6666</v>
      </c>
      <c r="P20" s="36">
        <f t="shared" si="5"/>
        <v>280482.6666</v>
      </c>
      <c r="Q20" s="36">
        <f t="shared" si="5"/>
        <v>318182.6666</v>
      </c>
      <c r="R20" s="36">
        <f t="shared" si="5"/>
        <v>355882.6666</v>
      </c>
    </row>
    <row r="21" spans="1:18" ht="30" x14ac:dyDescent="0.25">
      <c r="A21" s="2" t="s">
        <v>294</v>
      </c>
      <c r="E21" s="29">
        <f t="shared" ref="E21:J21" si="6">E$19*(1+$D$8)</f>
        <v>146459.83327499998</v>
      </c>
      <c r="F21" s="29">
        <f t="shared" si="6"/>
        <v>179447.33327499998</v>
      </c>
      <c r="G21" s="29">
        <f t="shared" si="6"/>
        <v>212434.83327499998</v>
      </c>
      <c r="H21" s="29">
        <f t="shared" si="6"/>
        <v>245422.33327499998</v>
      </c>
      <c r="I21" s="29">
        <f t="shared" si="6"/>
        <v>278409.83327499998</v>
      </c>
      <c r="J21" s="29">
        <f t="shared" si="6"/>
        <v>311397.33327499998</v>
      </c>
      <c r="L21" s="29">
        <f>L$19*(1+$D$8)</f>
        <v>113472.333275</v>
      </c>
      <c r="M21" s="29">
        <f t="shared" ref="M21:R21" si="7">M$19*(1+$D$8)</f>
        <v>146459.83327499998</v>
      </c>
      <c r="N21" s="29">
        <f t="shared" si="7"/>
        <v>179447.33327499998</v>
      </c>
      <c r="O21" s="29">
        <f t="shared" si="7"/>
        <v>212434.83327499998</v>
      </c>
      <c r="P21" s="29">
        <f t="shared" si="7"/>
        <v>245422.33327499998</v>
      </c>
      <c r="Q21" s="29">
        <f t="shared" si="7"/>
        <v>278409.83327499998</v>
      </c>
      <c r="R21" s="29">
        <f t="shared" si="7"/>
        <v>311397.33327499998</v>
      </c>
    </row>
    <row r="22" spans="1:18" ht="30" x14ac:dyDescent="0.25">
      <c r="A22" s="2" t="s">
        <v>297</v>
      </c>
      <c r="E22" s="29">
        <f t="shared" ref="E22:J22" si="8">E$20*(1+$D$8)</f>
        <v>292919.66654999997</v>
      </c>
      <c r="F22" s="29">
        <f t="shared" si="8"/>
        <v>358894.66654999997</v>
      </c>
      <c r="G22" s="29">
        <f t="shared" si="8"/>
        <v>424869.66654999997</v>
      </c>
      <c r="H22" s="29">
        <f t="shared" si="8"/>
        <v>490844.66654999997</v>
      </c>
      <c r="I22" s="29">
        <f t="shared" si="8"/>
        <v>556819.66654999997</v>
      </c>
      <c r="J22" s="29">
        <f t="shared" si="8"/>
        <v>622794.66654999997</v>
      </c>
      <c r="L22" s="29">
        <f>L$20*(1+$D$8)</f>
        <v>226944.66654999999</v>
      </c>
      <c r="M22" s="29">
        <f t="shared" ref="M22:R22" si="9">M$20*(1+$D$8)</f>
        <v>292919.66654999997</v>
      </c>
      <c r="N22" s="29">
        <f t="shared" si="9"/>
        <v>358894.66654999997</v>
      </c>
      <c r="O22" s="29">
        <f t="shared" si="9"/>
        <v>424869.66654999997</v>
      </c>
      <c r="P22" s="29">
        <f t="shared" si="9"/>
        <v>490844.66654999997</v>
      </c>
      <c r="Q22" s="29">
        <f t="shared" si="9"/>
        <v>556819.66654999997</v>
      </c>
      <c r="R22" s="29">
        <f t="shared" si="9"/>
        <v>622794.66654999997</v>
      </c>
    </row>
    <row r="23" spans="1:18" x14ac:dyDescent="0.25">
      <c r="A23" s="2" t="s">
        <v>289</v>
      </c>
      <c r="E23" s="7">
        <f>E$21/E$17</f>
        <v>10848.876538888888</v>
      </c>
      <c r="F23" s="7">
        <f t="shared" ref="F23:R23" si="10">F$21/F$17</f>
        <v>6901.8205105769221</v>
      </c>
      <c r="G23" s="7">
        <f t="shared" si="10"/>
        <v>5517.7878772727272</v>
      </c>
      <c r="H23" s="7">
        <f t="shared" si="10"/>
        <v>4812.2026132352939</v>
      </c>
      <c r="I23" s="7">
        <f t="shared" si="10"/>
        <v>4384.4068232283462</v>
      </c>
      <c r="J23" s="7">
        <f t="shared" si="10"/>
        <v>4097.3333325657895</v>
      </c>
      <c r="L23" s="7">
        <f t="shared" si="10"/>
        <v>113472.333275</v>
      </c>
      <c r="M23" s="7">
        <f t="shared" si="10"/>
        <v>10848.876538888888</v>
      </c>
      <c r="N23" s="7">
        <f t="shared" si="10"/>
        <v>6901.8205105769221</v>
      </c>
      <c r="O23" s="7">
        <f t="shared" si="10"/>
        <v>5517.7878772727272</v>
      </c>
      <c r="P23" s="7">
        <f t="shared" si="10"/>
        <v>4812.2026132352939</v>
      </c>
      <c r="Q23" s="7">
        <f t="shared" si="10"/>
        <v>4384.4068232283462</v>
      </c>
      <c r="R23" s="7">
        <f t="shared" si="10"/>
        <v>4097.3333325657895</v>
      </c>
    </row>
    <row r="24" spans="1:18" x14ac:dyDescent="0.25">
      <c r="A24" s="2" t="s">
        <v>291</v>
      </c>
      <c r="E24" s="7">
        <f>E$21/E$18</f>
        <v>5424.4382694444439</v>
      </c>
      <c r="F24" s="7">
        <f t="shared" ref="F24:R24" si="11">F$21/F$18</f>
        <v>3450.910255288461</v>
      </c>
      <c r="G24" s="7">
        <f t="shared" si="11"/>
        <v>2758.8939386363636</v>
      </c>
      <c r="H24" s="7">
        <f t="shared" si="11"/>
        <v>2406.101306617647</v>
      </c>
      <c r="I24" s="7">
        <f t="shared" si="11"/>
        <v>2192.2034116141731</v>
      </c>
      <c r="J24" s="7">
        <f t="shared" si="11"/>
        <v>2048.6666662828948</v>
      </c>
      <c r="L24" s="7">
        <f t="shared" si="11"/>
        <v>56736.166637499999</v>
      </c>
      <c r="M24" s="7">
        <f t="shared" si="11"/>
        <v>5424.4382694444439</v>
      </c>
      <c r="N24" s="7">
        <f t="shared" si="11"/>
        <v>3450.910255288461</v>
      </c>
      <c r="O24" s="7">
        <f t="shared" si="11"/>
        <v>2758.8939386363636</v>
      </c>
      <c r="P24" s="7">
        <f t="shared" si="11"/>
        <v>2406.101306617647</v>
      </c>
      <c r="Q24" s="7">
        <f t="shared" si="11"/>
        <v>2192.2034116141731</v>
      </c>
      <c r="R24" s="7">
        <f t="shared" si="11"/>
        <v>2048.6666662828948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309457.16654999997</v>
      </c>
      <c r="F26" s="29">
        <f t="shared" ref="F26:R26" si="12">F$22+F$17*$E$10</f>
        <v>390744.66654999997</v>
      </c>
      <c r="G26" s="29">
        <f t="shared" si="12"/>
        <v>472032.16654999997</v>
      </c>
      <c r="H26" s="29">
        <f t="shared" si="12"/>
        <v>553319.66654999997</v>
      </c>
      <c r="I26" s="29">
        <f t="shared" si="12"/>
        <v>634607.16654999997</v>
      </c>
      <c r="J26" s="29">
        <f t="shared" si="12"/>
        <v>715894.66654999997</v>
      </c>
      <c r="L26" s="29">
        <f t="shared" si="12"/>
        <v>228169.66654999999</v>
      </c>
      <c r="M26" s="29">
        <f t="shared" si="12"/>
        <v>309457.16654999997</v>
      </c>
      <c r="N26" s="29">
        <f t="shared" si="12"/>
        <v>390744.66654999997</v>
      </c>
      <c r="O26" s="29">
        <f t="shared" si="12"/>
        <v>472032.16654999997</v>
      </c>
      <c r="P26" s="29">
        <f t="shared" si="12"/>
        <v>553319.66654999997</v>
      </c>
      <c r="Q26" s="29">
        <f t="shared" si="12"/>
        <v>634607.16654999997</v>
      </c>
      <c r="R26" s="29">
        <f t="shared" si="12"/>
        <v>715894.66654999997</v>
      </c>
    </row>
    <row r="27" spans="1:18" ht="30" x14ac:dyDescent="0.25">
      <c r="A27" s="2" t="s">
        <v>317</v>
      </c>
      <c r="E27" s="29">
        <f>E$22+E$17*$E$11</f>
        <v>311465.29154999997</v>
      </c>
      <c r="F27" s="29">
        <f t="shared" ref="F27:R27" si="13">F$22+F$17*$E$11</f>
        <v>394612.16654999997</v>
      </c>
      <c r="G27" s="29">
        <f t="shared" si="13"/>
        <v>477759.04154999997</v>
      </c>
      <c r="H27" s="29">
        <f t="shared" si="13"/>
        <v>560905.91654999997</v>
      </c>
      <c r="I27" s="29">
        <f t="shared" si="13"/>
        <v>644052.79154999997</v>
      </c>
      <c r="J27" s="29">
        <f t="shared" si="13"/>
        <v>727199.66654999997</v>
      </c>
      <c r="L27" s="29">
        <f t="shared" si="13"/>
        <v>228318.41654999999</v>
      </c>
      <c r="M27" s="29">
        <f t="shared" si="13"/>
        <v>311465.29154999997</v>
      </c>
      <c r="N27" s="29">
        <f t="shared" si="13"/>
        <v>394612.16654999997</v>
      </c>
      <c r="O27" s="29">
        <f t="shared" si="13"/>
        <v>477759.04154999997</v>
      </c>
      <c r="P27" s="29">
        <f t="shared" si="13"/>
        <v>560905.91654999997</v>
      </c>
      <c r="Q27" s="29">
        <f t="shared" si="13"/>
        <v>644052.79154999997</v>
      </c>
      <c r="R27" s="29">
        <f t="shared" si="13"/>
        <v>727199.66654999997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309</v>
      </c>
      <c r="E33" s="7">
        <f>PhiMayCanMang(E$17,$C$5/100, $D$5/100)*(1+$D$8)+ E$17*$E$14</f>
        <v>134951.94055</v>
      </c>
      <c r="F33" s="7">
        <f t="shared" ref="F33:J33" si="17">PhiMayCanMang(F$17,$C$5/100, $D$5/100)*(1+$D$8)+ F$17*$E$14</f>
        <v>140828.64635</v>
      </c>
      <c r="G33" s="7">
        <f t="shared" si="17"/>
        <v>146705.35232500001</v>
      </c>
      <c r="H33" s="7">
        <f t="shared" si="17"/>
        <v>153034.99924999999</v>
      </c>
      <c r="I33" s="7">
        <f t="shared" si="17"/>
        <v>159364.64635</v>
      </c>
      <c r="J33" s="7">
        <f t="shared" si="17"/>
        <v>165241.35232500001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131050.98055000001</v>
      </c>
      <c r="N33" s="7">
        <f t="shared" si="18"/>
        <v>133315.68635</v>
      </c>
      <c r="O33" s="7">
        <f t="shared" si="18"/>
        <v>135580.39232500002</v>
      </c>
      <c r="P33" s="7">
        <f t="shared" si="18"/>
        <v>138298.03925</v>
      </c>
      <c r="Q33" s="7">
        <f t="shared" si="18"/>
        <v>141015.68635</v>
      </c>
      <c r="R33" s="7">
        <f t="shared" si="18"/>
        <v>143280.39232500002</v>
      </c>
    </row>
    <row r="34" spans="1:18" x14ac:dyDescent="0.25">
      <c r="A34" s="2" t="s">
        <v>318</v>
      </c>
      <c r="E34" s="7">
        <f>E$33/E$16</f>
        <v>2699.0388109999999</v>
      </c>
      <c r="F34" s="7">
        <f t="shared" ref="F34:J34" si="19">F$33/F$16</f>
        <v>1408.2864634999999</v>
      </c>
      <c r="G34" s="7">
        <f t="shared" si="19"/>
        <v>978.03568216666679</v>
      </c>
      <c r="H34" s="7">
        <f t="shared" si="19"/>
        <v>765.17499624999994</v>
      </c>
      <c r="I34" s="7">
        <f t="shared" si="19"/>
        <v>637.45858539999995</v>
      </c>
      <c r="J34" s="7">
        <f t="shared" si="19"/>
        <v>550.80450775000008</v>
      </c>
      <c r="L34" s="7"/>
      <c r="M34" s="7">
        <f>M$17*$E$14/M$16</f>
        <v>78.019199999999998</v>
      </c>
      <c r="N34" s="7">
        <f t="shared" ref="N34:R34" si="20">N$17*$E$14/N$16</f>
        <v>75.129599999999996</v>
      </c>
      <c r="O34" s="7">
        <f t="shared" si="20"/>
        <v>74.166399999999996</v>
      </c>
      <c r="P34" s="7">
        <f t="shared" si="20"/>
        <v>73.684799999999996</v>
      </c>
      <c r="Q34" s="7">
        <f t="shared" si="20"/>
        <v>73.395839999999993</v>
      </c>
      <c r="R34" s="7">
        <f t="shared" si="20"/>
        <v>73.203199999999995</v>
      </c>
    </row>
    <row r="35" spans="1:18" x14ac:dyDescent="0.25">
      <c r="A35" s="2" t="s">
        <v>310</v>
      </c>
      <c r="E35" s="7">
        <f>PhiMayCanMang(E$17*2,$C$5/100, $D$5/100)*(1+$D$8)+ E$17*$E$14*2</f>
        <v>141570.54765000002</v>
      </c>
      <c r="F35" s="7">
        <f t="shared" ref="F35:J35" si="21">PhiMayCanMang(F$17*2,$C$5/100, $D$5/100)*(1+$D$8)+ F$17*$E$14*2</f>
        <v>153323.95925000001</v>
      </c>
      <c r="G35" s="7">
        <f t="shared" si="21"/>
        <v>165530.31232500001</v>
      </c>
      <c r="H35" s="7">
        <f t="shared" si="21"/>
        <v>177736.665225</v>
      </c>
      <c r="I35" s="7">
        <f t="shared" si="21"/>
        <v>189943.018125</v>
      </c>
      <c r="J35" s="7">
        <f t="shared" si="21"/>
        <v>201696.42989999999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133768.62765000001</v>
      </c>
      <c r="N35" s="7">
        <f t="shared" si="22"/>
        <v>138298.03925</v>
      </c>
      <c r="O35" s="7">
        <f t="shared" si="22"/>
        <v>143280.39232500002</v>
      </c>
      <c r="P35" s="7">
        <f t="shared" si="22"/>
        <v>148262.74522500002</v>
      </c>
      <c r="Q35" s="7">
        <f t="shared" si="22"/>
        <v>153245.09812500002</v>
      </c>
      <c r="R35" s="7">
        <f t="shared" si="22"/>
        <v>157774.5099</v>
      </c>
    </row>
    <row r="36" spans="1:18" x14ac:dyDescent="0.25">
      <c r="A36" s="2" t="s">
        <v>319</v>
      </c>
      <c r="E36" s="7">
        <f>E$35/E$16</f>
        <v>2831.4109530000005</v>
      </c>
      <c r="F36" s="7">
        <f t="shared" ref="F36:J36" si="23">F$35/F$16</f>
        <v>1533.2395925000001</v>
      </c>
      <c r="G36" s="7">
        <f t="shared" si="23"/>
        <v>1103.5354155</v>
      </c>
      <c r="H36" s="7">
        <f t="shared" si="23"/>
        <v>888.68332612500001</v>
      </c>
      <c r="I36" s="7">
        <f t="shared" si="23"/>
        <v>759.77207250000004</v>
      </c>
      <c r="J36" s="7">
        <f t="shared" si="23"/>
        <v>672.32143299999996</v>
      </c>
      <c r="M36" s="7">
        <f>M$17*2*$E$14/M$16</f>
        <v>156.0384</v>
      </c>
      <c r="N36" s="7">
        <f t="shared" ref="N36:R36" si="24">N$17*2*$E$14/N$16</f>
        <v>150.25919999999999</v>
      </c>
      <c r="O36" s="7">
        <f t="shared" si="24"/>
        <v>148.33279999999999</v>
      </c>
      <c r="P36" s="7">
        <f t="shared" si="24"/>
        <v>147.36959999999999</v>
      </c>
      <c r="Q36" s="7">
        <f t="shared" si="24"/>
        <v>146.79167999999999</v>
      </c>
      <c r="R36" s="7">
        <f t="shared" si="24"/>
        <v>146.40639999999999</v>
      </c>
    </row>
    <row r="39" spans="1:18" ht="30" x14ac:dyDescent="0.25">
      <c r="A39" s="2" t="s">
        <v>367</v>
      </c>
      <c r="E39" s="7">
        <f>E$26-MOD(E$26,1000)</f>
        <v>309000</v>
      </c>
      <c r="F39" s="7">
        <f t="shared" ref="F39:J39" si="25">F$26-MOD(F$26,1000)</f>
        <v>390000</v>
      </c>
      <c r="G39" s="7">
        <f t="shared" si="25"/>
        <v>472000</v>
      </c>
      <c r="H39" s="7">
        <f t="shared" si="25"/>
        <v>553000</v>
      </c>
      <c r="I39" s="7">
        <f t="shared" si="25"/>
        <v>634000</v>
      </c>
      <c r="J39" s="7">
        <f t="shared" si="25"/>
        <v>715000</v>
      </c>
    </row>
    <row r="40" spans="1:18" ht="30" x14ac:dyDescent="0.25">
      <c r="A40" s="2" t="s">
        <v>368</v>
      </c>
      <c r="E40" s="7">
        <f>E$27-MOD(E$27,1000)</f>
        <v>311000</v>
      </c>
      <c r="F40" s="7">
        <f t="shared" ref="F40:J40" si="26">F$27-MOD(F$27,1000)</f>
        <v>394000</v>
      </c>
      <c r="G40" s="7">
        <f t="shared" si="26"/>
        <v>477000</v>
      </c>
      <c r="H40" s="7">
        <f t="shared" si="26"/>
        <v>560000</v>
      </c>
      <c r="I40" s="7">
        <f t="shared" si="26"/>
        <v>644000</v>
      </c>
      <c r="J40" s="7">
        <f t="shared" si="26"/>
        <v>727000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40"/>
  <sheetViews>
    <sheetView topLeftCell="A16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323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21</v>
      </c>
      <c r="C4">
        <v>42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270</v>
      </c>
      <c r="C10" t="s">
        <v>271</v>
      </c>
      <c r="D10">
        <v>785</v>
      </c>
      <c r="E10" s="7">
        <f>D10*(1+$D$8)</f>
        <v>1373.75</v>
      </c>
    </row>
    <row r="11" spans="1:18" x14ac:dyDescent="0.25">
      <c r="B11" t="s">
        <v>272</v>
      </c>
      <c r="C11" t="s">
        <v>273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298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299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293</v>
      </c>
      <c r="E19" s="36">
        <f>PhiMayInToner4M(E$18)</f>
        <v>140241.3333</v>
      </c>
      <c r="F19" s="36">
        <f t="shared" ref="F19:R19" si="4">PhiMayInToner4M(F$18)</f>
        <v>177941.3333</v>
      </c>
      <c r="G19" s="36">
        <f t="shared" si="4"/>
        <v>215641.3333</v>
      </c>
      <c r="H19" s="36">
        <f t="shared" si="4"/>
        <v>253341.3333</v>
      </c>
      <c r="I19" s="36">
        <f t="shared" si="4"/>
        <v>291041.3333</v>
      </c>
      <c r="J19" s="36">
        <f t="shared" si="4"/>
        <v>366441.3333</v>
      </c>
      <c r="L19" s="36">
        <f t="shared" si="4"/>
        <v>64841.333299999998</v>
      </c>
      <c r="M19" s="36">
        <f t="shared" si="4"/>
        <v>140241.3333</v>
      </c>
      <c r="N19" s="36">
        <f t="shared" si="4"/>
        <v>177941.3333</v>
      </c>
      <c r="O19" s="36">
        <f t="shared" si="4"/>
        <v>215641.3333</v>
      </c>
      <c r="P19" s="36">
        <f t="shared" si="4"/>
        <v>253341.3333</v>
      </c>
      <c r="Q19" s="36">
        <f t="shared" si="4"/>
        <v>291041.3333</v>
      </c>
      <c r="R19" s="36">
        <f t="shared" si="4"/>
        <v>366441.3333</v>
      </c>
    </row>
    <row r="20" spans="1:18" x14ac:dyDescent="0.25">
      <c r="A20" s="2" t="s">
        <v>301</v>
      </c>
      <c r="E20" s="36">
        <f>E$19*2</f>
        <v>280482.6666</v>
      </c>
      <c r="F20" s="36">
        <f t="shared" ref="F20:R20" si="5">F$19*2</f>
        <v>355882.6666</v>
      </c>
      <c r="G20" s="36">
        <f t="shared" si="5"/>
        <v>431282.6666</v>
      </c>
      <c r="H20" s="36">
        <f t="shared" si="5"/>
        <v>506682.6666</v>
      </c>
      <c r="I20" s="36">
        <f t="shared" si="5"/>
        <v>582082.6666</v>
      </c>
      <c r="J20" s="36">
        <f t="shared" si="5"/>
        <v>732882.6666</v>
      </c>
      <c r="L20" s="36">
        <f t="shared" si="5"/>
        <v>129682.6666</v>
      </c>
      <c r="M20" s="36">
        <f t="shared" si="5"/>
        <v>280482.6666</v>
      </c>
      <c r="N20" s="36">
        <f t="shared" si="5"/>
        <v>355882.6666</v>
      </c>
      <c r="O20" s="36">
        <f t="shared" si="5"/>
        <v>431282.6666</v>
      </c>
      <c r="P20" s="36">
        <f t="shared" si="5"/>
        <v>506682.6666</v>
      </c>
      <c r="Q20" s="36">
        <f t="shared" si="5"/>
        <v>582082.6666</v>
      </c>
      <c r="R20" s="36">
        <f t="shared" si="5"/>
        <v>732882.6666</v>
      </c>
    </row>
    <row r="21" spans="1:18" ht="30" x14ac:dyDescent="0.25">
      <c r="A21" s="2" t="s">
        <v>294</v>
      </c>
      <c r="E21" s="29">
        <f t="shared" ref="E21:J21" si="6">E$19*(1+$D$8)</f>
        <v>245422.33327499998</v>
      </c>
      <c r="F21" s="29">
        <f t="shared" si="6"/>
        <v>311397.33327499998</v>
      </c>
      <c r="G21" s="29">
        <f t="shared" si="6"/>
        <v>377372.33327499998</v>
      </c>
      <c r="H21" s="29">
        <f t="shared" si="6"/>
        <v>443347.33327499998</v>
      </c>
      <c r="I21" s="29">
        <f t="shared" si="6"/>
        <v>509322.33327499998</v>
      </c>
      <c r="J21" s="29">
        <f t="shared" si="6"/>
        <v>641272.33327499998</v>
      </c>
      <c r="L21" s="29">
        <f>L$19*(1+$D$8)</f>
        <v>113472.333275</v>
      </c>
      <c r="M21" s="29">
        <f t="shared" ref="M21:R21" si="7">M$19*(1+$D$8)</f>
        <v>245422.33327499998</v>
      </c>
      <c r="N21" s="29">
        <f t="shared" si="7"/>
        <v>311397.33327499998</v>
      </c>
      <c r="O21" s="29">
        <f t="shared" si="7"/>
        <v>377372.33327499998</v>
      </c>
      <c r="P21" s="29">
        <f t="shared" si="7"/>
        <v>443347.33327499998</v>
      </c>
      <c r="Q21" s="29">
        <f t="shared" si="7"/>
        <v>509322.33327499998</v>
      </c>
      <c r="R21" s="29">
        <f t="shared" si="7"/>
        <v>641272.33327499998</v>
      </c>
    </row>
    <row r="22" spans="1:18" ht="30" x14ac:dyDescent="0.25">
      <c r="A22" s="2" t="s">
        <v>297</v>
      </c>
      <c r="E22" s="29">
        <f t="shared" ref="E22:J22" si="8">E$20*(1+$D$8)</f>
        <v>490844.66654999997</v>
      </c>
      <c r="F22" s="29">
        <f t="shared" si="8"/>
        <v>622794.66654999997</v>
      </c>
      <c r="G22" s="29">
        <f t="shared" si="8"/>
        <v>754744.66654999997</v>
      </c>
      <c r="H22" s="29">
        <f t="shared" si="8"/>
        <v>886694.66654999997</v>
      </c>
      <c r="I22" s="29">
        <f t="shared" si="8"/>
        <v>1018644.66655</v>
      </c>
      <c r="J22" s="29">
        <f t="shared" si="8"/>
        <v>1282544.66655</v>
      </c>
      <c r="L22" s="29">
        <f>L$20*(1+$D$8)</f>
        <v>226944.66654999999</v>
      </c>
      <c r="M22" s="29">
        <f t="shared" ref="M22:R22" si="9">M$20*(1+$D$8)</f>
        <v>490844.66654999997</v>
      </c>
      <c r="N22" s="29">
        <f t="shared" si="9"/>
        <v>622794.66654999997</v>
      </c>
      <c r="O22" s="29">
        <f t="shared" si="9"/>
        <v>754744.66654999997</v>
      </c>
      <c r="P22" s="29">
        <f t="shared" si="9"/>
        <v>886694.66654999997</v>
      </c>
      <c r="Q22" s="29">
        <f t="shared" si="9"/>
        <v>1018644.66655</v>
      </c>
      <c r="R22" s="29">
        <f t="shared" si="9"/>
        <v>1282544.66655</v>
      </c>
    </row>
    <row r="23" spans="1:18" x14ac:dyDescent="0.25">
      <c r="A23" s="2" t="s">
        <v>289</v>
      </c>
      <c r="E23" s="7">
        <f>E$21/E$17</f>
        <v>4812.2026132352939</v>
      </c>
      <c r="F23" s="7">
        <f t="shared" ref="F23:R23" si="10">F$21/F$17</f>
        <v>4097.3333325657895</v>
      </c>
      <c r="G23" s="7">
        <f t="shared" si="10"/>
        <v>3736.3597353960395</v>
      </c>
      <c r="H23" s="7">
        <f t="shared" si="10"/>
        <v>3518.6296291666667</v>
      </c>
      <c r="I23" s="7">
        <f t="shared" si="10"/>
        <v>3372.9955846026487</v>
      </c>
      <c r="J23" s="7">
        <f t="shared" si="10"/>
        <v>3190.4096182835819</v>
      </c>
      <c r="L23" s="7">
        <f t="shared" si="10"/>
        <v>113472.333275</v>
      </c>
      <c r="M23" s="7">
        <f t="shared" si="10"/>
        <v>4812.2026132352939</v>
      </c>
      <c r="N23" s="7">
        <f t="shared" si="10"/>
        <v>4097.3333325657895</v>
      </c>
      <c r="O23" s="7">
        <f t="shared" si="10"/>
        <v>3736.3597353960395</v>
      </c>
      <c r="P23" s="7">
        <f t="shared" si="10"/>
        <v>3518.6296291666667</v>
      </c>
      <c r="Q23" s="7">
        <f t="shared" si="10"/>
        <v>3372.9955846026487</v>
      </c>
      <c r="R23" s="7">
        <f t="shared" si="10"/>
        <v>3190.4096182835819</v>
      </c>
    </row>
    <row r="24" spans="1:18" x14ac:dyDescent="0.25">
      <c r="A24" s="2" t="s">
        <v>291</v>
      </c>
      <c r="E24" s="7">
        <f>E$21/E$18</f>
        <v>2406.101306617647</v>
      </c>
      <c r="F24" s="7">
        <f t="shared" ref="F24:R24" si="11">F$21/F$18</f>
        <v>2048.6666662828948</v>
      </c>
      <c r="G24" s="7">
        <f t="shared" si="11"/>
        <v>1868.1798676980197</v>
      </c>
      <c r="H24" s="7">
        <f t="shared" si="11"/>
        <v>1759.3148145833334</v>
      </c>
      <c r="I24" s="7">
        <f t="shared" si="11"/>
        <v>1686.4977923013244</v>
      </c>
      <c r="J24" s="7">
        <f t="shared" si="11"/>
        <v>1595.204809141791</v>
      </c>
      <c r="L24" s="7">
        <f t="shared" si="11"/>
        <v>56736.166637499999</v>
      </c>
      <c r="M24" s="7">
        <f t="shared" si="11"/>
        <v>2406.101306617647</v>
      </c>
      <c r="N24" s="7">
        <f t="shared" si="11"/>
        <v>2048.6666662828948</v>
      </c>
      <c r="O24" s="7">
        <f t="shared" si="11"/>
        <v>1868.1798676980197</v>
      </c>
      <c r="P24" s="7">
        <f t="shared" si="11"/>
        <v>1759.3148145833334</v>
      </c>
      <c r="Q24" s="7">
        <f t="shared" si="11"/>
        <v>1686.4977923013244</v>
      </c>
      <c r="R24" s="7">
        <f t="shared" si="11"/>
        <v>1595.204809141791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317</v>
      </c>
      <c r="E26" s="29">
        <f>E$22+E$17*$E$10</f>
        <v>560905.91654999997</v>
      </c>
      <c r="F26" s="29">
        <f t="shared" ref="F26:R26" si="12">F$22+F$17*$E$10</f>
        <v>727199.66654999997</v>
      </c>
      <c r="G26" s="29">
        <f t="shared" si="12"/>
        <v>893493.41654999997</v>
      </c>
      <c r="H26" s="29">
        <f t="shared" si="12"/>
        <v>1059787.16655</v>
      </c>
      <c r="I26" s="29">
        <f t="shared" si="12"/>
        <v>1226080.91655</v>
      </c>
      <c r="J26" s="29">
        <f t="shared" si="12"/>
        <v>1558668.41655</v>
      </c>
      <c r="L26" s="29">
        <f t="shared" si="12"/>
        <v>228318.41654999999</v>
      </c>
      <c r="M26" s="29">
        <f t="shared" si="12"/>
        <v>560905.91654999997</v>
      </c>
      <c r="N26" s="29">
        <f t="shared" si="12"/>
        <v>727199.66654999997</v>
      </c>
      <c r="O26" s="29">
        <f t="shared" si="12"/>
        <v>893493.41654999997</v>
      </c>
      <c r="P26" s="29">
        <f t="shared" si="12"/>
        <v>1059787.16655</v>
      </c>
      <c r="Q26" s="29">
        <f t="shared" si="12"/>
        <v>1226080.91655</v>
      </c>
      <c r="R26" s="29">
        <f t="shared" si="12"/>
        <v>1558668.41655</v>
      </c>
    </row>
    <row r="27" spans="1:18" ht="30" x14ac:dyDescent="0.25">
      <c r="A27" s="2" t="s">
        <v>324</v>
      </c>
      <c r="E27" s="29">
        <f>E$22+E$17*$E$11</f>
        <v>582772.16654999997</v>
      </c>
      <c r="F27" s="29">
        <f t="shared" ref="F27:R27" si="13">F$22+F$17*$E$11</f>
        <v>759784.66654999997</v>
      </c>
      <c r="G27" s="29">
        <f t="shared" si="13"/>
        <v>936797.16654999997</v>
      </c>
      <c r="H27" s="29">
        <f t="shared" si="13"/>
        <v>1113809.66655</v>
      </c>
      <c r="I27" s="29">
        <f t="shared" si="13"/>
        <v>1290822.16655</v>
      </c>
      <c r="J27" s="29">
        <f t="shared" si="13"/>
        <v>1644847.16655</v>
      </c>
      <c r="L27" s="29">
        <f t="shared" si="13"/>
        <v>228747.16654999999</v>
      </c>
      <c r="M27" s="29">
        <f t="shared" si="13"/>
        <v>582772.16654999997</v>
      </c>
      <c r="N27" s="29">
        <f t="shared" si="13"/>
        <v>759784.66654999997</v>
      </c>
      <c r="O27" s="29">
        <f t="shared" si="13"/>
        <v>936797.16654999997</v>
      </c>
      <c r="P27" s="29">
        <f t="shared" si="13"/>
        <v>1113809.66655</v>
      </c>
      <c r="Q27" s="29">
        <f t="shared" si="13"/>
        <v>1290822.16655</v>
      </c>
      <c r="R27" s="29">
        <f t="shared" si="13"/>
        <v>1644847.16655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116119.791725</v>
      </c>
      <c r="G29" s="7">
        <f t="shared" si="14"/>
        <v>118854.166725</v>
      </c>
      <c r="H29" s="7">
        <f t="shared" si="14"/>
        <v>121588.541725</v>
      </c>
      <c r="I29" s="7">
        <f t="shared" si="14"/>
        <v>124322.916725</v>
      </c>
      <c r="J29" s="7">
        <f t="shared" si="14"/>
        <v>129791.666725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139343.75007000001</v>
      </c>
      <c r="G30" s="7">
        <f t="shared" si="16"/>
        <v>142625.00007000001</v>
      </c>
      <c r="H30" s="7">
        <f t="shared" si="16"/>
        <v>145906.25007000001</v>
      </c>
      <c r="I30" s="7">
        <f t="shared" si="16"/>
        <v>149187.50007000001</v>
      </c>
      <c r="J30" s="7">
        <f t="shared" si="16"/>
        <v>155750.00007000001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139343.75007000001</v>
      </c>
      <c r="G31" s="7">
        <f t="shared" si="16"/>
        <v>142625.00007000001</v>
      </c>
      <c r="H31" s="7">
        <f t="shared" si="16"/>
        <v>145906.25007000001</v>
      </c>
      <c r="I31" s="7">
        <f t="shared" si="16"/>
        <v>149187.50007000001</v>
      </c>
      <c r="J31" s="7">
        <f t="shared" si="16"/>
        <v>155750.00007000001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309</v>
      </c>
      <c r="E33" s="7">
        <f>PhiMayCanMang(E$17,$C$5/100, $D$5/100)*(1+$D$8)+ E$17*$E$14</f>
        <v>153034.99924999999</v>
      </c>
      <c r="F33" s="7">
        <f t="shared" ref="F33:J33" si="17">PhiMayCanMang(F$17,$C$5/100, $D$5/100)*(1+$D$8)+ F$17*$E$14</f>
        <v>165241.35232500001</v>
      </c>
      <c r="G33" s="7">
        <f t="shared" si="17"/>
        <v>176994.7641</v>
      </c>
      <c r="H33" s="7">
        <f t="shared" si="17"/>
        <v>189201.117</v>
      </c>
      <c r="I33" s="7">
        <f t="shared" si="17"/>
        <v>201407.4699</v>
      </c>
      <c r="J33" s="7">
        <f t="shared" si="17"/>
        <v>225367.23457499998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138298.03925</v>
      </c>
      <c r="N33" s="7">
        <f t="shared" si="18"/>
        <v>143280.39232500002</v>
      </c>
      <c r="O33" s="7">
        <f t="shared" si="18"/>
        <v>147809.80410000001</v>
      </c>
      <c r="P33" s="7">
        <f t="shared" si="18"/>
        <v>152792.15700000001</v>
      </c>
      <c r="Q33" s="7">
        <f t="shared" si="18"/>
        <v>157774.5099</v>
      </c>
      <c r="R33" s="7">
        <f t="shared" si="18"/>
        <v>167286.27457499999</v>
      </c>
    </row>
    <row r="34" spans="1:18" x14ac:dyDescent="0.25">
      <c r="A34" s="2" t="s">
        <v>318</v>
      </c>
      <c r="E34" s="7">
        <f>E$33/E$16</f>
        <v>3060.6999849999997</v>
      </c>
      <c r="F34" s="7">
        <f t="shared" ref="F34:J34" si="19">F$33/F$16</f>
        <v>2203.2180310000003</v>
      </c>
      <c r="G34" s="7">
        <f t="shared" si="19"/>
        <v>1769.947641</v>
      </c>
      <c r="H34" s="7">
        <f t="shared" si="19"/>
        <v>1513.6089360000001</v>
      </c>
      <c r="I34" s="7">
        <f t="shared" si="19"/>
        <v>1342.7164660000001</v>
      </c>
      <c r="J34" s="7">
        <f t="shared" si="19"/>
        <v>1126.8361728749999</v>
      </c>
      <c r="L34" s="7"/>
      <c r="M34" s="7">
        <f>M$17*$E$14/M$16</f>
        <v>294.73919999999998</v>
      </c>
      <c r="N34" s="7">
        <f t="shared" ref="N34:R34" si="20">N$17*$E$14/N$16</f>
        <v>292.81279999999998</v>
      </c>
      <c r="O34" s="7">
        <f t="shared" si="20"/>
        <v>291.84960000000001</v>
      </c>
      <c r="P34" s="7">
        <f t="shared" si="20"/>
        <v>291.27168</v>
      </c>
      <c r="Q34" s="7">
        <f t="shared" si="20"/>
        <v>290.88639999999998</v>
      </c>
      <c r="R34" s="7">
        <f t="shared" si="20"/>
        <v>290.40480000000002</v>
      </c>
    </row>
    <row r="35" spans="1:18" x14ac:dyDescent="0.25">
      <c r="A35" s="2" t="s">
        <v>310</v>
      </c>
      <c r="E35" s="7">
        <f>PhiMayCanMang(E$17*2,$C$5/100, $D$5/100)*(1+$D$8)+ E$17*$E$14*2</f>
        <v>177736.665225</v>
      </c>
      <c r="F35" s="7">
        <f t="shared" ref="F35:J35" si="21">PhiMayCanMang(F$17*2,$C$5/100, $D$5/100)*(1+$D$8)+ F$17*$E$14*2</f>
        <v>201696.42989999999</v>
      </c>
      <c r="G35" s="7">
        <f t="shared" si="21"/>
        <v>226109.13587499998</v>
      </c>
      <c r="H35" s="7">
        <f t="shared" si="21"/>
        <v>250068.90055000002</v>
      </c>
      <c r="I35" s="7">
        <f t="shared" si="21"/>
        <v>274481.60635000002</v>
      </c>
      <c r="J35" s="7">
        <f t="shared" si="21"/>
        <v>322854.07699999999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148262.74522500002</v>
      </c>
      <c r="N35" s="7">
        <f t="shared" si="22"/>
        <v>157774.5099</v>
      </c>
      <c r="O35" s="7">
        <f t="shared" si="22"/>
        <v>167739.21587499999</v>
      </c>
      <c r="P35" s="7">
        <f t="shared" si="22"/>
        <v>177250.98055000001</v>
      </c>
      <c r="Q35" s="7">
        <f t="shared" si="22"/>
        <v>187215.68635</v>
      </c>
      <c r="R35" s="7">
        <f t="shared" si="22"/>
        <v>206692.15700000001</v>
      </c>
    </row>
    <row r="36" spans="1:18" x14ac:dyDescent="0.25">
      <c r="A36" s="2" t="s">
        <v>319</v>
      </c>
      <c r="E36" s="7">
        <f>E$35/E$16</f>
        <v>3554.7333045</v>
      </c>
      <c r="F36" s="7">
        <f t="shared" ref="F36:J36" si="23">F$35/F$16</f>
        <v>2689.2857319999998</v>
      </c>
      <c r="G36" s="7">
        <f t="shared" si="23"/>
        <v>2261.0913587499999</v>
      </c>
      <c r="H36" s="7">
        <f t="shared" si="23"/>
        <v>2000.5512044000002</v>
      </c>
      <c r="I36" s="7">
        <f t="shared" si="23"/>
        <v>1829.8773756666667</v>
      </c>
      <c r="J36" s="7">
        <f t="shared" si="23"/>
        <v>1614.270385</v>
      </c>
      <c r="M36" s="7">
        <f>M$17*2*$E$14/M$16</f>
        <v>589.47839999999997</v>
      </c>
      <c r="N36" s="7">
        <f t="shared" ref="N36:R36" si="24">N$17*2*$E$14/N$16</f>
        <v>585.62559999999996</v>
      </c>
      <c r="O36" s="7">
        <f t="shared" si="24"/>
        <v>583.69920000000002</v>
      </c>
      <c r="P36" s="7">
        <f t="shared" si="24"/>
        <v>582.54336000000001</v>
      </c>
      <c r="Q36" s="7">
        <f t="shared" si="24"/>
        <v>581.77279999999996</v>
      </c>
      <c r="R36" s="7">
        <f t="shared" si="24"/>
        <v>580.80960000000005</v>
      </c>
    </row>
    <row r="39" spans="1:18" ht="30" x14ac:dyDescent="0.25">
      <c r="A39" s="2" t="s">
        <v>367</v>
      </c>
      <c r="E39" s="7">
        <f>E$26-MOD(E$26,1000)</f>
        <v>560000</v>
      </c>
      <c r="F39" s="7">
        <f t="shared" ref="F39:J39" si="25">F$26-MOD(F$26,1000)</f>
        <v>727000</v>
      </c>
      <c r="G39" s="7">
        <f t="shared" si="25"/>
        <v>893000</v>
      </c>
      <c r="H39" s="7">
        <f t="shared" si="25"/>
        <v>1059000</v>
      </c>
      <c r="I39" s="7">
        <f t="shared" si="25"/>
        <v>1226000</v>
      </c>
      <c r="J39" s="7">
        <f t="shared" si="25"/>
        <v>1558000</v>
      </c>
    </row>
    <row r="40" spans="1:18" ht="30" x14ac:dyDescent="0.25">
      <c r="A40" s="2" t="s">
        <v>368</v>
      </c>
      <c r="E40" s="7">
        <f>E$27-MOD(E$27,1000)</f>
        <v>582000</v>
      </c>
      <c r="F40" s="7">
        <f t="shared" ref="F40:J40" si="26">F$27-MOD(F$27,1000)</f>
        <v>759000</v>
      </c>
      <c r="G40" s="7">
        <f t="shared" si="26"/>
        <v>936000</v>
      </c>
      <c r="H40" s="7">
        <f t="shared" si="26"/>
        <v>1113000</v>
      </c>
      <c r="I40" s="7">
        <f t="shared" si="26"/>
        <v>1290000</v>
      </c>
      <c r="J40" s="7">
        <f t="shared" si="26"/>
        <v>1644000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40"/>
  <sheetViews>
    <sheetView topLeftCell="A22" workbookViewId="0">
      <selection activeCell="H46" sqref="H46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323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32</v>
      </c>
      <c r="C4">
        <v>63</v>
      </c>
    </row>
    <row r="5" spans="1:18" ht="30" x14ac:dyDescent="0.25">
      <c r="A5" t="s">
        <v>275</v>
      </c>
      <c r="B5" s="1" t="s">
        <v>145</v>
      </c>
      <c r="C5">
        <v>32</v>
      </c>
      <c r="D5">
        <v>65</v>
      </c>
      <c r="E5" s="2" t="s">
        <v>300</v>
      </c>
    </row>
    <row r="6" spans="1:18" x14ac:dyDescent="0.25">
      <c r="B6" s="1"/>
      <c r="C6" t="s">
        <v>313</v>
      </c>
      <c r="D6">
        <f>$C$5/100*$D$5/100</f>
        <v>0.20800000000000002</v>
      </c>
      <c r="E6" s="2"/>
    </row>
    <row r="7" spans="1:18" x14ac:dyDescent="0.25">
      <c r="A7" t="s">
        <v>288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326</v>
      </c>
      <c r="C10" t="s">
        <v>329</v>
      </c>
      <c r="D10">
        <v>1600</v>
      </c>
      <c r="E10" s="7">
        <f>D10*(1+$D$8)</f>
        <v>2800</v>
      </c>
    </row>
    <row r="11" spans="1:18" x14ac:dyDescent="0.25">
      <c r="B11" t="s">
        <v>327</v>
      </c>
      <c r="C11" t="s">
        <v>328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298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299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293</v>
      </c>
      <c r="E19" s="36">
        <f>PhiMayInToner4M(E$18)</f>
        <v>122145.3333</v>
      </c>
      <c r="F19" s="36">
        <f t="shared" ref="F19:R19" si="4">PhiMayInToner4M(F$18)</f>
        <v>178695.3333</v>
      </c>
      <c r="G19" s="36">
        <f t="shared" si="4"/>
        <v>235245.3333</v>
      </c>
      <c r="H19" s="36">
        <f t="shared" si="4"/>
        <v>291795.3333</v>
      </c>
      <c r="I19" s="36">
        <f t="shared" si="4"/>
        <v>348345.3333</v>
      </c>
      <c r="J19" s="36">
        <f t="shared" si="4"/>
        <v>404895.3333</v>
      </c>
      <c r="L19" s="36">
        <f t="shared" si="4"/>
        <v>65595.333299999998</v>
      </c>
      <c r="M19" s="36">
        <f t="shared" si="4"/>
        <v>178695.3333</v>
      </c>
      <c r="N19" s="36">
        <f t="shared" si="4"/>
        <v>235245.3333</v>
      </c>
      <c r="O19" s="36">
        <f t="shared" si="4"/>
        <v>291795.3333</v>
      </c>
      <c r="P19" s="36">
        <f t="shared" si="4"/>
        <v>348345.3333</v>
      </c>
      <c r="Q19" s="36">
        <f t="shared" si="4"/>
        <v>404895.3333</v>
      </c>
      <c r="R19" s="36">
        <f t="shared" si="4"/>
        <v>517995.3333</v>
      </c>
    </row>
    <row r="20" spans="1:18" x14ac:dyDescent="0.25">
      <c r="A20" s="2" t="s">
        <v>301</v>
      </c>
      <c r="E20" s="36">
        <f>E$19*2</f>
        <v>244290.6666</v>
      </c>
      <c r="F20" s="36">
        <f t="shared" ref="F20:R20" si="5">F$19*2</f>
        <v>357390.6666</v>
      </c>
      <c r="G20" s="36">
        <f t="shared" si="5"/>
        <v>470490.6666</v>
      </c>
      <c r="H20" s="36">
        <f t="shared" si="5"/>
        <v>583590.6666</v>
      </c>
      <c r="I20" s="36">
        <f t="shared" si="5"/>
        <v>696690.6666</v>
      </c>
      <c r="J20" s="36">
        <f t="shared" si="5"/>
        <v>809790.6666</v>
      </c>
      <c r="L20" s="36">
        <f t="shared" si="5"/>
        <v>131190.6666</v>
      </c>
      <c r="M20" s="36">
        <f t="shared" si="5"/>
        <v>357390.6666</v>
      </c>
      <c r="N20" s="36">
        <f t="shared" si="5"/>
        <v>470490.6666</v>
      </c>
      <c r="O20" s="36">
        <f t="shared" si="5"/>
        <v>583590.6666</v>
      </c>
      <c r="P20" s="36">
        <f t="shared" si="5"/>
        <v>696690.6666</v>
      </c>
      <c r="Q20" s="36">
        <f t="shared" si="5"/>
        <v>809790.6666</v>
      </c>
      <c r="R20" s="36">
        <f t="shared" si="5"/>
        <v>1035990.6666</v>
      </c>
    </row>
    <row r="21" spans="1:18" ht="30" x14ac:dyDescent="0.25">
      <c r="A21" s="2" t="s">
        <v>294</v>
      </c>
      <c r="E21" s="29">
        <f t="shared" ref="E21:J21" si="6">E$19*(1+$D$8)</f>
        <v>213754.33327499998</v>
      </c>
      <c r="F21" s="29">
        <f t="shared" si="6"/>
        <v>312716.83327499998</v>
      </c>
      <c r="G21" s="29">
        <f t="shared" si="6"/>
        <v>411679.33327499998</v>
      </c>
      <c r="H21" s="29">
        <f t="shared" si="6"/>
        <v>510641.83327499998</v>
      </c>
      <c r="I21" s="29">
        <f t="shared" si="6"/>
        <v>609604.33327499998</v>
      </c>
      <c r="J21" s="29">
        <f t="shared" si="6"/>
        <v>708566.83327499998</v>
      </c>
      <c r="L21" s="29">
        <f>L$19*(1+$D$8)</f>
        <v>114791.833275</v>
      </c>
      <c r="M21" s="29">
        <f t="shared" ref="M21:R21" si="7">M$19*(1+$D$8)</f>
        <v>312716.83327499998</v>
      </c>
      <c r="N21" s="29">
        <f t="shared" si="7"/>
        <v>411679.33327499998</v>
      </c>
      <c r="O21" s="29">
        <f t="shared" si="7"/>
        <v>510641.83327499998</v>
      </c>
      <c r="P21" s="29">
        <f t="shared" si="7"/>
        <v>609604.33327499998</v>
      </c>
      <c r="Q21" s="29">
        <f t="shared" si="7"/>
        <v>708566.83327499998</v>
      </c>
      <c r="R21" s="29">
        <f t="shared" si="7"/>
        <v>906491.83327499998</v>
      </c>
    </row>
    <row r="22" spans="1:18" ht="30" x14ac:dyDescent="0.25">
      <c r="A22" s="2" t="s">
        <v>297</v>
      </c>
      <c r="E22" s="29">
        <f t="shared" ref="E22:J22" si="8">E$20*(1+$D$8)</f>
        <v>427508.66654999997</v>
      </c>
      <c r="F22" s="29">
        <f t="shared" si="8"/>
        <v>625433.66654999997</v>
      </c>
      <c r="G22" s="29">
        <f t="shared" si="8"/>
        <v>823358.66654999997</v>
      </c>
      <c r="H22" s="29">
        <f t="shared" si="8"/>
        <v>1021283.66655</v>
      </c>
      <c r="I22" s="29">
        <f t="shared" si="8"/>
        <v>1219208.66655</v>
      </c>
      <c r="J22" s="29">
        <f t="shared" si="8"/>
        <v>1417133.66655</v>
      </c>
      <c r="L22" s="29">
        <f>L$20*(1+$D$8)</f>
        <v>229583.66654999999</v>
      </c>
      <c r="M22" s="29">
        <f t="shared" ref="M22:R22" si="9">M$20*(1+$D$8)</f>
        <v>625433.66654999997</v>
      </c>
      <c r="N22" s="29">
        <f t="shared" si="9"/>
        <v>823358.66654999997</v>
      </c>
      <c r="O22" s="29">
        <f t="shared" si="9"/>
        <v>1021283.66655</v>
      </c>
      <c r="P22" s="29">
        <f t="shared" si="9"/>
        <v>1219208.66655</v>
      </c>
      <c r="Q22" s="29">
        <f t="shared" si="9"/>
        <v>1417133.66655</v>
      </c>
      <c r="R22" s="29">
        <f t="shared" si="9"/>
        <v>1812983.66655</v>
      </c>
    </row>
    <row r="23" spans="1:18" x14ac:dyDescent="0.25">
      <c r="A23" s="2" t="s">
        <v>289</v>
      </c>
      <c r="E23" s="7">
        <f>E$21/E$17</f>
        <v>8221.320510576923</v>
      </c>
      <c r="F23" s="7">
        <f t="shared" ref="F23:R23" si="10">F$21/F$17</f>
        <v>6131.7026132352939</v>
      </c>
      <c r="G23" s="7">
        <f t="shared" si="10"/>
        <v>5416.8333325657895</v>
      </c>
      <c r="H23" s="7">
        <f t="shared" si="10"/>
        <v>5055.8597353960395</v>
      </c>
      <c r="I23" s="7">
        <f t="shared" si="10"/>
        <v>4838.1296291666667</v>
      </c>
      <c r="J23" s="7">
        <f t="shared" si="10"/>
        <v>4692.4955846026487</v>
      </c>
      <c r="L23" s="7">
        <f t="shared" si="10"/>
        <v>114791.833275</v>
      </c>
      <c r="M23" s="7">
        <f t="shared" si="10"/>
        <v>6131.7026132352939</v>
      </c>
      <c r="N23" s="7">
        <f t="shared" si="10"/>
        <v>5416.8333325657895</v>
      </c>
      <c r="O23" s="7">
        <f t="shared" si="10"/>
        <v>5055.8597353960395</v>
      </c>
      <c r="P23" s="7">
        <f t="shared" si="10"/>
        <v>4838.1296291666667</v>
      </c>
      <c r="Q23" s="7">
        <f t="shared" si="10"/>
        <v>4692.4955846026487</v>
      </c>
      <c r="R23" s="7">
        <f t="shared" si="10"/>
        <v>4509.9096182835819</v>
      </c>
    </row>
    <row r="24" spans="1:18" x14ac:dyDescent="0.25">
      <c r="A24" s="2" t="s">
        <v>291</v>
      </c>
      <c r="E24" s="7">
        <f>E$21/E$18</f>
        <v>2740.4401701923075</v>
      </c>
      <c r="F24" s="7">
        <f t="shared" ref="F24:R24" si="11">F$21/F$18</f>
        <v>2043.9008710784312</v>
      </c>
      <c r="G24" s="7">
        <f t="shared" si="11"/>
        <v>1805.6111108552632</v>
      </c>
      <c r="H24" s="7">
        <f t="shared" si="11"/>
        <v>1685.2865784653466</v>
      </c>
      <c r="I24" s="7">
        <f t="shared" si="11"/>
        <v>1612.7098763888889</v>
      </c>
      <c r="J24" s="7">
        <f t="shared" si="11"/>
        <v>1564.1651948675496</v>
      </c>
      <c r="L24" s="7">
        <f t="shared" si="11"/>
        <v>38263.944425000002</v>
      </c>
      <c r="M24" s="7">
        <f t="shared" si="11"/>
        <v>2043.9008710784312</v>
      </c>
      <c r="N24" s="7">
        <f t="shared" si="11"/>
        <v>1805.6111108552632</v>
      </c>
      <c r="O24" s="7">
        <f t="shared" si="11"/>
        <v>1685.2865784653466</v>
      </c>
      <c r="P24" s="7">
        <f t="shared" si="11"/>
        <v>1612.7098763888889</v>
      </c>
      <c r="Q24" s="7">
        <f t="shared" si="11"/>
        <v>1564.1651948675496</v>
      </c>
      <c r="R24" s="7">
        <f t="shared" si="11"/>
        <v>1503.3032060945272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317</v>
      </c>
      <c r="E26" s="29">
        <f>E$22+E$17*$E$10</f>
        <v>500308.66654999997</v>
      </c>
      <c r="F26" s="29">
        <f t="shared" ref="F26:R26" si="12">F$22+F$17*$E$10</f>
        <v>768233.66654999997</v>
      </c>
      <c r="G26" s="29">
        <f t="shared" si="12"/>
        <v>1036158.66655</v>
      </c>
      <c r="H26" s="29">
        <f t="shared" si="12"/>
        <v>1304083.66655</v>
      </c>
      <c r="I26" s="29">
        <f t="shared" si="12"/>
        <v>1572008.66655</v>
      </c>
      <c r="J26" s="29">
        <f t="shared" si="12"/>
        <v>1839933.66655</v>
      </c>
      <c r="L26" s="29">
        <f t="shared" si="12"/>
        <v>232383.66654999999</v>
      </c>
      <c r="M26" s="29">
        <f t="shared" si="12"/>
        <v>768233.66654999997</v>
      </c>
      <c r="N26" s="29">
        <f t="shared" si="12"/>
        <v>1036158.66655</v>
      </c>
      <c r="O26" s="29">
        <f t="shared" si="12"/>
        <v>1304083.66655</v>
      </c>
      <c r="P26" s="29">
        <f t="shared" si="12"/>
        <v>1572008.66655</v>
      </c>
      <c r="Q26" s="29">
        <f t="shared" si="12"/>
        <v>1839933.66655</v>
      </c>
      <c r="R26" s="29">
        <f t="shared" si="12"/>
        <v>2375783.6665500002</v>
      </c>
    </row>
    <row r="27" spans="1:18" ht="30" x14ac:dyDescent="0.25">
      <c r="A27" s="2" t="s">
        <v>324</v>
      </c>
      <c r="E27" s="29">
        <f>E$22+E$17*$E$11</f>
        <v>521238.66654999997</v>
      </c>
      <c r="F27" s="29">
        <f t="shared" ref="F27:R27" si="13">F$22+F$17*$E$11</f>
        <v>809288.66654999997</v>
      </c>
      <c r="G27" s="29">
        <f t="shared" si="13"/>
        <v>1097338.66655</v>
      </c>
      <c r="H27" s="29">
        <f t="shared" si="13"/>
        <v>1385388.66655</v>
      </c>
      <c r="I27" s="29">
        <f t="shared" si="13"/>
        <v>1673438.66655</v>
      </c>
      <c r="J27" s="29">
        <f t="shared" si="13"/>
        <v>1961488.66655</v>
      </c>
      <c r="L27" s="29">
        <f t="shared" si="13"/>
        <v>233188.66654999999</v>
      </c>
      <c r="M27" s="29">
        <f t="shared" si="13"/>
        <v>809288.66654999997</v>
      </c>
      <c r="N27" s="29">
        <f t="shared" si="13"/>
        <v>1097338.66655</v>
      </c>
      <c r="O27" s="29">
        <f t="shared" si="13"/>
        <v>1385388.66655</v>
      </c>
      <c r="P27" s="29">
        <f t="shared" si="13"/>
        <v>1673438.66655</v>
      </c>
      <c r="Q27" s="29">
        <f t="shared" si="13"/>
        <v>1961488.66655</v>
      </c>
      <c r="R27" s="29">
        <f t="shared" si="13"/>
        <v>2537588.6665500002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110651.041725</v>
      </c>
      <c r="F29" s="7">
        <f t="shared" si="14"/>
        <v>113385.416725</v>
      </c>
      <c r="G29" s="7">
        <f t="shared" si="14"/>
        <v>116119.791725</v>
      </c>
      <c r="H29" s="7">
        <f t="shared" si="14"/>
        <v>118854.166725</v>
      </c>
      <c r="I29" s="7">
        <f t="shared" si="14"/>
        <v>121588.541725</v>
      </c>
      <c r="J29" s="7">
        <f t="shared" si="14"/>
        <v>124322.916725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307</v>
      </c>
      <c r="E30" s="7">
        <f>E$29*1.2</f>
        <v>132781.25007000001</v>
      </c>
      <c r="F30" s="7">
        <f t="shared" ref="F30:R31" si="16">F$29*1.2</f>
        <v>136062.50007000001</v>
      </c>
      <c r="G30" s="7">
        <f t="shared" si="16"/>
        <v>139343.75007000001</v>
      </c>
      <c r="H30" s="7">
        <f t="shared" si="16"/>
        <v>142625.00007000001</v>
      </c>
      <c r="I30" s="7">
        <f t="shared" si="16"/>
        <v>145906.25007000001</v>
      </c>
      <c r="J30" s="7">
        <f t="shared" si="16"/>
        <v>149187.50007000001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308</v>
      </c>
      <c r="E31" s="7">
        <f>E$29*1.2</f>
        <v>132781.25007000001</v>
      </c>
      <c r="F31" s="7">
        <f t="shared" si="16"/>
        <v>136062.50007000001</v>
      </c>
      <c r="G31" s="7">
        <f t="shared" si="16"/>
        <v>139343.75007000001</v>
      </c>
      <c r="H31" s="7">
        <f t="shared" si="16"/>
        <v>142625.00007000001</v>
      </c>
      <c r="I31" s="7">
        <f t="shared" si="16"/>
        <v>145906.25007000001</v>
      </c>
      <c r="J31" s="7">
        <f t="shared" si="16"/>
        <v>149187.50007000001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309</v>
      </c>
      <c r="E33" s="7">
        <f>PhiMayCanMang(E$17,$C$5/100, $D$5/100)*(1+$D$8)+ E$17*$E$14</f>
        <v>147390.13344999999</v>
      </c>
      <c r="F33" s="7">
        <f t="shared" ref="F33:J33" si="17">PhiMayCanMang(F$17,$C$5/100, $D$5/100)*(1+$D$8)+ F$17*$E$14</f>
        <v>165557.19232500001</v>
      </c>
      <c r="G33" s="7">
        <f t="shared" si="17"/>
        <v>183724.25102500001</v>
      </c>
      <c r="H33" s="7">
        <f t="shared" si="17"/>
        <v>202344.25102500001</v>
      </c>
      <c r="I33" s="7">
        <f t="shared" si="17"/>
        <v>220511.30989999999</v>
      </c>
      <c r="J33" s="7">
        <f t="shared" si="17"/>
        <v>238678.36877499998</v>
      </c>
      <c r="L33" s="7">
        <f>PhiMayCanMang(L$17,$C$5/100, $D$5/100)*(1+$D$8)</f>
        <v>128786.274575</v>
      </c>
      <c r="M33" s="7">
        <f t="shared" ref="M33:R33" si="18">PhiMayCanMang(M$17,$C$5/100, $D$5/100)*(1+$D$8)</f>
        <v>143280.39232500002</v>
      </c>
      <c r="N33" s="7">
        <f t="shared" si="18"/>
        <v>150527.45102500002</v>
      </c>
      <c r="O33" s="7">
        <f t="shared" si="18"/>
        <v>158227.45102500002</v>
      </c>
      <c r="P33" s="7">
        <f t="shared" si="18"/>
        <v>165474.5099</v>
      </c>
      <c r="Q33" s="7">
        <f t="shared" si="18"/>
        <v>172721.56877499999</v>
      </c>
      <c r="R33" s="7">
        <f t="shared" si="18"/>
        <v>187668.62765000001</v>
      </c>
    </row>
    <row r="34" spans="1:18" x14ac:dyDescent="0.25">
      <c r="A34" s="2" t="s">
        <v>318</v>
      </c>
      <c r="E34" s="7">
        <f>E$33/E$16</f>
        <v>5895.6053379999994</v>
      </c>
      <c r="F34" s="7">
        <f t="shared" ref="F34:J34" si="19">F$33/F$16</f>
        <v>3311.1438465000001</v>
      </c>
      <c r="G34" s="7">
        <f t="shared" si="19"/>
        <v>2449.6566803333335</v>
      </c>
      <c r="H34" s="7">
        <f t="shared" si="19"/>
        <v>2023.4425102499999</v>
      </c>
      <c r="I34" s="7">
        <f t="shared" si="19"/>
        <v>1764.0904791999999</v>
      </c>
      <c r="J34" s="7">
        <f t="shared" si="19"/>
        <v>1591.1891251666666</v>
      </c>
      <c r="L34" s="7"/>
      <c r="M34" s="7">
        <f>M$17*$E$14/M$16</f>
        <v>445.536</v>
      </c>
      <c r="N34" s="7">
        <f t="shared" ref="N34:R34" si="20">N$17*$E$14/N$16</f>
        <v>442.62400000000002</v>
      </c>
      <c r="O34" s="7">
        <f t="shared" si="20"/>
        <v>441.16800000000001</v>
      </c>
      <c r="P34" s="7">
        <f t="shared" si="20"/>
        <v>440.2944</v>
      </c>
      <c r="Q34" s="7">
        <f t="shared" si="20"/>
        <v>439.71200000000005</v>
      </c>
      <c r="R34" s="7">
        <f t="shared" si="20"/>
        <v>438.98400000000004</v>
      </c>
    </row>
    <row r="35" spans="1:18" x14ac:dyDescent="0.25">
      <c r="A35" s="2" t="s">
        <v>310</v>
      </c>
      <c r="E35" s="7">
        <f>PhiMayCanMang(E$17*2,$C$5/100, $D$5/100)*(1+$D$8)+ E$17*$E$14*2</f>
        <v>166446.93345000001</v>
      </c>
      <c r="F35" s="7">
        <f t="shared" ref="F35:J35" si="21">PhiMayCanMang(F$17*2,$C$5/100, $D$5/100)*(1+$D$8)+ F$17*$E$14*2</f>
        <v>202781.05102500002</v>
      </c>
      <c r="G35" s="7">
        <f t="shared" si="21"/>
        <v>239568.10990000001</v>
      </c>
      <c r="H35" s="7">
        <f t="shared" si="21"/>
        <v>275902.22765000002</v>
      </c>
      <c r="I35" s="7">
        <f t="shared" si="21"/>
        <v>312689.28635000001</v>
      </c>
      <c r="J35" s="7">
        <f t="shared" si="21"/>
        <v>349023.40410000004</v>
      </c>
      <c r="L35" s="7">
        <f>PhiMayCanMang(L$17*2,$C$5/100, $D$5/100)*(1+$D$8)</f>
        <v>128786.274575</v>
      </c>
      <c r="M35" s="7">
        <f t="shared" ref="M35:R35" si="22">PhiMayCanMang(M$17*2,$C$5/100, $D$5/100)*(1+$D$8)</f>
        <v>158227.45102500002</v>
      </c>
      <c r="N35" s="7">
        <f t="shared" si="22"/>
        <v>173174.5099</v>
      </c>
      <c r="O35" s="7">
        <f t="shared" si="22"/>
        <v>187668.62765000001</v>
      </c>
      <c r="P35" s="7">
        <f t="shared" si="22"/>
        <v>202615.68635</v>
      </c>
      <c r="Q35" s="7">
        <f t="shared" si="22"/>
        <v>217109.80410000001</v>
      </c>
      <c r="R35" s="7">
        <f t="shared" si="22"/>
        <v>246550.98055000001</v>
      </c>
    </row>
    <row r="36" spans="1:18" x14ac:dyDescent="0.25">
      <c r="A36" s="2" t="s">
        <v>319</v>
      </c>
      <c r="E36" s="7">
        <f>E$35/E$16</f>
        <v>6657.8773380000002</v>
      </c>
      <c r="F36" s="7">
        <f t="shared" ref="F36:J36" si="23">F$35/F$16</f>
        <v>4055.6210205000007</v>
      </c>
      <c r="G36" s="7">
        <f t="shared" si="23"/>
        <v>3194.2414653333335</v>
      </c>
      <c r="H36" s="7">
        <f t="shared" si="23"/>
        <v>2759.0222765000003</v>
      </c>
      <c r="I36" s="7">
        <f t="shared" si="23"/>
        <v>2501.5142908000003</v>
      </c>
      <c r="J36" s="7">
        <f t="shared" si="23"/>
        <v>2326.8226940000004</v>
      </c>
      <c r="M36" s="7">
        <f>M$17*2*$E$14/M$16</f>
        <v>891.072</v>
      </c>
      <c r="N36" s="7">
        <f t="shared" ref="N36:R36" si="24">N$17*2*$E$14/N$16</f>
        <v>885.24800000000005</v>
      </c>
      <c r="O36" s="7">
        <f t="shared" si="24"/>
        <v>882.33600000000001</v>
      </c>
      <c r="P36" s="7">
        <f t="shared" si="24"/>
        <v>880.58879999999999</v>
      </c>
      <c r="Q36" s="7">
        <f t="shared" si="24"/>
        <v>879.42400000000009</v>
      </c>
      <c r="R36" s="7">
        <f t="shared" si="24"/>
        <v>877.96800000000007</v>
      </c>
    </row>
    <row r="39" spans="1:18" ht="30" x14ac:dyDescent="0.25">
      <c r="A39" s="2" t="s">
        <v>367</v>
      </c>
      <c r="E39" s="7">
        <f>E$26-MOD(E$26,1000)</f>
        <v>500000</v>
      </c>
      <c r="F39" s="7">
        <f t="shared" ref="F39:J39" si="25">F$26-MOD(F$26,1000)</f>
        <v>768000</v>
      </c>
      <c r="G39" s="7">
        <f t="shared" si="25"/>
        <v>1036000</v>
      </c>
      <c r="H39" s="7">
        <f t="shared" si="25"/>
        <v>1304000</v>
      </c>
      <c r="I39" s="7">
        <f t="shared" si="25"/>
        <v>1572000</v>
      </c>
      <c r="J39" s="7">
        <f t="shared" si="25"/>
        <v>1839000</v>
      </c>
    </row>
    <row r="40" spans="1:18" ht="30" x14ac:dyDescent="0.25">
      <c r="A40" s="2" t="s">
        <v>368</v>
      </c>
      <c r="E40" s="7">
        <f>E$27-MOD(E$27,1000)</f>
        <v>521000</v>
      </c>
      <c r="F40" s="7">
        <f t="shared" ref="F40:J40" si="26">F$27-MOD(F$27,1000)</f>
        <v>809000</v>
      </c>
      <c r="G40" s="7">
        <f t="shared" si="26"/>
        <v>1097000</v>
      </c>
      <c r="H40" s="7">
        <f t="shared" si="26"/>
        <v>1385000</v>
      </c>
      <c r="I40" s="7">
        <f t="shared" si="26"/>
        <v>1673000</v>
      </c>
      <c r="J40" s="7">
        <f t="shared" si="26"/>
        <v>1961000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38"/>
  <sheetViews>
    <sheetView workbookViewId="0">
      <selection activeCell="F10" sqref="F1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338</v>
      </c>
    </row>
    <row r="2" spans="1:14" x14ac:dyDescent="0.25">
      <c r="A2" t="s">
        <v>290</v>
      </c>
      <c r="B2" s="35">
        <v>43609</v>
      </c>
    </row>
    <row r="3" spans="1:14" x14ac:dyDescent="0.25">
      <c r="B3" t="s">
        <v>206</v>
      </c>
      <c r="C3" t="s">
        <v>278</v>
      </c>
    </row>
    <row r="4" spans="1:14" x14ac:dyDescent="0.25">
      <c r="A4" t="s">
        <v>277</v>
      </c>
      <c r="B4">
        <v>32</v>
      </c>
      <c r="C4">
        <v>47</v>
      </c>
    </row>
    <row r="5" spans="1:14" ht="30" x14ac:dyDescent="0.25">
      <c r="A5" t="s">
        <v>275</v>
      </c>
      <c r="B5" s="1" t="s">
        <v>141</v>
      </c>
      <c r="E5" s="2" t="s">
        <v>300</v>
      </c>
      <c r="F5" t="s">
        <v>343</v>
      </c>
    </row>
    <row r="6" spans="1:14" x14ac:dyDescent="0.25">
      <c r="A6" t="s">
        <v>288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302</v>
      </c>
    </row>
    <row r="8" spans="1:14" x14ac:dyDescent="0.25">
      <c r="B8" t="s">
        <v>284</v>
      </c>
      <c r="C8" t="s">
        <v>285</v>
      </c>
      <c r="D8" t="s">
        <v>287</v>
      </c>
      <c r="E8" t="s">
        <v>286</v>
      </c>
      <c r="F8" t="s">
        <v>337</v>
      </c>
    </row>
    <row r="9" spans="1:14" x14ac:dyDescent="0.25">
      <c r="A9" t="s">
        <v>283</v>
      </c>
      <c r="B9" t="s">
        <v>330</v>
      </c>
      <c r="C9" t="s">
        <v>331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336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279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298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30" x14ac:dyDescent="0.25">
      <c r="A18" s="2" t="s">
        <v>299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25">
      <c r="A19" s="2" t="s">
        <v>293</v>
      </c>
      <c r="E19" s="36">
        <f t="shared" ref="E19:N19" si="3">PhiMayInToner4M(E$18)</f>
        <v>70873.333299999998</v>
      </c>
      <c r="F19" s="36">
        <f t="shared" si="3"/>
        <v>76905.333299999998</v>
      </c>
      <c r="G19" s="36">
        <f t="shared" si="3"/>
        <v>82937.333299999998</v>
      </c>
      <c r="H19" s="36">
        <f t="shared" si="3"/>
        <v>88969.333299999998</v>
      </c>
      <c r="I19" s="36">
        <f t="shared" si="3"/>
        <v>95001.333299999998</v>
      </c>
      <c r="J19" s="36">
        <f t="shared" si="3"/>
        <v>101033.3333</v>
      </c>
      <c r="K19" s="36">
        <f t="shared" si="3"/>
        <v>107065.3333</v>
      </c>
      <c r="L19" s="36">
        <f t="shared" si="3"/>
        <v>113097.3333</v>
      </c>
      <c r="M19" s="36">
        <f t="shared" si="3"/>
        <v>119129.3333</v>
      </c>
      <c r="N19" s="36">
        <f t="shared" si="3"/>
        <v>125161.3333</v>
      </c>
      <c r="O19" s="36"/>
    </row>
    <row r="20" spans="1:15" x14ac:dyDescent="0.25">
      <c r="A20" s="2" t="s">
        <v>301</v>
      </c>
      <c r="E20" s="36">
        <f t="shared" ref="E20:N20" si="4">E$19*2</f>
        <v>141746.6666</v>
      </c>
      <c r="F20" s="36">
        <f t="shared" si="4"/>
        <v>153810.6666</v>
      </c>
      <c r="G20" s="36">
        <f t="shared" si="4"/>
        <v>165874.6666</v>
      </c>
      <c r="H20" s="36">
        <f t="shared" si="4"/>
        <v>177938.6666</v>
      </c>
      <c r="I20" s="36">
        <f t="shared" si="4"/>
        <v>190002.6666</v>
      </c>
      <c r="J20" s="36">
        <f t="shared" si="4"/>
        <v>202066.6666</v>
      </c>
      <c r="K20" s="36">
        <f t="shared" si="4"/>
        <v>214130.6666</v>
      </c>
      <c r="L20" s="36">
        <f t="shared" si="4"/>
        <v>226194.6666</v>
      </c>
      <c r="M20" s="36">
        <f t="shared" si="4"/>
        <v>238258.6666</v>
      </c>
      <c r="N20" s="36">
        <f t="shared" si="4"/>
        <v>250322.6666</v>
      </c>
      <c r="O20" s="36"/>
    </row>
    <row r="21" spans="1:15" ht="30" x14ac:dyDescent="0.25">
      <c r="A21" s="20" t="s">
        <v>294</v>
      </c>
      <c r="E21" s="29">
        <f t="shared" ref="E21:N21" si="5">E$19*(1+$D$7)</f>
        <v>124028.333275</v>
      </c>
      <c r="F21" s="29">
        <f t="shared" si="5"/>
        <v>134584.33327499998</v>
      </c>
      <c r="G21" s="29">
        <f t="shared" si="5"/>
        <v>145140.33327499998</v>
      </c>
      <c r="H21" s="29">
        <f t="shared" si="5"/>
        <v>155696.33327499998</v>
      </c>
      <c r="I21" s="29">
        <f t="shared" si="5"/>
        <v>166252.33327499998</v>
      </c>
      <c r="J21" s="29">
        <f t="shared" si="5"/>
        <v>176808.33327499998</v>
      </c>
      <c r="K21" s="29">
        <f t="shared" si="5"/>
        <v>187364.33327499998</v>
      </c>
      <c r="L21" s="29">
        <f t="shared" si="5"/>
        <v>197920.33327499998</v>
      </c>
      <c r="M21" s="29">
        <f t="shared" si="5"/>
        <v>208476.33327499998</v>
      </c>
      <c r="N21" s="29">
        <f t="shared" si="5"/>
        <v>219032.33327499998</v>
      </c>
      <c r="O21" s="29"/>
    </row>
    <row r="22" spans="1:15" ht="30" x14ac:dyDescent="0.25">
      <c r="A22" s="20" t="s">
        <v>297</v>
      </c>
      <c r="E22" s="29">
        <f t="shared" ref="E22:N22" si="6">E$20*(1+$D$7)</f>
        <v>248056.66654999999</v>
      </c>
      <c r="F22" s="29">
        <f t="shared" si="6"/>
        <v>269168.66654999997</v>
      </c>
      <c r="G22" s="29">
        <f t="shared" si="6"/>
        <v>290280.66654999997</v>
      </c>
      <c r="H22" s="29">
        <f t="shared" si="6"/>
        <v>311392.66654999997</v>
      </c>
      <c r="I22" s="29">
        <f t="shared" si="6"/>
        <v>332504.66654999997</v>
      </c>
      <c r="J22" s="29">
        <f t="shared" si="6"/>
        <v>353616.66654999997</v>
      </c>
      <c r="K22" s="29">
        <f t="shared" si="6"/>
        <v>374728.66654999997</v>
      </c>
      <c r="L22" s="29">
        <f t="shared" si="6"/>
        <v>395840.66654999997</v>
      </c>
      <c r="M22" s="29">
        <f t="shared" si="6"/>
        <v>416952.66654999997</v>
      </c>
      <c r="N22" s="29">
        <f t="shared" si="6"/>
        <v>438064.66654999997</v>
      </c>
      <c r="O22" s="29"/>
    </row>
    <row r="23" spans="1:15" x14ac:dyDescent="0.25">
      <c r="A23" s="2" t="s">
        <v>289</v>
      </c>
      <c r="E23" s="7">
        <f t="shared" ref="E23:N23" si="7">E$21/E$17</f>
        <v>24805.666655000001</v>
      </c>
      <c r="F23" s="7">
        <f t="shared" si="7"/>
        <v>14953.814808333331</v>
      </c>
      <c r="G23" s="7">
        <f t="shared" si="7"/>
        <v>11164.641021153844</v>
      </c>
      <c r="H23" s="7">
        <f t="shared" si="7"/>
        <v>9158.6078397058809</v>
      </c>
      <c r="I23" s="7">
        <f t="shared" si="7"/>
        <v>7916.7777749999996</v>
      </c>
      <c r="J23" s="7">
        <f t="shared" si="7"/>
        <v>7072.3333309999989</v>
      </c>
      <c r="K23" s="7">
        <f t="shared" si="7"/>
        <v>6460.8390784482754</v>
      </c>
      <c r="L23" s="7">
        <f t="shared" si="7"/>
        <v>5997.5858568181811</v>
      </c>
      <c r="M23" s="7">
        <f t="shared" si="7"/>
        <v>5634.4954939189183</v>
      </c>
      <c r="N23" s="7">
        <f t="shared" si="7"/>
        <v>5342.2520310975606</v>
      </c>
      <c r="O23" s="7"/>
    </row>
    <row r="24" spans="1:15" x14ac:dyDescent="0.25">
      <c r="A24" s="2" t="s">
        <v>291</v>
      </c>
      <c r="E24" s="7">
        <f t="shared" ref="E24:N24" si="8">E$21/E$18</f>
        <v>12402.8333275</v>
      </c>
      <c r="F24" s="7">
        <f t="shared" si="8"/>
        <v>7476.9074041666654</v>
      </c>
      <c r="G24" s="7">
        <f t="shared" si="8"/>
        <v>5582.3205105769221</v>
      </c>
      <c r="H24" s="7">
        <f t="shared" si="8"/>
        <v>4579.3039198529405</v>
      </c>
      <c r="I24" s="7">
        <f t="shared" si="8"/>
        <v>3958.3888874999998</v>
      </c>
      <c r="J24" s="7">
        <f t="shared" si="8"/>
        <v>3536.1666654999995</v>
      </c>
      <c r="K24" s="7">
        <f t="shared" si="8"/>
        <v>3230.4195392241377</v>
      </c>
      <c r="L24" s="7">
        <f t="shared" si="8"/>
        <v>2998.7929284090906</v>
      </c>
      <c r="M24" s="7">
        <f t="shared" si="8"/>
        <v>2817.2477469594592</v>
      </c>
      <c r="N24" s="7">
        <f t="shared" si="8"/>
        <v>2671.1260155487803</v>
      </c>
      <c r="O24" s="7"/>
    </row>
    <row r="25" spans="1:15" x14ac:dyDescent="0.25">
      <c r="A25" s="20" t="s">
        <v>292</v>
      </c>
      <c r="E25" s="29">
        <f t="shared" ref="E25:N25" si="9">$E$9*E$17</f>
        <v>36750</v>
      </c>
      <c r="F25" s="29">
        <f t="shared" si="9"/>
        <v>66150</v>
      </c>
      <c r="G25" s="29">
        <f t="shared" si="9"/>
        <v>95550</v>
      </c>
      <c r="H25" s="29">
        <f t="shared" si="9"/>
        <v>124950</v>
      </c>
      <c r="I25" s="29">
        <f t="shared" si="9"/>
        <v>154350</v>
      </c>
      <c r="J25" s="29">
        <f t="shared" si="9"/>
        <v>183750</v>
      </c>
      <c r="K25" s="29">
        <f t="shared" si="9"/>
        <v>213150</v>
      </c>
      <c r="L25" s="29">
        <f t="shared" si="9"/>
        <v>242550</v>
      </c>
      <c r="M25" s="29">
        <f t="shared" si="9"/>
        <v>271950</v>
      </c>
      <c r="N25" s="29">
        <f t="shared" si="9"/>
        <v>301350</v>
      </c>
      <c r="O25" s="29"/>
    </row>
    <row r="26" spans="1:15" ht="30" x14ac:dyDescent="0.25">
      <c r="A26" s="2" t="s">
        <v>295</v>
      </c>
      <c r="E26" s="36">
        <f t="shared" ref="E26:N26" si="10">E$21+E$25</f>
        <v>160778.33327499998</v>
      </c>
      <c r="F26" s="36">
        <f t="shared" si="10"/>
        <v>200734.33327499998</v>
      </c>
      <c r="G26" s="36">
        <f t="shared" si="10"/>
        <v>240690.33327499998</v>
      </c>
      <c r="H26" s="36">
        <f t="shared" si="10"/>
        <v>280646.33327499998</v>
      </c>
      <c r="I26" s="36">
        <f t="shared" si="10"/>
        <v>320602.33327499998</v>
      </c>
      <c r="J26" s="36">
        <f t="shared" si="10"/>
        <v>360558.33327499998</v>
      </c>
      <c r="K26" s="36">
        <f t="shared" si="10"/>
        <v>400514.33327499998</v>
      </c>
      <c r="L26" s="36">
        <f t="shared" si="10"/>
        <v>440470.33327499998</v>
      </c>
      <c r="M26" s="36">
        <f t="shared" si="10"/>
        <v>480426.33327499998</v>
      </c>
      <c r="N26" s="36">
        <f t="shared" si="10"/>
        <v>520382.33327499998</v>
      </c>
      <c r="O26" s="29"/>
    </row>
    <row r="27" spans="1:15" ht="30" x14ac:dyDescent="0.25">
      <c r="A27" s="2" t="s">
        <v>296</v>
      </c>
      <c r="E27" s="36">
        <f t="shared" ref="E27:N27" si="11">E$22+E$25</f>
        <v>284806.66654999997</v>
      </c>
      <c r="F27" s="36">
        <f t="shared" si="11"/>
        <v>335318.66654999997</v>
      </c>
      <c r="G27" s="36">
        <f t="shared" si="11"/>
        <v>385830.66654999997</v>
      </c>
      <c r="H27" s="36">
        <f t="shared" si="11"/>
        <v>436342.66654999997</v>
      </c>
      <c r="I27" s="36">
        <f t="shared" si="11"/>
        <v>486854.66654999997</v>
      </c>
      <c r="J27" s="36">
        <f t="shared" si="11"/>
        <v>537366.66654999997</v>
      </c>
      <c r="K27" s="36">
        <f t="shared" si="11"/>
        <v>587878.66654999997</v>
      </c>
      <c r="L27" s="36">
        <f t="shared" si="11"/>
        <v>638390.66654999997</v>
      </c>
      <c r="M27" s="36">
        <f t="shared" si="11"/>
        <v>688902.66654999997</v>
      </c>
      <c r="N27" s="36">
        <f t="shared" si="11"/>
        <v>739414.66654999997</v>
      </c>
      <c r="O27" s="29"/>
    </row>
    <row r="28" spans="1:15" x14ac:dyDescent="0.25">
      <c r="A28" s="2"/>
    </row>
    <row r="29" spans="1:15" ht="30" x14ac:dyDescent="0.25">
      <c r="A29" s="2" t="s">
        <v>370</v>
      </c>
      <c r="E29" s="7">
        <f>E$26-MOD(E$26,1000)</f>
        <v>160000</v>
      </c>
      <c r="F29" s="7">
        <f t="shared" ref="F29:N29" si="12">F$26-MOD(F$26,1000)</f>
        <v>200000</v>
      </c>
      <c r="G29" s="7">
        <f t="shared" si="12"/>
        <v>240000</v>
      </c>
      <c r="H29" s="7">
        <f t="shared" si="12"/>
        <v>280000</v>
      </c>
      <c r="I29" s="7">
        <f t="shared" si="12"/>
        <v>320000</v>
      </c>
      <c r="J29" s="7">
        <f t="shared" si="12"/>
        <v>360000</v>
      </c>
      <c r="K29" s="7">
        <f t="shared" si="12"/>
        <v>400000</v>
      </c>
      <c r="L29" s="7">
        <f t="shared" si="12"/>
        <v>440000</v>
      </c>
      <c r="M29" s="7">
        <f t="shared" si="12"/>
        <v>480000</v>
      </c>
      <c r="N29" s="7">
        <f t="shared" si="12"/>
        <v>520000</v>
      </c>
    </row>
    <row r="30" spans="1:15" ht="30" x14ac:dyDescent="0.25">
      <c r="A30" s="2" t="s">
        <v>371</v>
      </c>
      <c r="E30" s="7">
        <f>E$27-MOD(E$27,1000)</f>
        <v>284000</v>
      </c>
      <c r="F30" s="7">
        <f t="shared" ref="F30:N30" si="13">F$27-MOD(F$27,1000)</f>
        <v>335000</v>
      </c>
      <c r="G30" s="7">
        <f t="shared" si="13"/>
        <v>385000</v>
      </c>
      <c r="H30" s="7">
        <f t="shared" si="13"/>
        <v>436000</v>
      </c>
      <c r="I30" s="7">
        <f t="shared" si="13"/>
        <v>486000</v>
      </c>
      <c r="J30" s="7">
        <f t="shared" si="13"/>
        <v>537000</v>
      </c>
      <c r="K30" s="7">
        <f t="shared" si="13"/>
        <v>587000</v>
      </c>
      <c r="L30" s="7">
        <f t="shared" si="13"/>
        <v>638000</v>
      </c>
      <c r="M30" s="7">
        <f t="shared" si="13"/>
        <v>688000</v>
      </c>
      <c r="N30" s="7">
        <f t="shared" si="13"/>
        <v>739000</v>
      </c>
    </row>
    <row r="37" spans="1:14" x14ac:dyDescent="0.25">
      <c r="A37" s="2" t="s">
        <v>334</v>
      </c>
      <c r="E37" s="7">
        <f>E$26/(E$15)</f>
        <v>160778.33327499998</v>
      </c>
      <c r="F37" s="7">
        <f t="shared" ref="F37:N37" si="14">F$26/(F$16/5)</f>
        <v>125458.95829687499</v>
      </c>
      <c r="G37" s="7">
        <f t="shared" si="14"/>
        <v>100287.63886458334</v>
      </c>
      <c r="H37" s="7">
        <f t="shared" si="14"/>
        <v>87701.979148437487</v>
      </c>
      <c r="I37" s="7">
        <f t="shared" si="14"/>
        <v>80150.583318749996</v>
      </c>
      <c r="J37" s="7">
        <f t="shared" si="14"/>
        <v>75116.319432291668</v>
      </c>
      <c r="K37" s="7">
        <f t="shared" si="14"/>
        <v>71520.416656250003</v>
      </c>
      <c r="L37" s="7">
        <f t="shared" si="14"/>
        <v>68823.489574218736</v>
      </c>
      <c r="M37" s="7">
        <f t="shared" si="14"/>
        <v>66725.879621527769</v>
      </c>
      <c r="N37" s="7">
        <f t="shared" si="14"/>
        <v>65047.791659374998</v>
      </c>
    </row>
    <row r="38" spans="1:14" x14ac:dyDescent="0.25">
      <c r="A38" s="2" t="s">
        <v>335</v>
      </c>
      <c r="E38" s="7">
        <f>E$27/(E$16/5)</f>
        <v>356008.33318749996</v>
      </c>
      <c r="F38" s="7">
        <f t="shared" ref="F38:N38" si="15">F$27/(F$16/5)</f>
        <v>209574.16659374998</v>
      </c>
      <c r="G38" s="7">
        <f t="shared" si="15"/>
        <v>160762.77772916667</v>
      </c>
      <c r="H38" s="7">
        <f t="shared" si="15"/>
        <v>136357.08329687497</v>
      </c>
      <c r="I38" s="7">
        <f t="shared" si="15"/>
        <v>121713.66663749999</v>
      </c>
      <c r="J38" s="7">
        <f t="shared" si="15"/>
        <v>111951.38886458334</v>
      </c>
      <c r="K38" s="7">
        <f t="shared" si="15"/>
        <v>104978.33331250001</v>
      </c>
      <c r="L38" s="7">
        <f t="shared" si="15"/>
        <v>99748.541648437487</v>
      </c>
      <c r="M38" s="7">
        <f t="shared" si="15"/>
        <v>95680.925909722209</v>
      </c>
      <c r="N38" s="7">
        <f t="shared" si="15"/>
        <v>92426.833318749996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G38"/>
  <sheetViews>
    <sheetView topLeftCell="A10" workbookViewId="0">
      <selection activeCell="E29" sqref="E29:E3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339</v>
      </c>
    </row>
    <row r="2" spans="1:7" x14ac:dyDescent="0.25">
      <c r="A2" t="s">
        <v>290</v>
      </c>
      <c r="B2" s="35">
        <v>43609</v>
      </c>
    </row>
    <row r="3" spans="1:7" x14ac:dyDescent="0.25">
      <c r="B3" t="s">
        <v>206</v>
      </c>
      <c r="C3" t="s">
        <v>278</v>
      </c>
    </row>
    <row r="4" spans="1:7" x14ac:dyDescent="0.25">
      <c r="A4" t="s">
        <v>277</v>
      </c>
      <c r="B4">
        <v>32</v>
      </c>
      <c r="C4">
        <v>39</v>
      </c>
    </row>
    <row r="5" spans="1:7" ht="30" x14ac:dyDescent="0.25">
      <c r="A5" t="s">
        <v>275</v>
      </c>
      <c r="B5" s="1" t="s">
        <v>137</v>
      </c>
      <c r="E5" s="2" t="s">
        <v>300</v>
      </c>
      <c r="F5" t="s">
        <v>342</v>
      </c>
    </row>
    <row r="6" spans="1:7" x14ac:dyDescent="0.25">
      <c r="A6" t="s">
        <v>288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302</v>
      </c>
    </row>
    <row r="8" spans="1:7" x14ac:dyDescent="0.25">
      <c r="B8" t="s">
        <v>284</v>
      </c>
      <c r="C8" t="s">
        <v>285</v>
      </c>
      <c r="D8" t="s">
        <v>287</v>
      </c>
      <c r="E8" t="s">
        <v>286</v>
      </c>
      <c r="F8" t="s">
        <v>337</v>
      </c>
    </row>
    <row r="9" spans="1:7" x14ac:dyDescent="0.25">
      <c r="A9" t="s">
        <v>283</v>
      </c>
      <c r="B9" t="s">
        <v>340</v>
      </c>
      <c r="C9" t="s">
        <v>341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336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E15">
        <v>5</v>
      </c>
      <c r="F15">
        <v>10</v>
      </c>
      <c r="G15">
        <v>20</v>
      </c>
    </row>
    <row r="16" spans="1:7" x14ac:dyDescent="0.25">
      <c r="A16" s="1" t="s">
        <v>344</v>
      </c>
      <c r="E16">
        <f>E$15*$F$6</f>
        <v>25</v>
      </c>
      <c r="F16">
        <f t="shared" ref="F16:G16" si="0">F$15*$F$6</f>
        <v>50</v>
      </c>
      <c r="G16">
        <f t="shared" si="0"/>
        <v>100</v>
      </c>
    </row>
    <row r="17" spans="1:7" ht="30" x14ac:dyDescent="0.25">
      <c r="A17" s="2" t="s">
        <v>298</v>
      </c>
      <c r="E17">
        <f>E$16/$D$6 +1</f>
        <v>26</v>
      </c>
      <c r="F17">
        <f>F$16/$D$6 +1</f>
        <v>51</v>
      </c>
      <c r="G17">
        <f>G$16/$D$6 +1</f>
        <v>101</v>
      </c>
    </row>
    <row r="18" spans="1:7" ht="30" x14ac:dyDescent="0.25">
      <c r="A18" s="2" t="s">
        <v>299</v>
      </c>
      <c r="E18">
        <f>E$17*$E$6</f>
        <v>26</v>
      </c>
      <c r="F18">
        <f>F$17*$E$6</f>
        <v>51</v>
      </c>
      <c r="G18">
        <f>G$17*$E$6</f>
        <v>101</v>
      </c>
    </row>
    <row r="19" spans="1:7" x14ac:dyDescent="0.25">
      <c r="A19" s="2" t="s">
        <v>293</v>
      </c>
      <c r="E19" s="36">
        <f>PhiMayInToner4M(E$18)</f>
        <v>82937.333299999998</v>
      </c>
      <c r="F19" s="36">
        <f>PhiMayInToner4M(F$18)</f>
        <v>101787.3333</v>
      </c>
      <c r="G19" s="36">
        <f>PhiMayInToner4M(G$18)</f>
        <v>139487.3333</v>
      </c>
    </row>
    <row r="20" spans="1:7" x14ac:dyDescent="0.25">
      <c r="A20" s="2" t="s">
        <v>301</v>
      </c>
      <c r="E20" s="36">
        <f>E$19*2</f>
        <v>165874.6666</v>
      </c>
      <c r="F20" s="36">
        <f>F$19*2</f>
        <v>203574.6666</v>
      </c>
      <c r="G20" s="36">
        <f>G$19*2</f>
        <v>278974.6666</v>
      </c>
    </row>
    <row r="21" spans="1:7" ht="30" x14ac:dyDescent="0.25">
      <c r="A21" s="20" t="s">
        <v>294</v>
      </c>
      <c r="E21" s="29">
        <f>E$19*(1+$D$7)</f>
        <v>145140.33327499998</v>
      </c>
      <c r="F21" s="29">
        <f>F$19*(1+$D$7)</f>
        <v>178127.83327499998</v>
      </c>
      <c r="G21" s="29">
        <f>G$19*(1+$D$7)</f>
        <v>244102.83327499998</v>
      </c>
    </row>
    <row r="22" spans="1:7" ht="30" x14ac:dyDescent="0.25">
      <c r="A22" s="20" t="s">
        <v>297</v>
      </c>
      <c r="E22" s="29">
        <f>E$20*(1+$D$7)</f>
        <v>290280.66654999997</v>
      </c>
      <c r="F22" s="29">
        <f>F$20*(1+$D$7)</f>
        <v>356255.66654999997</v>
      </c>
      <c r="G22" s="29">
        <f>G$20*(1+$D$7)</f>
        <v>488205.66654999997</v>
      </c>
    </row>
    <row r="23" spans="1:7" x14ac:dyDescent="0.25">
      <c r="A23" s="2" t="s">
        <v>289</v>
      </c>
      <c r="E23" s="7">
        <f>E$21/E$17</f>
        <v>5582.3205105769221</v>
      </c>
      <c r="F23" s="7">
        <f>F$21/F$17</f>
        <v>3492.7026132352939</v>
      </c>
      <c r="G23" s="7">
        <f>G$21/G$17</f>
        <v>2416.8597353960395</v>
      </c>
    </row>
    <row r="24" spans="1:7" x14ac:dyDescent="0.25">
      <c r="A24" s="2" t="s">
        <v>291</v>
      </c>
      <c r="E24" s="7">
        <f>E$21/E$18</f>
        <v>5582.3205105769221</v>
      </c>
      <c r="F24" s="7">
        <f>F$21/F$18</f>
        <v>3492.7026132352939</v>
      </c>
      <c r="G24" s="7">
        <f>G$21/G$18</f>
        <v>2416.8597353960395</v>
      </c>
    </row>
    <row r="25" spans="1:7" x14ac:dyDescent="0.25">
      <c r="A25" s="20" t="s">
        <v>292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7" ht="30" x14ac:dyDescent="0.25">
      <c r="A26" s="2" t="s">
        <v>295</v>
      </c>
      <c r="E26" s="36">
        <f>E$21+E$25</f>
        <v>193370.33327499998</v>
      </c>
      <c r="F26" s="36">
        <f>F$21+F$25</f>
        <v>272732.83327499998</v>
      </c>
      <c r="G26" s="36">
        <f>G$21+G$25</f>
        <v>431457.83327499998</v>
      </c>
    </row>
    <row r="27" spans="1:7" ht="30" x14ac:dyDescent="0.25">
      <c r="A27" s="2" t="s">
        <v>296</v>
      </c>
      <c r="E27" s="36">
        <f>E$22+E$25</f>
        <v>338510.66654999997</v>
      </c>
      <c r="F27" s="36">
        <f>F$22+F$25</f>
        <v>450860.66654999997</v>
      </c>
      <c r="G27" s="36">
        <f>G$22+G$25</f>
        <v>675560.66654999997</v>
      </c>
    </row>
    <row r="28" spans="1:7" x14ac:dyDescent="0.25">
      <c r="A28" s="2"/>
    </row>
    <row r="29" spans="1:7" x14ac:dyDescent="0.25">
      <c r="A29" s="2" t="s">
        <v>365</v>
      </c>
      <c r="E29" s="7">
        <f>E$26-MOD(E$26,1000)</f>
        <v>193000</v>
      </c>
      <c r="F29" s="7">
        <f t="shared" ref="F29:G29" si="1">F$26-MOD(F$26,1000)</f>
        <v>272000</v>
      </c>
      <c r="G29" s="7">
        <f t="shared" si="1"/>
        <v>431000</v>
      </c>
    </row>
    <row r="30" spans="1:7" x14ac:dyDescent="0.25">
      <c r="A30" s="2" t="s">
        <v>366</v>
      </c>
      <c r="E30" s="7">
        <f>E$27-MOD(E$27,1000)</f>
        <v>338000</v>
      </c>
      <c r="F30" s="7">
        <f t="shared" ref="F30:G30" si="2">F$27-MOD(F$27,1000)</f>
        <v>450000</v>
      </c>
      <c r="G30" s="7">
        <f t="shared" si="2"/>
        <v>675000</v>
      </c>
    </row>
    <row r="37" spans="1:6" x14ac:dyDescent="0.25">
      <c r="A37" s="2" t="s">
        <v>334</v>
      </c>
      <c r="E37" s="7">
        <f>E$26/(E$16/E$15)</f>
        <v>38674.066654999995</v>
      </c>
      <c r="F37" s="7">
        <f t="shared" ref="F37" si="3">F$26/(F$16/F$15)</f>
        <v>54546.566654999995</v>
      </c>
    </row>
    <row r="38" spans="1:6" x14ac:dyDescent="0.25">
      <c r="A38" s="2" t="s">
        <v>335</v>
      </c>
      <c r="E38" s="7">
        <f>E$27/(E$16/E$15)</f>
        <v>67702.13330999999</v>
      </c>
      <c r="F38" s="7">
        <f t="shared" ref="F38" si="4">F$27/(F$16/F$15)</f>
        <v>90172.13330999999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3"/>
  <sheetViews>
    <sheetView topLeftCell="A21" workbookViewId="0">
      <selection activeCell="G38" sqref="G38"/>
    </sheetView>
  </sheetViews>
  <sheetFormatPr defaultRowHeight="15" x14ac:dyDescent="0.25"/>
  <cols>
    <col min="1" max="1" width="22.42578125" bestFit="1" customWidth="1"/>
    <col min="2" max="2" width="13.5703125" bestFit="1" customWidth="1"/>
    <col min="3" max="3" width="15" bestFit="1" customWidth="1"/>
    <col min="4" max="4" width="15.85546875" bestFit="1" customWidth="1"/>
    <col min="5" max="5" width="18.28515625" bestFit="1" customWidth="1"/>
    <col min="6" max="10" width="15" bestFit="1" customWidth="1"/>
    <col min="12" max="12" width="15" bestFit="1" customWidth="1"/>
    <col min="13" max="14" width="13.42578125" bestFit="1" customWidth="1"/>
    <col min="15" max="18" width="15" bestFit="1" customWidth="1"/>
  </cols>
  <sheetData>
    <row r="1" spans="1:5" x14ac:dyDescent="0.25">
      <c r="A1" s="1" t="s">
        <v>345</v>
      </c>
    </row>
    <row r="2" spans="1:5" x14ac:dyDescent="0.25">
      <c r="A2" t="s">
        <v>290</v>
      </c>
      <c r="B2" s="35">
        <v>43609</v>
      </c>
      <c r="D2" t="s">
        <v>347</v>
      </c>
    </row>
    <row r="3" spans="1:5" x14ac:dyDescent="0.25">
      <c r="B3" t="s">
        <v>206</v>
      </c>
      <c r="C3" t="s">
        <v>278</v>
      </c>
    </row>
    <row r="4" spans="1:5" x14ac:dyDescent="0.25">
      <c r="A4" t="s">
        <v>277</v>
      </c>
      <c r="B4">
        <v>32</v>
      </c>
      <c r="C4">
        <v>47</v>
      </c>
    </row>
    <row r="5" spans="1:5" ht="30" x14ac:dyDescent="0.25">
      <c r="A5" t="s">
        <v>275</v>
      </c>
      <c r="B5" s="1" t="s">
        <v>346</v>
      </c>
      <c r="C5">
        <v>32</v>
      </c>
      <c r="D5">
        <v>43</v>
      </c>
      <c r="E5" s="2" t="s">
        <v>300</v>
      </c>
    </row>
    <row r="6" spans="1:5" x14ac:dyDescent="0.25">
      <c r="B6" s="1"/>
      <c r="C6" t="s">
        <v>313</v>
      </c>
      <c r="D6">
        <f>$C$5/100*$D$5/100</f>
        <v>0.1376</v>
      </c>
      <c r="E6" s="2"/>
    </row>
    <row r="7" spans="1:5" x14ac:dyDescent="0.25">
      <c r="A7" t="s">
        <v>288</v>
      </c>
      <c r="D7" s="1">
        <v>1</v>
      </c>
      <c r="E7">
        <v>2</v>
      </c>
    </row>
    <row r="8" spans="1:5" x14ac:dyDescent="0.25">
      <c r="A8" t="s">
        <v>203</v>
      </c>
      <c r="D8" s="37">
        <v>0.75</v>
      </c>
      <c r="E8" s="38" t="s">
        <v>302</v>
      </c>
    </row>
    <row r="9" spans="1:5" x14ac:dyDescent="0.25">
      <c r="B9" t="s">
        <v>284</v>
      </c>
      <c r="C9" t="s">
        <v>285</v>
      </c>
      <c r="D9" t="s">
        <v>287</v>
      </c>
      <c r="E9" t="s">
        <v>286</v>
      </c>
    </row>
    <row r="10" spans="1:5" x14ac:dyDescent="0.25">
      <c r="A10" t="s">
        <v>283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25">
      <c r="E11" s="7"/>
    </row>
    <row r="12" spans="1:5" x14ac:dyDescent="0.25">
      <c r="E12" s="7"/>
    </row>
    <row r="13" spans="1:5" ht="30" x14ac:dyDescent="0.25">
      <c r="D13" t="s">
        <v>312</v>
      </c>
      <c r="E13" s="39" t="s">
        <v>315</v>
      </c>
    </row>
    <row r="14" spans="1:5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25">
      <c r="E15" s="7"/>
    </row>
    <row r="16" spans="1:5" x14ac:dyDescent="0.25">
      <c r="A16" t="s">
        <v>350</v>
      </c>
      <c r="E16" s="7">
        <f>50000+50000</f>
        <v>100000</v>
      </c>
    </row>
    <row r="17" spans="1:18" x14ac:dyDescent="0.25">
      <c r="E17" s="7"/>
    </row>
    <row r="18" spans="1:18" x14ac:dyDescent="0.25">
      <c r="L18" t="s">
        <v>320</v>
      </c>
    </row>
    <row r="19" spans="1:18" x14ac:dyDescent="0.25">
      <c r="A19" s="1" t="s">
        <v>279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30" x14ac:dyDescent="0.25">
      <c r="A20" s="2" t="s">
        <v>298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30" x14ac:dyDescent="0.25">
      <c r="A21" s="2" t="s">
        <v>299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x14ac:dyDescent="0.25">
      <c r="A22" s="2" t="s">
        <v>293</v>
      </c>
      <c r="C22" s="36">
        <f t="shared" ref="C22:H22" si="4">PhiMayInToner4M(C$21)</f>
        <v>140241.3333</v>
      </c>
      <c r="D22" s="36">
        <f t="shared" si="4"/>
        <v>177941.3333</v>
      </c>
      <c r="E22" s="36">
        <f t="shared" si="4"/>
        <v>215641.3333</v>
      </c>
      <c r="F22" s="36">
        <f t="shared" si="4"/>
        <v>253341.3333</v>
      </c>
      <c r="G22" s="36">
        <f t="shared" si="4"/>
        <v>291041.3333</v>
      </c>
      <c r="H22" s="36">
        <f t="shared" si="4"/>
        <v>366441.3333</v>
      </c>
      <c r="L22" s="36">
        <f t="shared" ref="L22:R22" si="5">PhiMayInToner4M(L$21)</f>
        <v>64841.333299999998</v>
      </c>
      <c r="M22" s="36">
        <f t="shared" si="5"/>
        <v>140241.3333</v>
      </c>
      <c r="N22" s="36">
        <f t="shared" si="5"/>
        <v>177941.3333</v>
      </c>
      <c r="O22" s="36">
        <f t="shared" si="5"/>
        <v>215641.3333</v>
      </c>
      <c r="P22" s="36">
        <f t="shared" si="5"/>
        <v>253341.3333</v>
      </c>
      <c r="Q22" s="36">
        <f t="shared" si="5"/>
        <v>291041.3333</v>
      </c>
      <c r="R22" s="36">
        <f t="shared" si="5"/>
        <v>366441.3333</v>
      </c>
    </row>
    <row r="23" spans="1:18" x14ac:dyDescent="0.25">
      <c r="A23" s="2" t="s">
        <v>301</v>
      </c>
      <c r="C23" s="36">
        <f t="shared" ref="C23:H23" si="6">C$22*2</f>
        <v>280482.6666</v>
      </c>
      <c r="D23" s="36">
        <f t="shared" si="6"/>
        <v>355882.6666</v>
      </c>
      <c r="E23" s="36">
        <f t="shared" si="6"/>
        <v>431282.6666</v>
      </c>
      <c r="F23" s="36">
        <f t="shared" si="6"/>
        <v>506682.6666</v>
      </c>
      <c r="G23" s="36">
        <f t="shared" si="6"/>
        <v>582082.6666</v>
      </c>
      <c r="H23" s="36">
        <f t="shared" si="6"/>
        <v>732882.6666</v>
      </c>
      <c r="L23" s="36">
        <f t="shared" ref="L23:R23" si="7">L$22*2</f>
        <v>129682.6666</v>
      </c>
      <c r="M23" s="36">
        <f t="shared" si="7"/>
        <v>280482.6666</v>
      </c>
      <c r="N23" s="36">
        <f t="shared" si="7"/>
        <v>355882.6666</v>
      </c>
      <c r="O23" s="36">
        <f t="shared" si="7"/>
        <v>431282.6666</v>
      </c>
      <c r="P23" s="36">
        <f t="shared" si="7"/>
        <v>506682.6666</v>
      </c>
      <c r="Q23" s="36">
        <f t="shared" si="7"/>
        <v>582082.6666</v>
      </c>
      <c r="R23" s="36">
        <f t="shared" si="7"/>
        <v>732882.6666</v>
      </c>
    </row>
    <row r="24" spans="1:18" x14ac:dyDescent="0.25">
      <c r="A24" s="2" t="s">
        <v>352</v>
      </c>
      <c r="C24" s="36">
        <f t="shared" ref="C24:H24" si="8">C$20*$D$10</f>
        <v>74256</v>
      </c>
      <c r="D24" s="36">
        <f t="shared" si="8"/>
        <v>110656</v>
      </c>
      <c r="E24" s="36">
        <f t="shared" si="8"/>
        <v>147056</v>
      </c>
      <c r="F24" s="36">
        <f t="shared" si="8"/>
        <v>183456</v>
      </c>
      <c r="G24" s="36">
        <f t="shared" si="8"/>
        <v>219856</v>
      </c>
      <c r="H24" s="36">
        <f t="shared" si="8"/>
        <v>292656</v>
      </c>
      <c r="L24" s="36"/>
      <c r="M24" s="36"/>
      <c r="N24" s="36"/>
      <c r="O24" s="36"/>
      <c r="P24" s="36"/>
      <c r="Q24" s="36"/>
      <c r="R24" s="36"/>
    </row>
    <row r="25" spans="1:18" x14ac:dyDescent="0.25">
      <c r="A25" s="2" t="s">
        <v>349</v>
      </c>
      <c r="C25" s="7">
        <f t="shared" ref="C25:H25" si="9">PhiMayCanGap(C$19)</f>
        <v>64791.666700000002</v>
      </c>
      <c r="D25" s="7">
        <f t="shared" si="9"/>
        <v>66354.166700000002</v>
      </c>
      <c r="E25" s="7">
        <f t="shared" si="9"/>
        <v>67916.666700000002</v>
      </c>
      <c r="F25" s="7">
        <f t="shared" si="9"/>
        <v>69479.166700000002</v>
      </c>
      <c r="G25" s="7">
        <f t="shared" si="9"/>
        <v>71041.666700000002</v>
      </c>
      <c r="H25" s="7">
        <f t="shared" si="9"/>
        <v>74166.666700000002</v>
      </c>
      <c r="L25" s="36"/>
      <c r="M25" s="36"/>
      <c r="N25" s="36"/>
      <c r="O25" s="36"/>
      <c r="P25" s="36"/>
      <c r="Q25" s="36"/>
      <c r="R25" s="36"/>
    </row>
    <row r="26" spans="1:18" ht="30" x14ac:dyDescent="0.25">
      <c r="A26" s="2" t="s">
        <v>348</v>
      </c>
      <c r="C26" s="7">
        <f t="shared" ref="C26:H26" si="10">PhiMayBeTruyenThong(C$20) + $E$16</f>
        <v>216250</v>
      </c>
      <c r="D26" s="7">
        <f t="shared" si="10"/>
        <v>226666.6667</v>
      </c>
      <c r="E26" s="7">
        <f t="shared" si="10"/>
        <v>237083.3333</v>
      </c>
      <c r="F26" s="7">
        <f t="shared" si="10"/>
        <v>247500</v>
      </c>
      <c r="G26" s="7">
        <f t="shared" si="10"/>
        <v>257916.6667</v>
      </c>
      <c r="H26" s="7">
        <f t="shared" si="10"/>
        <v>278750</v>
      </c>
      <c r="L26" s="36"/>
      <c r="M26" s="36"/>
      <c r="N26" s="36"/>
      <c r="O26" s="36"/>
      <c r="P26" s="36"/>
      <c r="Q26" s="36"/>
      <c r="R26" s="36"/>
    </row>
    <row r="27" spans="1:18" x14ac:dyDescent="0.25">
      <c r="A27" s="2"/>
      <c r="C27" s="7"/>
      <c r="D27" s="7"/>
      <c r="E27" s="7"/>
      <c r="F27" s="7"/>
      <c r="G27" s="7"/>
      <c r="H27" s="7"/>
      <c r="L27" s="36"/>
      <c r="M27" s="36"/>
      <c r="N27" s="36"/>
      <c r="O27" s="36"/>
      <c r="P27" s="36"/>
      <c r="Q27" s="36"/>
      <c r="R27" s="36"/>
    </row>
    <row r="28" spans="1:18" ht="30" x14ac:dyDescent="0.25">
      <c r="A28" s="2" t="s">
        <v>353</v>
      </c>
      <c r="C28" s="29">
        <f t="shared" ref="C28:H28" si="11">(C$22 + SUM(C$24:C$26))*(1+$D$8)</f>
        <v>867193.25</v>
      </c>
      <c r="D28" s="29">
        <f t="shared" si="11"/>
        <v>1017831.7917249999</v>
      </c>
      <c r="E28" s="29">
        <f t="shared" si="11"/>
        <v>1168470.3332750001</v>
      </c>
      <c r="F28" s="29">
        <f t="shared" si="11"/>
        <v>1319108.875</v>
      </c>
      <c r="G28" s="29">
        <f t="shared" si="11"/>
        <v>1469747.4167249999</v>
      </c>
      <c r="H28" s="29">
        <f t="shared" si="11"/>
        <v>1771024.5</v>
      </c>
      <c r="L28" s="29">
        <f>L$22*(1+$D$8)</f>
        <v>113472.333275</v>
      </c>
      <c r="M28" s="29">
        <f t="shared" ref="M28:R28" si="12">M$22*(1+$D$8)</f>
        <v>245422.33327499998</v>
      </c>
      <c r="N28" s="29">
        <f t="shared" si="12"/>
        <v>311397.33327499998</v>
      </c>
      <c r="O28" s="29">
        <f t="shared" si="12"/>
        <v>377372.33327499998</v>
      </c>
      <c r="P28" s="29">
        <f t="shared" si="12"/>
        <v>443347.33327499998</v>
      </c>
      <c r="Q28" s="29">
        <f t="shared" si="12"/>
        <v>509322.33327499998</v>
      </c>
      <c r="R28" s="29">
        <f t="shared" si="12"/>
        <v>641272.33327499998</v>
      </c>
    </row>
    <row r="29" spans="1:18" ht="30" x14ac:dyDescent="0.25">
      <c r="A29" s="2" t="s">
        <v>354</v>
      </c>
      <c r="C29" s="29">
        <f t="shared" ref="C29:H29" si="13">(C$23 + SUM(C$24:C$26))*(1+$D$8)</f>
        <v>1112615.5832750001</v>
      </c>
      <c r="D29" s="29">
        <f t="shared" si="13"/>
        <v>1329229.125</v>
      </c>
      <c r="E29" s="29">
        <f t="shared" si="13"/>
        <v>1545842.66655</v>
      </c>
      <c r="F29" s="29">
        <f t="shared" si="13"/>
        <v>1762456.2082750001</v>
      </c>
      <c r="G29" s="29">
        <f t="shared" si="13"/>
        <v>1979069.75</v>
      </c>
      <c r="H29" s="29">
        <f t="shared" si="13"/>
        <v>2412296.8332750001</v>
      </c>
      <c r="L29" s="29">
        <f>L$23*(1+$D$8)</f>
        <v>226944.66654999999</v>
      </c>
      <c r="M29" s="29">
        <f t="shared" ref="M29:R29" si="14">M$23*(1+$D$8)</f>
        <v>490844.66654999997</v>
      </c>
      <c r="N29" s="29">
        <f t="shared" si="14"/>
        <v>622794.66654999997</v>
      </c>
      <c r="O29" s="29">
        <f t="shared" si="14"/>
        <v>754744.66654999997</v>
      </c>
      <c r="P29" s="29">
        <f t="shared" si="14"/>
        <v>886694.66654999997</v>
      </c>
      <c r="Q29" s="29">
        <f t="shared" si="14"/>
        <v>1018644.66655</v>
      </c>
      <c r="R29" s="29">
        <f t="shared" si="14"/>
        <v>1282544.66655</v>
      </c>
    </row>
    <row r="30" spans="1:18" x14ac:dyDescent="0.25">
      <c r="A30" s="2" t="s">
        <v>355</v>
      </c>
      <c r="C30" s="7">
        <f t="shared" ref="C30:H30" si="15">C$28/C$19</f>
        <v>17343.865000000002</v>
      </c>
      <c r="D30" s="7">
        <f t="shared" si="15"/>
        <v>13571.090556333333</v>
      </c>
      <c r="E30" s="7">
        <f t="shared" si="15"/>
        <v>11684.703332750001</v>
      </c>
      <c r="F30" s="7">
        <f t="shared" si="15"/>
        <v>10552.870999999999</v>
      </c>
      <c r="G30" s="7">
        <f t="shared" si="15"/>
        <v>9798.3161114999984</v>
      </c>
      <c r="H30" s="7">
        <f t="shared" si="15"/>
        <v>8855.1224999999995</v>
      </c>
      <c r="L30" s="7">
        <f t="shared" ref="L30:R30" si="16">L$28/L$20</f>
        <v>113472.333275</v>
      </c>
      <c r="M30" s="7">
        <f t="shared" si="16"/>
        <v>4812.2026132352939</v>
      </c>
      <c r="N30" s="7">
        <f t="shared" si="16"/>
        <v>4097.3333325657895</v>
      </c>
      <c r="O30" s="7">
        <f t="shared" si="16"/>
        <v>3736.3597353960395</v>
      </c>
      <c r="P30" s="7">
        <f t="shared" si="16"/>
        <v>3518.6296291666667</v>
      </c>
      <c r="Q30" s="7">
        <f t="shared" si="16"/>
        <v>3372.9955846026487</v>
      </c>
      <c r="R30" s="7">
        <f t="shared" si="16"/>
        <v>3190.4096182835819</v>
      </c>
    </row>
    <row r="31" spans="1:18" x14ac:dyDescent="0.25">
      <c r="A31" s="2" t="s">
        <v>356</v>
      </c>
      <c r="C31" s="7">
        <f t="shared" ref="C31:H31" si="17">C$29/C$19</f>
        <v>22252.311665500001</v>
      </c>
      <c r="D31" s="7">
        <f t="shared" si="17"/>
        <v>17723.055</v>
      </c>
      <c r="E31" s="7">
        <f t="shared" si="17"/>
        <v>15458.426665499999</v>
      </c>
      <c r="F31" s="7">
        <f t="shared" si="17"/>
        <v>14099.649666200001</v>
      </c>
      <c r="G31" s="7">
        <f t="shared" si="17"/>
        <v>13193.798333333334</v>
      </c>
      <c r="H31" s="7">
        <f t="shared" si="17"/>
        <v>12061.484166375001</v>
      </c>
      <c r="L31" s="7">
        <f t="shared" ref="L31:R31" si="18">L$28/L$21</f>
        <v>56736.166637499999</v>
      </c>
      <c r="M31" s="7">
        <f t="shared" si="18"/>
        <v>2406.101306617647</v>
      </c>
      <c r="N31" s="7">
        <f t="shared" si="18"/>
        <v>2048.6666662828948</v>
      </c>
      <c r="O31" s="7">
        <f t="shared" si="18"/>
        <v>1868.1798676980197</v>
      </c>
      <c r="P31" s="7">
        <f t="shared" si="18"/>
        <v>1759.3148145833334</v>
      </c>
      <c r="Q31" s="7">
        <f t="shared" si="18"/>
        <v>1686.4977923013244</v>
      </c>
      <c r="R31" s="7">
        <f t="shared" si="18"/>
        <v>1595.204809141791</v>
      </c>
    </row>
    <row r="32" spans="1:18" x14ac:dyDescent="0.25">
      <c r="A32" s="2"/>
      <c r="C32" s="29"/>
      <c r="D32" s="29"/>
      <c r="E32" s="29"/>
      <c r="F32" s="29"/>
      <c r="G32" s="29"/>
      <c r="H32" s="29"/>
      <c r="L32" s="29"/>
      <c r="M32" s="29"/>
      <c r="N32" s="29"/>
      <c r="O32" s="29"/>
      <c r="P32" s="29"/>
      <c r="Q32" s="29"/>
      <c r="R32" s="29"/>
    </row>
    <row r="33" spans="1:18" ht="30" x14ac:dyDescent="0.25">
      <c r="A33" s="2" t="s">
        <v>372</v>
      </c>
      <c r="C33" s="7">
        <f>C$28-MOD(C$28,1000)</f>
        <v>867000</v>
      </c>
      <c r="D33" s="7">
        <f t="shared" ref="D33:H33" si="19">D$28-MOD(D$28,1000)</f>
        <v>1017000</v>
      </c>
      <c r="E33" s="7">
        <f t="shared" si="19"/>
        <v>1168000</v>
      </c>
      <c r="F33" s="7">
        <f t="shared" si="19"/>
        <v>1319000</v>
      </c>
      <c r="G33" s="7">
        <f t="shared" si="19"/>
        <v>1469000</v>
      </c>
      <c r="H33" s="7">
        <f t="shared" si="19"/>
        <v>1771000</v>
      </c>
      <c r="L33" s="29">
        <f t="shared" ref="L33:R33" si="20">L$29+L$20*$E$10</f>
        <v>229492.66654999999</v>
      </c>
      <c r="M33" s="29">
        <f t="shared" si="20"/>
        <v>620792.66654999997</v>
      </c>
      <c r="N33" s="29">
        <f t="shared" si="20"/>
        <v>816442.66654999997</v>
      </c>
      <c r="O33" s="29">
        <f t="shared" si="20"/>
        <v>1012092.66655</v>
      </c>
      <c r="P33" s="29">
        <f t="shared" si="20"/>
        <v>1207742.66655</v>
      </c>
      <c r="Q33" s="29">
        <f t="shared" si="20"/>
        <v>1403392.66655</v>
      </c>
      <c r="R33" s="29">
        <f t="shared" si="20"/>
        <v>1794692.66655</v>
      </c>
    </row>
    <row r="34" spans="1:18" ht="30" x14ac:dyDescent="0.25">
      <c r="A34" s="2" t="s">
        <v>373</v>
      </c>
      <c r="C34" s="7">
        <f>C$29-MOD(C$29,1000)</f>
        <v>1112000</v>
      </c>
      <c r="D34" s="7">
        <f t="shared" ref="D34:H34" si="21">D$29-MOD(D$29,1000)</f>
        <v>1329000</v>
      </c>
      <c r="E34" s="7">
        <f t="shared" si="21"/>
        <v>1545000</v>
      </c>
      <c r="F34" s="7">
        <f t="shared" si="21"/>
        <v>1762000</v>
      </c>
      <c r="G34" s="7">
        <f t="shared" si="21"/>
        <v>1979000</v>
      </c>
      <c r="H34" s="7">
        <f t="shared" si="21"/>
        <v>2412000</v>
      </c>
      <c r="L34" s="29">
        <f t="shared" ref="L34:R34" si="22">L$29+L$20*$E$11</f>
        <v>226944.66654999999</v>
      </c>
      <c r="M34" s="29">
        <f t="shared" si="22"/>
        <v>490844.66654999997</v>
      </c>
      <c r="N34" s="29">
        <f t="shared" si="22"/>
        <v>622794.66654999997</v>
      </c>
      <c r="O34" s="29">
        <f t="shared" si="22"/>
        <v>754744.66654999997</v>
      </c>
      <c r="P34" s="29">
        <f t="shared" si="22"/>
        <v>886694.66654999997</v>
      </c>
      <c r="Q34" s="29">
        <f t="shared" si="22"/>
        <v>1018644.66655</v>
      </c>
      <c r="R34" s="29">
        <f t="shared" si="22"/>
        <v>1282544.66655</v>
      </c>
    </row>
    <row r="35" spans="1:18" x14ac:dyDescent="0.25">
      <c r="A35" s="2"/>
    </row>
    <row r="36" spans="1:18" x14ac:dyDescent="0.25">
      <c r="L36" s="7">
        <f>PhiMayCanGap(L$19)*(1+$D$8)</f>
        <v>108026.041725</v>
      </c>
      <c r="M36" s="7">
        <f t="shared" ref="M36:R36" si="23">PhiMayCanGap(M$19)*(1+$D$8)</f>
        <v>113385.416725</v>
      </c>
      <c r="N36" s="7">
        <f t="shared" si="23"/>
        <v>116119.791725</v>
      </c>
      <c r="O36" s="7">
        <f t="shared" si="23"/>
        <v>118854.166725</v>
      </c>
      <c r="P36" s="7">
        <f t="shared" si="23"/>
        <v>121588.541725</v>
      </c>
      <c r="Q36" s="7">
        <f t="shared" si="23"/>
        <v>124322.916725</v>
      </c>
      <c r="R36" s="7">
        <f t="shared" si="23"/>
        <v>129791.666725</v>
      </c>
    </row>
    <row r="37" spans="1:18" x14ac:dyDescent="0.25">
      <c r="A37" s="2"/>
      <c r="C37" s="7"/>
      <c r="D37" s="7"/>
      <c r="E37" s="7"/>
      <c r="F37" s="7"/>
      <c r="G37" s="7"/>
      <c r="H37" s="7"/>
      <c r="L37" s="7">
        <f t="shared" ref="L37:R38" si="24">L$36*1.2</f>
        <v>129631.25006999999</v>
      </c>
      <c r="M37" s="7">
        <f t="shared" si="24"/>
        <v>136062.50007000001</v>
      </c>
      <c r="N37" s="7">
        <f t="shared" si="24"/>
        <v>139343.75007000001</v>
      </c>
      <c r="O37" s="7">
        <f t="shared" si="24"/>
        <v>142625.00007000001</v>
      </c>
      <c r="P37" s="7">
        <f t="shared" si="24"/>
        <v>145906.25007000001</v>
      </c>
      <c r="Q37" s="7">
        <f t="shared" si="24"/>
        <v>149187.50007000001</v>
      </c>
      <c r="R37" s="7">
        <f t="shared" si="24"/>
        <v>155750.00007000001</v>
      </c>
    </row>
    <row r="38" spans="1:18" x14ac:dyDescent="0.25">
      <c r="L38" s="7">
        <f t="shared" si="24"/>
        <v>129631.25006999999</v>
      </c>
      <c r="M38" s="7">
        <f t="shared" si="24"/>
        <v>136062.50007000001</v>
      </c>
      <c r="N38" s="7">
        <f t="shared" si="24"/>
        <v>139343.75007000001</v>
      </c>
      <c r="O38" s="7">
        <f t="shared" si="24"/>
        <v>142625.00007000001</v>
      </c>
      <c r="P38" s="7">
        <f t="shared" si="24"/>
        <v>145906.25007000001</v>
      </c>
      <c r="Q38" s="7">
        <f t="shared" si="24"/>
        <v>149187.50007000001</v>
      </c>
      <c r="R38" s="7">
        <f t="shared" si="24"/>
        <v>155750.00007000001</v>
      </c>
    </row>
    <row r="40" spans="1:18" x14ac:dyDescent="0.25">
      <c r="A40" s="2" t="s">
        <v>357</v>
      </c>
      <c r="C40" s="29">
        <f t="shared" ref="C40:H40" si="25">PhiMayCanMang(C$20,$C$5/100, $D$5/100)*(1+$D$8)+ C$20*$E$14</f>
        <v>153034.99924999999</v>
      </c>
      <c r="D40" s="29">
        <f t="shared" si="25"/>
        <v>165241.35232500001</v>
      </c>
      <c r="E40" s="29">
        <f t="shared" si="25"/>
        <v>176994.7641</v>
      </c>
      <c r="F40" s="29">
        <f t="shared" si="25"/>
        <v>189201.117</v>
      </c>
      <c r="G40" s="29">
        <f t="shared" si="25"/>
        <v>201407.4699</v>
      </c>
      <c r="H40" s="29">
        <f t="shared" si="25"/>
        <v>225367.23457499998</v>
      </c>
      <c r="I40" t="s">
        <v>358</v>
      </c>
      <c r="L40" s="7">
        <f>PhiMayCanMang(L$20,$C$5/100, $D$5/100)*(1+$D$8)</f>
        <v>128333.33345000001</v>
      </c>
      <c r="M40" s="7">
        <f t="shared" ref="M40:R40" si="26">PhiMayCanMang(M$20,$C$5/100, $D$5/100)*(1+$D$8)</f>
        <v>138298.03925</v>
      </c>
      <c r="N40" s="7">
        <f t="shared" si="26"/>
        <v>143280.39232500002</v>
      </c>
      <c r="O40" s="7">
        <f t="shared" si="26"/>
        <v>147809.80410000001</v>
      </c>
      <c r="P40" s="7">
        <f t="shared" si="26"/>
        <v>152792.15700000001</v>
      </c>
      <c r="Q40" s="7">
        <f t="shared" si="26"/>
        <v>157774.5099</v>
      </c>
      <c r="R40" s="7">
        <f t="shared" si="26"/>
        <v>167286.27457499999</v>
      </c>
    </row>
    <row r="41" spans="1:18" x14ac:dyDescent="0.25">
      <c r="A41" s="2" t="s">
        <v>318</v>
      </c>
      <c r="C41" s="7">
        <f t="shared" ref="C41:H41" si="27">C$40/C$19</f>
        <v>3060.6999849999997</v>
      </c>
      <c r="D41" s="7">
        <f t="shared" si="27"/>
        <v>2203.2180310000003</v>
      </c>
      <c r="E41" s="7">
        <f t="shared" si="27"/>
        <v>1769.947641</v>
      </c>
      <c r="F41" s="7">
        <f t="shared" si="27"/>
        <v>1513.6089360000001</v>
      </c>
      <c r="G41" s="7">
        <f t="shared" si="27"/>
        <v>1342.7164660000001</v>
      </c>
      <c r="H41" s="7">
        <f t="shared" si="27"/>
        <v>1126.8361728749999</v>
      </c>
      <c r="L41" s="7"/>
      <c r="M41" s="7">
        <f>M$20*$E$14/M$19</f>
        <v>294.73919999999998</v>
      </c>
      <c r="N41" s="7">
        <f t="shared" ref="N41:R41" si="28">N$20*$E$14/N$19</f>
        <v>292.81279999999998</v>
      </c>
      <c r="O41" s="7">
        <f t="shared" si="28"/>
        <v>291.84960000000001</v>
      </c>
      <c r="P41" s="7">
        <f t="shared" si="28"/>
        <v>291.27168</v>
      </c>
      <c r="Q41" s="7">
        <f t="shared" si="28"/>
        <v>290.88639999999998</v>
      </c>
      <c r="R41" s="7">
        <f t="shared" si="28"/>
        <v>290.40480000000002</v>
      </c>
    </row>
    <row r="42" spans="1:18" x14ac:dyDescent="0.25">
      <c r="A42" s="2" t="s">
        <v>310</v>
      </c>
      <c r="C42" s="7">
        <f t="shared" ref="C42:H42" si="29">PhiMayCanMang(C$20*2,$C$5/100, $D$5/100)*(1+$D$8)+ C$20*$E$14*2</f>
        <v>177736.665225</v>
      </c>
      <c r="D42" s="7">
        <f t="shared" si="29"/>
        <v>201696.42989999999</v>
      </c>
      <c r="E42" s="7">
        <f t="shared" si="29"/>
        <v>226109.13587499998</v>
      </c>
      <c r="F42" s="7">
        <f t="shared" si="29"/>
        <v>250068.90055000002</v>
      </c>
      <c r="G42" s="7">
        <f t="shared" si="29"/>
        <v>274481.60635000002</v>
      </c>
      <c r="H42" s="7">
        <f t="shared" si="29"/>
        <v>322854.07699999999</v>
      </c>
      <c r="L42" s="7"/>
      <c r="M42" s="7"/>
      <c r="N42" s="7"/>
      <c r="O42" s="7"/>
      <c r="P42" s="7"/>
      <c r="Q42" s="7"/>
      <c r="R42" s="7"/>
    </row>
    <row r="43" spans="1:18" x14ac:dyDescent="0.25">
      <c r="A43" s="2" t="s">
        <v>351</v>
      </c>
      <c r="C43" s="7">
        <f t="shared" ref="C43:H43" si="30">C$42/C$19</f>
        <v>3554.7333045</v>
      </c>
      <c r="D43" s="7">
        <f t="shared" si="30"/>
        <v>2689.2857319999998</v>
      </c>
      <c r="E43" s="7">
        <f t="shared" si="30"/>
        <v>2261.0913587499999</v>
      </c>
      <c r="F43" s="7">
        <f t="shared" si="30"/>
        <v>2000.5512044000002</v>
      </c>
      <c r="G43" s="7">
        <f t="shared" si="30"/>
        <v>1829.8773756666667</v>
      </c>
      <c r="H43" s="7">
        <f t="shared" si="30"/>
        <v>1614.270385</v>
      </c>
      <c r="M43" s="7"/>
      <c r="N43" s="7"/>
      <c r="O43" s="7"/>
      <c r="P43" s="7"/>
      <c r="Q43" s="7"/>
      <c r="R43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2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dimension ref="A1:H25"/>
  <sheetViews>
    <sheetView workbookViewId="0">
      <selection activeCell="I29" sqref="I29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8" width="15" bestFit="1" customWidth="1"/>
  </cols>
  <sheetData>
    <row r="1" spans="1:8" x14ac:dyDescent="0.25">
      <c r="A1" s="1" t="s">
        <v>359</v>
      </c>
    </row>
    <row r="2" spans="1:8" x14ac:dyDescent="0.25">
      <c r="A2" t="s">
        <v>290</v>
      </c>
      <c r="B2" s="35">
        <v>43609</v>
      </c>
    </row>
    <row r="3" spans="1:8" x14ac:dyDescent="0.25">
      <c r="B3" t="s">
        <v>206</v>
      </c>
      <c r="C3" t="s">
        <v>278</v>
      </c>
    </row>
    <row r="4" spans="1:8" x14ac:dyDescent="0.25">
      <c r="A4" t="s">
        <v>277</v>
      </c>
      <c r="B4">
        <v>29.7</v>
      </c>
      <c r="C4">
        <v>21</v>
      </c>
    </row>
    <row r="5" spans="1:8" ht="30" x14ac:dyDescent="0.25">
      <c r="A5" t="s">
        <v>275</v>
      </c>
      <c r="B5" s="1" t="s">
        <v>364</v>
      </c>
      <c r="E5" s="2" t="s">
        <v>300</v>
      </c>
    </row>
    <row r="6" spans="1:8" x14ac:dyDescent="0.25">
      <c r="A6" t="s">
        <v>288</v>
      </c>
      <c r="D6" s="1">
        <v>2</v>
      </c>
      <c r="E6">
        <v>2</v>
      </c>
    </row>
    <row r="7" spans="1:8" x14ac:dyDescent="0.25">
      <c r="A7" t="s">
        <v>203</v>
      </c>
      <c r="D7" s="37">
        <v>0.75</v>
      </c>
      <c r="E7" s="38" t="s">
        <v>302</v>
      </c>
    </row>
    <row r="8" spans="1:8" x14ac:dyDescent="0.25">
      <c r="B8" t="s">
        <v>284</v>
      </c>
      <c r="C8" t="s">
        <v>285</v>
      </c>
      <c r="D8" t="s">
        <v>287</v>
      </c>
      <c r="E8" t="s">
        <v>286</v>
      </c>
    </row>
    <row r="9" spans="1:8" x14ac:dyDescent="0.25">
      <c r="A9" t="s">
        <v>283</v>
      </c>
      <c r="B9" t="s">
        <v>362</v>
      </c>
      <c r="C9" t="s">
        <v>363</v>
      </c>
      <c r="D9">
        <v>1250</v>
      </c>
      <c r="E9" s="7">
        <f>D9*(1+D7)</f>
        <v>2187.5</v>
      </c>
    </row>
    <row r="10" spans="1:8" x14ac:dyDescent="0.25">
      <c r="E10" s="7"/>
    </row>
    <row r="12" spans="1:8" x14ac:dyDescent="0.25">
      <c r="A12" s="1" t="s">
        <v>279</v>
      </c>
      <c r="E12">
        <v>50</v>
      </c>
      <c r="F12">
        <v>100</v>
      </c>
      <c r="G12">
        <v>200</v>
      </c>
      <c r="H12">
        <v>400</v>
      </c>
    </row>
    <row r="13" spans="1:8" ht="30" x14ac:dyDescent="0.25">
      <c r="A13" s="2" t="s">
        <v>298</v>
      </c>
      <c r="E13">
        <f>E$12/$D$6 +1</f>
        <v>26</v>
      </c>
      <c r="F13">
        <f t="shared" ref="F13:H13" si="0">F$12/$D$6 +1</f>
        <v>51</v>
      </c>
      <c r="G13">
        <f t="shared" si="0"/>
        <v>101</v>
      </c>
      <c r="H13">
        <f t="shared" si="0"/>
        <v>201</v>
      </c>
    </row>
    <row r="14" spans="1:8" ht="30" x14ac:dyDescent="0.25">
      <c r="A14" s="2" t="s">
        <v>299</v>
      </c>
      <c r="E14">
        <f>E$13*$E$6</f>
        <v>52</v>
      </c>
      <c r="F14">
        <f t="shared" ref="F14:H14" si="1">F$13*$E$6</f>
        <v>102</v>
      </c>
      <c r="G14">
        <f t="shared" si="1"/>
        <v>202</v>
      </c>
      <c r="H14">
        <f t="shared" si="1"/>
        <v>402</v>
      </c>
    </row>
    <row r="15" spans="1:8" x14ac:dyDescent="0.25">
      <c r="A15" s="2" t="s">
        <v>293</v>
      </c>
      <c r="E15" s="36">
        <f>PhiMayInToner4M(E$14)</f>
        <v>102541.3333</v>
      </c>
      <c r="F15" s="36">
        <f t="shared" ref="F15:H15" si="2">PhiMayInToner4M(F$14)</f>
        <v>140241.3333</v>
      </c>
      <c r="G15" s="36">
        <f t="shared" si="2"/>
        <v>215641.3333</v>
      </c>
      <c r="H15" s="36">
        <f t="shared" si="2"/>
        <v>366441.3333</v>
      </c>
    </row>
    <row r="16" spans="1:8" x14ac:dyDescent="0.25">
      <c r="A16" s="2" t="s">
        <v>360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 t="shared" ref="H16" si="3">H$13*$D$9</f>
        <v>251250</v>
      </c>
    </row>
    <row r="17" spans="1:8" x14ac:dyDescent="0.25">
      <c r="A17" s="2" t="s">
        <v>361</v>
      </c>
      <c r="E17" s="36">
        <f>SUM(E$15:E$16)</f>
        <v>135041.3333</v>
      </c>
      <c r="F17" s="36">
        <f t="shared" ref="F17:H17" si="4">SUM(F$15:F$16)</f>
        <v>203991.3333</v>
      </c>
      <c r="G17" s="36">
        <f t="shared" si="4"/>
        <v>341891.3333</v>
      </c>
      <c r="H17" s="36">
        <f t="shared" si="4"/>
        <v>617691.33330000006</v>
      </c>
    </row>
    <row r="18" spans="1:8" x14ac:dyDescent="0.25">
      <c r="A18" s="2"/>
      <c r="E18" s="29"/>
      <c r="F18" s="29"/>
      <c r="G18" s="29"/>
      <c r="H18" s="29"/>
    </row>
    <row r="19" spans="1:8" x14ac:dyDescent="0.25">
      <c r="A19" s="2"/>
      <c r="E19" s="29"/>
      <c r="F19" s="29"/>
      <c r="G19" s="29"/>
      <c r="H19" s="29"/>
    </row>
    <row r="20" spans="1:8" x14ac:dyDescent="0.25">
      <c r="A20" s="2"/>
      <c r="E20" s="7"/>
      <c r="F20" s="7"/>
      <c r="G20" s="7"/>
      <c r="H20" s="7"/>
    </row>
    <row r="21" spans="1:8" x14ac:dyDescent="0.25">
      <c r="A21" s="2"/>
      <c r="E21" s="7"/>
      <c r="F21" s="7"/>
      <c r="G21" s="7"/>
      <c r="H21" s="7"/>
    </row>
    <row r="22" spans="1:8" x14ac:dyDescent="0.25">
      <c r="A22" s="2"/>
      <c r="E22" s="29"/>
      <c r="F22" s="29"/>
      <c r="G22" s="29"/>
      <c r="H22" s="29"/>
    </row>
    <row r="23" spans="1:8" ht="30" x14ac:dyDescent="0.25">
      <c r="A23" s="2" t="s">
        <v>295</v>
      </c>
      <c r="E23" s="29">
        <f>E$17*(1+$D$7)</f>
        <v>236322.33327499998</v>
      </c>
      <c r="F23" s="29">
        <f t="shared" ref="F23:H23" si="5">F$17*(1+$D$7)</f>
        <v>356984.83327499998</v>
      </c>
      <c r="G23" s="29">
        <f t="shared" si="5"/>
        <v>598309.83327499998</v>
      </c>
      <c r="H23" s="29">
        <f t="shared" si="5"/>
        <v>1080959.8332750001</v>
      </c>
    </row>
    <row r="24" spans="1:8" x14ac:dyDescent="0.25">
      <c r="A24" s="2"/>
      <c r="E24" s="29"/>
      <c r="F24" s="29"/>
      <c r="G24" s="29"/>
      <c r="H24" s="29"/>
    </row>
    <row r="25" spans="1:8" x14ac:dyDescent="0.25">
      <c r="A25" s="2" t="s">
        <v>374</v>
      </c>
      <c r="E25" s="7">
        <f>E$23 - MOD(E$23,1000)</f>
        <v>236000</v>
      </c>
      <c r="F25" s="7">
        <f t="shared" ref="F25:H25" si="6">F$23 - MOD(F$23,1000)</f>
        <v>356000</v>
      </c>
      <c r="G25" s="7">
        <f t="shared" si="6"/>
        <v>598000</v>
      </c>
      <c r="H25" s="7">
        <f t="shared" si="6"/>
        <v>1080000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DB67-9B8D-4EF7-B7E9-3FCB8B2432A7}">
  <dimension ref="A1:J28"/>
  <sheetViews>
    <sheetView tabSelected="1" topLeftCell="A4" workbookViewId="0">
      <selection activeCell="I10" sqref="I10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375</v>
      </c>
      <c r="B1" s="2" t="s">
        <v>376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  <c r="D4" t="s">
        <v>377</v>
      </c>
    </row>
    <row r="5" spans="1:10" ht="30" x14ac:dyDescent="0.25">
      <c r="A5" t="s">
        <v>275</v>
      </c>
      <c r="B5" s="1" t="s">
        <v>141</v>
      </c>
      <c r="E5" s="2" t="s">
        <v>300</v>
      </c>
    </row>
    <row r="6" spans="1:10" x14ac:dyDescent="0.25">
      <c r="A6" t="s">
        <v>288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10</v>
      </c>
      <c r="F13">
        <f t="shared" ref="F13:J13" si="0">ROUNDUP(F$12/$D$6 +1,0)</f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299</v>
      </c>
      <c r="E14">
        <f>E$13*$E$6</f>
        <v>20</v>
      </c>
      <c r="F14">
        <f t="shared" ref="F14:J14" si="1">F$13*$E$6</f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293</v>
      </c>
      <c r="E15" s="36">
        <f>PhiMayInToner4M(E$14)</f>
        <v>78413.333299999998</v>
      </c>
      <c r="F15" s="36">
        <f t="shared" ref="F15:J15" si="2">PhiMayInToner4M(F$14)</f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301</v>
      </c>
      <c r="E16" s="36">
        <f>E$15*2</f>
        <v>156826.6666</v>
      </c>
      <c r="F16" s="36">
        <f t="shared" ref="F16:J16" si="3">F$15*2</f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294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297</v>
      </c>
      <c r="E18" s="29">
        <f>E$16*(1+$D$7)</f>
        <v>274446.66654999997</v>
      </c>
      <c r="F18" s="29">
        <f t="shared" ref="F18:J18" si="5">F$16*(1+$D$7)</f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289</v>
      </c>
      <c r="E19" s="7">
        <f>E$17/E$13</f>
        <v>13722.333327499999</v>
      </c>
      <c r="F19" s="7">
        <f t="shared" ref="F19:J19" si="6">F$17/F$13</f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291</v>
      </c>
      <c r="E20" s="7">
        <f>E$17/E$14</f>
        <v>6861.1666637499993</v>
      </c>
      <c r="F20" s="7">
        <f t="shared" ref="F20:J20" si="7">F$17/F$14</f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378</v>
      </c>
      <c r="E21" s="29">
        <f>$E$9*E$13</f>
        <v>10560</v>
      </c>
      <c r="F21" s="29">
        <f>$E$9*F$13</f>
        <v>19008</v>
      </c>
      <c r="G21" s="29">
        <f t="shared" ref="G21:J22" si="8">$E$9*G$13</f>
        <v>27456</v>
      </c>
      <c r="H21" s="29">
        <f t="shared" si="8"/>
        <v>36960</v>
      </c>
      <c r="I21" s="29">
        <f t="shared" si="8"/>
        <v>45408</v>
      </c>
      <c r="J21" s="29">
        <f t="shared" si="8"/>
        <v>53856</v>
      </c>
    </row>
    <row r="22" spans="1:10" x14ac:dyDescent="0.25">
      <c r="A22" s="2" t="s">
        <v>379</v>
      </c>
      <c r="E22" s="29">
        <f>$E$10*E$13</f>
        <v>12720</v>
      </c>
      <c r="F22" s="29">
        <f t="shared" ref="F22:J22" si="9">$E$10*F$13</f>
        <v>22896</v>
      </c>
      <c r="G22" s="29">
        <f t="shared" si="9"/>
        <v>33072</v>
      </c>
      <c r="H22" s="29">
        <f t="shared" si="9"/>
        <v>44520</v>
      </c>
      <c r="I22" s="29">
        <f t="shared" si="9"/>
        <v>54696</v>
      </c>
      <c r="J22" s="29">
        <f t="shared" si="9"/>
        <v>64872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380</v>
      </c>
      <c r="E24" s="29">
        <f>E$18+E$21</f>
        <v>285006.66654999997</v>
      </c>
      <c r="F24" s="29">
        <f t="shared" ref="F24:J25" si="10">F$18+F$21</f>
        <v>335678.66654999997</v>
      </c>
      <c r="G24" s="29">
        <f t="shared" si="10"/>
        <v>386350.66654999997</v>
      </c>
      <c r="H24" s="29">
        <f t="shared" si="10"/>
        <v>443356.66654999997</v>
      </c>
      <c r="I24" s="29">
        <f t="shared" si="10"/>
        <v>494028.66654999997</v>
      </c>
      <c r="J24" s="29">
        <f t="shared" si="10"/>
        <v>544700.66654999997</v>
      </c>
    </row>
    <row r="25" spans="1:10" ht="30" x14ac:dyDescent="0.25">
      <c r="A25" s="2" t="s">
        <v>381</v>
      </c>
      <c r="E25" s="29">
        <f>E$18+E$22</f>
        <v>287166.66654999997</v>
      </c>
      <c r="F25" s="29">
        <f t="shared" ref="F25:J25" si="11">F$18+F$22</f>
        <v>339566.66654999997</v>
      </c>
      <c r="G25" s="29">
        <f t="shared" si="11"/>
        <v>391966.66654999997</v>
      </c>
      <c r="H25" s="29">
        <f t="shared" si="11"/>
        <v>450916.66654999997</v>
      </c>
      <c r="I25" s="29">
        <f t="shared" si="11"/>
        <v>503316.66654999997</v>
      </c>
      <c r="J25" s="29">
        <f t="shared" si="11"/>
        <v>555716.66654999997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382</v>
      </c>
      <c r="E27" s="7">
        <f>E$24-MOD(E$24,1000)</f>
        <v>285000</v>
      </c>
      <c r="F27" s="7">
        <f t="shared" ref="F27:J28" si="12">F$24-MOD(F$24,1000)</f>
        <v>335000</v>
      </c>
      <c r="G27" s="7">
        <f t="shared" si="12"/>
        <v>386000</v>
      </c>
      <c r="H27" s="7">
        <f t="shared" si="12"/>
        <v>443000</v>
      </c>
      <c r="I27" s="7">
        <f t="shared" si="12"/>
        <v>494000</v>
      </c>
      <c r="J27" s="7">
        <f t="shared" si="12"/>
        <v>544000</v>
      </c>
    </row>
    <row r="28" spans="1:10" x14ac:dyDescent="0.25">
      <c r="A28" s="2" t="s">
        <v>383</v>
      </c>
      <c r="E28" s="7">
        <f>E$25-MOD(E$25,1000)</f>
        <v>287000</v>
      </c>
      <c r="F28" s="7">
        <f t="shared" ref="F28:J28" si="13">F$25-MOD(F$25,1000)</f>
        <v>339000</v>
      </c>
      <c r="G28" s="7">
        <f t="shared" si="13"/>
        <v>391000</v>
      </c>
      <c r="H28" s="7">
        <f t="shared" si="13"/>
        <v>450000</v>
      </c>
      <c r="I28" s="7">
        <f t="shared" si="13"/>
        <v>503000</v>
      </c>
      <c r="J28" s="7">
        <f t="shared" si="13"/>
        <v>555000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36BC69C4-7FCA-4ABA-A9B1-F9F630B0BF70}">
      <formula1>OFFSET(GIA_GIAY_CO_BAN,1,0,,1)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G29" sqref="G29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39"/>
  <sheetViews>
    <sheetView topLeftCell="D1" workbookViewId="0">
      <selection activeCell="U29" sqref="U29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244</v>
      </c>
      <c r="Q3" t="s">
        <v>267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242</v>
      </c>
      <c r="Q4" t="s">
        <v>248</v>
      </c>
      <c r="R4">
        <v>324</v>
      </c>
    </row>
    <row r="5" spans="1:18" x14ac:dyDescent="0.25">
      <c r="P5" t="s">
        <v>243</v>
      </c>
      <c r="Q5" t="s">
        <v>250</v>
      </c>
      <c r="R5">
        <v>488</v>
      </c>
    </row>
    <row r="6" spans="1:18" x14ac:dyDescent="0.25">
      <c r="P6" t="s">
        <v>245</v>
      </c>
      <c r="Q6" t="s">
        <v>251</v>
      </c>
      <c r="R6">
        <v>355</v>
      </c>
    </row>
    <row r="7" spans="1:18" x14ac:dyDescent="0.25">
      <c r="P7" t="s">
        <v>246</v>
      </c>
      <c r="Q7" t="s">
        <v>249</v>
      </c>
      <c r="R7">
        <v>500</v>
      </c>
    </row>
    <row r="8" spans="1:18" x14ac:dyDescent="0.25">
      <c r="P8" t="s">
        <v>247</v>
      </c>
      <c r="Q8" t="s">
        <v>252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268</v>
      </c>
      <c r="Q10" t="s">
        <v>269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270</v>
      </c>
      <c r="Q13" t="s">
        <v>271</v>
      </c>
      <c r="R13">
        <v>785</v>
      </c>
    </row>
    <row r="14" spans="1:18" x14ac:dyDescent="0.25">
      <c r="P14" t="s">
        <v>326</v>
      </c>
      <c r="Q14" t="s">
        <v>329</v>
      </c>
      <c r="R14">
        <v>1600</v>
      </c>
    </row>
    <row r="15" spans="1:18" x14ac:dyDescent="0.25">
      <c r="P15" t="s">
        <v>272</v>
      </c>
      <c r="Q15" t="s">
        <v>273</v>
      </c>
      <c r="R15">
        <v>1030</v>
      </c>
    </row>
    <row r="16" spans="1:18" x14ac:dyDescent="0.25">
      <c r="P16" t="s">
        <v>340</v>
      </c>
      <c r="Q16" t="s">
        <v>341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327</v>
      </c>
      <c r="Q18" t="s">
        <v>328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232</v>
      </c>
      <c r="Q22" t="s">
        <v>253</v>
      </c>
      <c r="R22">
        <v>488</v>
      </c>
    </row>
    <row r="23" spans="16:18" x14ac:dyDescent="0.25">
      <c r="P23" t="s">
        <v>233</v>
      </c>
      <c r="Q23" t="s">
        <v>254</v>
      </c>
      <c r="R23">
        <v>584</v>
      </c>
    </row>
    <row r="24" spans="16:18" x14ac:dyDescent="0.25">
      <c r="P24" t="s">
        <v>229</v>
      </c>
      <c r="Q24" t="s">
        <v>255</v>
      </c>
      <c r="R24">
        <v>700</v>
      </c>
    </row>
    <row r="25" spans="16:18" x14ac:dyDescent="0.25">
      <c r="P25" t="s">
        <v>231</v>
      </c>
      <c r="Q25" t="s">
        <v>255</v>
      </c>
      <c r="R25">
        <v>0</v>
      </c>
    </row>
    <row r="26" spans="16:18" x14ac:dyDescent="0.25">
      <c r="P26" t="s">
        <v>228</v>
      </c>
      <c r="Q26" t="s">
        <v>256</v>
      </c>
      <c r="R26">
        <v>900</v>
      </c>
    </row>
    <row r="27" spans="16:18" x14ac:dyDescent="0.25">
      <c r="P27" t="s">
        <v>227</v>
      </c>
      <c r="Q27" t="s">
        <v>257</v>
      </c>
      <c r="R27">
        <v>740</v>
      </c>
    </row>
    <row r="28" spans="16:18" x14ac:dyDescent="0.25">
      <c r="P28" t="s">
        <v>230</v>
      </c>
      <c r="Q28" t="s">
        <v>258</v>
      </c>
      <c r="R28">
        <v>1232</v>
      </c>
    </row>
    <row r="29" spans="16:18" x14ac:dyDescent="0.25">
      <c r="P29" t="s">
        <v>235</v>
      </c>
      <c r="Q29" t="s">
        <v>259</v>
      </c>
    </row>
    <row r="30" spans="16:18" x14ac:dyDescent="0.25">
      <c r="P30" t="s">
        <v>234</v>
      </c>
      <c r="Q30" t="s">
        <v>261</v>
      </c>
    </row>
    <row r="31" spans="16:18" x14ac:dyDescent="0.25">
      <c r="P31" t="s">
        <v>236</v>
      </c>
      <c r="Q31" t="s">
        <v>260</v>
      </c>
    </row>
    <row r="32" spans="16:18" x14ac:dyDescent="0.25">
      <c r="P32" t="s">
        <v>237</v>
      </c>
      <c r="Q32" t="s">
        <v>262</v>
      </c>
    </row>
    <row r="33" spans="16:18" x14ac:dyDescent="0.25">
      <c r="P33" t="s">
        <v>241</v>
      </c>
      <c r="Q33" t="s">
        <v>263</v>
      </c>
    </row>
    <row r="34" spans="16:18" x14ac:dyDescent="0.25">
      <c r="P34" t="s">
        <v>240</v>
      </c>
      <c r="Q34" t="s">
        <v>264</v>
      </c>
    </row>
    <row r="35" spans="16:18" x14ac:dyDescent="0.25">
      <c r="P35" t="s">
        <v>239</v>
      </c>
      <c r="Q35" t="s">
        <v>265</v>
      </c>
    </row>
    <row r="36" spans="16:18" x14ac:dyDescent="0.25">
      <c r="P36" t="s">
        <v>238</v>
      </c>
      <c r="Q36" t="s">
        <v>266</v>
      </c>
    </row>
    <row r="37" spans="16:18" x14ac:dyDescent="0.25">
      <c r="P37" t="s">
        <v>330</v>
      </c>
      <c r="Q37" t="s">
        <v>331</v>
      </c>
      <c r="R37">
        <v>4200</v>
      </c>
    </row>
    <row r="38" spans="16:18" x14ac:dyDescent="0.25">
      <c r="P38" t="s">
        <v>332</v>
      </c>
      <c r="Q38" t="s">
        <v>333</v>
      </c>
      <c r="R38">
        <v>3500</v>
      </c>
    </row>
    <row r="39" spans="16:18" x14ac:dyDescent="0.25">
      <c r="P39" t="s">
        <v>362</v>
      </c>
      <c r="Q39" t="s">
        <v>363</v>
      </c>
      <c r="R39">
        <v>1250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L18" sqref="L18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28</vt:i4>
      </vt:variant>
      <vt:variant>
        <vt:lpstr>Phạm vi Có tên</vt:lpstr>
      </vt:variant>
      <vt:variant>
        <vt:i4>7</vt:i4>
      </vt:variant>
    </vt:vector>
  </HeadingPairs>
  <TitlesOfParts>
    <vt:vector size="35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Test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SP-Broc-3A3</vt:lpstr>
      <vt:lpstr>SP-DThiep-Chuan</vt:lpstr>
      <vt:lpstr>SP-DThiep-TietKiem</vt:lpstr>
      <vt:lpstr>SP-Folder</vt:lpstr>
      <vt:lpstr>SP-GiayTieuDe</vt:lpstr>
      <vt:lpstr>SP-Thiep-Don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2019-05-30T11:23:55Z</dcterms:modified>
</cp:coreProperties>
</file>