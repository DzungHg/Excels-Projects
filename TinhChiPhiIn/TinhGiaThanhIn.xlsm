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C2B1BB69-90B2-474F-A2AF-F2D8FB8CC7C4}" xr6:coauthVersionLast="43" xr6:coauthVersionMax="43" xr10:uidLastSave="{00000000-0000-0000-0000-000000000000}"/>
  <bookViews>
    <workbookView xWindow="-120" yWindow="-120" windowWidth="29040" windowHeight="15840" firstSheet="31" activeTab="33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SP-ThiepDon" sheetId="28" r:id="rId25"/>
    <sheet name="SP-ThiepDoi" sheetId="29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Cata-Ruot-A4" sheetId="38" r:id="rId34"/>
    <sheet name="SP-Cata-A4-Kim" sheetId="37" r:id="rId35"/>
    <sheet name="SP-Cata-A4-Keo" sheetId="39" r:id="rId36"/>
    <sheet name="Base-MayIn" sheetId="10" r:id="rId37"/>
    <sheet name="NguyenVatLieu" sheetId="13" r:id="rId38"/>
    <sheet name="Base-Margin" sheetId="15" r:id="rId39"/>
  </sheets>
  <functionGroups builtInGroupCount="19"/>
  <definedNames>
    <definedName name="atools_list_filter_1" localSheetId="11" hidden="1">BaiCMYK!$E$8:$F$9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35" hidden="1">'SP-Cata-A4-Keo'!$A$9:$D$10</definedName>
    <definedName name="atools_list_filter_1" localSheetId="34" hidden="1">'SP-Cata-A4-Kim'!$B$9:$D$11</definedName>
    <definedName name="atools_list_filter_1" localSheetId="33" hidden="1">'SP-Cata-Ruot-A4'!$B$9:$D$9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4" hidden="1">'SP-ThiepDon'!$B$9:$E$10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33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4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35" hidden="1">"1;2;3;4"</definedName>
    <definedName name="atools_list_filter_1_colsrcidxs_ext" localSheetId="34" hidden="1">"1;2;3"</definedName>
    <definedName name="atools_list_filter_1_colsrcidxs_ext" localSheetId="33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4" hidden="1">"1;2;3;4"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33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4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35" hidden="1">"='SP-Cata-A4-Keo'!$A$9:$D$10"</definedName>
    <definedName name="atools_list_filter_1_onrangeaddr" localSheetId="34" hidden="1">"='SP-Cata-A4-Kim'!$B$9:$D$11"</definedName>
    <definedName name="atools_list_filter_1_onrangeaddr" localSheetId="33" hidden="1">"='SP-Cata-Ruot-A4'!$B$9:$D$9"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4" hidden="1">"='SP-Thiep-Don'!$B$9:$E$10"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33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4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35" hidden="1">"1|1|0|0|0|||305|309||0|,||1||0||0|18|185|2.0|1|1|1|0"</definedName>
    <definedName name="atools_list_filter_1_proper" localSheetId="34" hidden="1">"1|1|1|0|0|||305|309||0|,||1||0||0|18|185|2.0|1|1|1|0"</definedName>
    <definedName name="atools_list_filter_1_proper" localSheetId="33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4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33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4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33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4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38" l="1"/>
  <c r="B20" i="38"/>
  <c r="B19" i="38"/>
  <c r="B18" i="38"/>
  <c r="B17" i="38"/>
  <c r="B16" i="38"/>
  <c r="B15" i="38"/>
  <c r="B14" i="38"/>
  <c r="B13" i="38"/>
  <c r="E10" i="39"/>
  <c r="F10" i="39" s="1"/>
  <c r="H23" i="39"/>
  <c r="G23" i="39"/>
  <c r="F23" i="39"/>
  <c r="E23" i="39"/>
  <c r="D23" i="39"/>
  <c r="C23" i="39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33" i="37"/>
  <c r="G33" i="37"/>
  <c r="F33" i="37"/>
  <c r="E33" i="37"/>
  <c r="D33" i="37"/>
  <c r="H34" i="37"/>
  <c r="G34" i="37"/>
  <c r="F34" i="37"/>
  <c r="E34" i="37"/>
  <c r="D34" i="37"/>
  <c r="C33" i="37"/>
  <c r="C34" i="37"/>
  <c r="H30" i="37"/>
  <c r="G30" i="37"/>
  <c r="F30" i="37"/>
  <c r="E30" i="37"/>
  <c r="D30" i="37"/>
  <c r="C30" i="37"/>
  <c r="H29" i="37"/>
  <c r="G29" i="37"/>
  <c r="F29" i="37"/>
  <c r="E29" i="37"/>
  <c r="D29" i="37"/>
  <c r="C29" i="37"/>
  <c r="H24" i="37"/>
  <c r="G24" i="37"/>
  <c r="F24" i="37"/>
  <c r="E24" i="37"/>
  <c r="D24" i="37"/>
  <c r="C24" i="37"/>
  <c r="H19" i="37"/>
  <c r="G19" i="37"/>
  <c r="F19" i="37"/>
  <c r="E19" i="37"/>
  <c r="D19" i="37"/>
  <c r="C19" i="37"/>
  <c r="H23" i="37"/>
  <c r="G23" i="37"/>
  <c r="F23" i="37"/>
  <c r="E23" i="37"/>
  <c r="D23" i="37"/>
  <c r="C23" i="37"/>
  <c r="F10" i="37"/>
  <c r="F9" i="37"/>
  <c r="H26" i="39"/>
  <c r="E26" i="39"/>
  <c r="F26" i="39"/>
  <c r="D26" i="39"/>
  <c r="G26" i="39"/>
  <c r="C26" i="39"/>
  <c r="H18" i="39"/>
  <c r="G18" i="39"/>
  <c r="D18" i="39"/>
  <c r="C18" i="39"/>
  <c r="F18" i="39"/>
  <c r="E18" i="39"/>
  <c r="H18" i="37"/>
  <c r="F18" i="37"/>
  <c r="E18" i="37"/>
  <c r="D18" i="37"/>
  <c r="G18" i="37"/>
  <c r="C18" i="37"/>
  <c r="G27" i="39" l="1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H27" i="37"/>
  <c r="G27" i="37"/>
  <c r="F27" i="37"/>
  <c r="E27" i="37"/>
  <c r="D27" i="37"/>
  <c r="C27" i="37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G26" i="37"/>
  <c r="E26" i="37"/>
  <c r="D26" i="37"/>
  <c r="H26" i="37"/>
  <c r="F26" i="37"/>
  <c r="C26" i="37"/>
  <c r="H17" i="37"/>
  <c r="G17" i="37"/>
  <c r="F19" i="38"/>
  <c r="G25" i="38"/>
  <c r="D19" i="38"/>
  <c r="F25" i="38"/>
  <c r="G23" i="38"/>
  <c r="D17" i="38"/>
  <c r="F23" i="38"/>
  <c r="E21" i="38"/>
  <c r="C16" i="38"/>
  <c r="C19" i="38"/>
  <c r="H23" i="38"/>
  <c r="H13" i="38"/>
  <c r="E23" i="38"/>
  <c r="C18" i="38"/>
  <c r="H17" i="38"/>
  <c r="D24" i="38"/>
  <c r="H15" i="38"/>
  <c r="D22" i="38"/>
  <c r="H21" i="38"/>
  <c r="C23" i="38"/>
  <c r="C13" i="38"/>
  <c r="E16" i="38"/>
  <c r="F22" i="38"/>
  <c r="E14" i="38"/>
  <c r="E22" i="38"/>
  <c r="F20" i="38"/>
  <c r="G21" i="38"/>
  <c r="G18" i="38"/>
  <c r="E18" i="38"/>
  <c r="C15" i="38"/>
  <c r="G20" i="38"/>
  <c r="F15" i="38"/>
  <c r="C22" i="38"/>
  <c r="G14" i="38"/>
  <c r="H20" i="38"/>
  <c r="D20" i="38"/>
  <c r="H18" i="38"/>
  <c r="E15" i="38"/>
  <c r="F24" i="38"/>
  <c r="H25" i="38"/>
  <c r="D13" i="38"/>
  <c r="E19" i="38"/>
  <c r="G13" i="38"/>
  <c r="F17" i="38"/>
  <c r="E17" i="38"/>
  <c r="D23" i="38"/>
  <c r="H24" i="38"/>
  <c r="H14" i="38"/>
  <c r="C14" i="38"/>
  <c r="F14" i="38"/>
  <c r="E20" i="38"/>
  <c r="C24" i="38"/>
  <c r="E24" i="38"/>
  <c r="H19" i="38"/>
  <c r="G17" i="38"/>
  <c r="F21" i="38"/>
  <c r="F18" i="38"/>
  <c r="G15" i="38"/>
  <c r="D15" i="38"/>
  <c r="H16" i="38"/>
  <c r="C25" i="38"/>
  <c r="C20" i="38"/>
  <c r="D21" i="38"/>
  <c r="F16" i="38"/>
  <c r="D25" i="38"/>
  <c r="G22" i="38"/>
  <c r="G19" i="38"/>
  <c r="D16" i="38"/>
  <c r="F13" i="38"/>
  <c r="H22" i="38"/>
  <c r="D14" i="38"/>
  <c r="D18" i="38"/>
  <c r="G24" i="38"/>
  <c r="C17" i="38"/>
  <c r="C21" i="38"/>
  <c r="E13" i="38"/>
  <c r="E25" i="38"/>
  <c r="G16" i="38"/>
  <c r="G17" i="39"/>
  <c r="E17" i="39"/>
  <c r="D17" i="39"/>
  <c r="F17" i="39"/>
  <c r="H17" i="39"/>
  <c r="C17" i="39"/>
  <c r="C29" i="39" l="1"/>
  <c r="C34" i="39" s="1"/>
  <c r="H29" i="39"/>
  <c r="H34" i="39" s="1"/>
  <c r="F29" i="39"/>
  <c r="F34" i="39" s="1"/>
  <c r="D29" i="39"/>
  <c r="D34" i="39" s="1"/>
  <c r="E29" i="39"/>
  <c r="E34" i="39" s="1"/>
  <c r="G29" i="39"/>
  <c r="G34" i="39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H15" i="36"/>
  <c r="G15" i="36"/>
  <c r="F17" i="37"/>
  <c r="E17" i="37"/>
  <c r="D17" i="37"/>
  <c r="C17" i="37"/>
  <c r="C14" i="36" l="1"/>
  <c r="D14" i="36"/>
  <c r="E14" i="36"/>
  <c r="F14" i="36"/>
  <c r="G16" i="36"/>
  <c r="G19" i="36" s="1"/>
  <c r="G18" i="36"/>
  <c r="H18" i="36"/>
  <c r="H16" i="36"/>
  <c r="H19" i="36" s="1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C23" i="34"/>
  <c r="H22" i="34"/>
  <c r="G22" i="34"/>
  <c r="F22" i="34"/>
  <c r="E22" i="34"/>
  <c r="D22" i="34"/>
  <c r="C22" i="34"/>
  <c r="H19" i="34"/>
  <c r="G19" i="34"/>
  <c r="F19" i="34"/>
  <c r="E19" i="34"/>
  <c r="D19" i="34"/>
  <c r="H18" i="34"/>
  <c r="G18" i="34"/>
  <c r="F18" i="34"/>
  <c r="E18" i="34"/>
  <c r="D18" i="34"/>
  <c r="C19" i="34"/>
  <c r="C18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H15" i="35"/>
  <c r="D15" i="34"/>
  <c r="C15" i="34"/>
  <c r="C15" i="36"/>
  <c r="D15" i="36"/>
  <c r="E15" i="36"/>
  <c r="F15" i="36"/>
  <c r="F16" i="36" l="1"/>
  <c r="F19" i="36" s="1"/>
  <c r="F24" i="36" s="1"/>
  <c r="F27" i="36" s="1"/>
  <c r="F18" i="36"/>
  <c r="E16" i="36"/>
  <c r="E19" i="36" s="1"/>
  <c r="E24" i="36" s="1"/>
  <c r="E27" i="36" s="1"/>
  <c r="E18" i="36"/>
  <c r="D16" i="36"/>
  <c r="D19" i="36" s="1"/>
  <c r="D24" i="36" s="1"/>
  <c r="D27" i="36" s="1"/>
  <c r="D18" i="36"/>
  <c r="D20" i="36" s="1"/>
  <c r="C18" i="36"/>
  <c r="C21" i="36" s="1"/>
  <c r="C16" i="36"/>
  <c r="C19" i="36" s="1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F21" i="36"/>
  <c r="F23" i="36"/>
  <c r="F26" i="36" s="1"/>
  <c r="F20" i="36"/>
  <c r="E23" i="36"/>
  <c r="E26" i="36" s="1"/>
  <c r="E21" i="36"/>
  <c r="E20" i="36"/>
  <c r="H18" i="35"/>
  <c r="H16" i="35"/>
  <c r="H19" i="35" s="1"/>
  <c r="H17" i="35"/>
  <c r="H22" i="35" s="1"/>
  <c r="C14" i="35"/>
  <c r="D14" i="35"/>
  <c r="E14" i="35"/>
  <c r="F14" i="35"/>
  <c r="G14" i="35"/>
  <c r="C16" i="34"/>
  <c r="D16" i="34"/>
  <c r="I23" i="30"/>
  <c r="H23" i="30"/>
  <c r="G23" i="30"/>
  <c r="F23" i="30"/>
  <c r="E23" i="30"/>
  <c r="D23" i="30"/>
  <c r="C23" i="30"/>
  <c r="C15" i="35"/>
  <c r="F15" i="35"/>
  <c r="G15" i="35"/>
  <c r="E15" i="35"/>
  <c r="D15" i="35"/>
  <c r="H15" i="34"/>
  <c r="G15" i="34"/>
  <c r="F15" i="34"/>
  <c r="E15" i="34"/>
  <c r="C23" i="36" l="1"/>
  <c r="C26" i="36" s="1"/>
  <c r="C20" i="36"/>
  <c r="D23" i="36"/>
  <c r="D26" i="36" s="1"/>
  <c r="D21" i="36"/>
  <c r="D16" i="35"/>
  <c r="D19" i="35" s="1"/>
  <c r="D24" i="35" s="1"/>
  <c r="D27" i="35" s="1"/>
  <c r="D18" i="35"/>
  <c r="E16" i="35"/>
  <c r="E19" i="35" s="1"/>
  <c r="E24" i="35" s="1"/>
  <c r="E27" i="35" s="1"/>
  <c r="E18" i="35"/>
  <c r="G18" i="35"/>
  <c r="G16" i="35"/>
  <c r="G19" i="35" s="1"/>
  <c r="G24" i="35" s="1"/>
  <c r="G27" i="35" s="1"/>
  <c r="F18" i="35"/>
  <c r="F16" i="35"/>
  <c r="F19" i="35" s="1"/>
  <c r="F24" i="35" s="1"/>
  <c r="F27" i="35" s="1"/>
  <c r="C16" i="35"/>
  <c r="C19" i="35" s="1"/>
  <c r="C24" i="35" s="1"/>
  <c r="C27" i="35" s="1"/>
  <c r="C18" i="35"/>
  <c r="H24" i="35"/>
  <c r="H27" i="35" s="1"/>
  <c r="H23" i="35"/>
  <c r="H26" i="35" s="1"/>
  <c r="H20" i="35"/>
  <c r="H21" i="35"/>
  <c r="E16" i="34"/>
  <c r="F20" i="34"/>
  <c r="F16" i="34"/>
  <c r="F24" i="34" s="1"/>
  <c r="F27" i="34" s="1"/>
  <c r="G23" i="34"/>
  <c r="G26" i="34" s="1"/>
  <c r="G16" i="34"/>
  <c r="G24" i="34" s="1"/>
  <c r="G27" i="34" s="1"/>
  <c r="H16" i="34"/>
  <c r="H24" i="34" s="1"/>
  <c r="H27" i="34" s="1"/>
  <c r="H23" i="34"/>
  <c r="H26" i="34" s="1"/>
  <c r="D20" i="34"/>
  <c r="D21" i="34"/>
  <c r="D23" i="34"/>
  <c r="D26" i="34" s="1"/>
  <c r="F21" i="34"/>
  <c r="F23" i="34"/>
  <c r="F26" i="34" s="1"/>
  <c r="D24" i="34"/>
  <c r="D27" i="34" s="1"/>
  <c r="C20" i="34"/>
  <c r="C21" i="34"/>
  <c r="C26" i="34"/>
  <c r="E21" i="34"/>
  <c r="E23" i="34"/>
  <c r="E26" i="34" s="1"/>
  <c r="E20" i="34"/>
  <c r="C24" i="34"/>
  <c r="C27" i="34" s="1"/>
  <c r="E24" i="34"/>
  <c r="E27" i="34" s="1"/>
  <c r="I18" i="33"/>
  <c r="I20" i="33" s="1"/>
  <c r="I19" i="33"/>
  <c r="I21" i="33"/>
  <c r="I23" i="33"/>
  <c r="I25" i="33"/>
  <c r="I26" i="33"/>
  <c r="I27" i="33"/>
  <c r="I28" i="33" s="1"/>
  <c r="I31" i="33" s="1"/>
  <c r="I29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E26" i="33"/>
  <c r="H26" i="33"/>
  <c r="D26" i="33"/>
  <c r="G26" i="33"/>
  <c r="C26" i="33"/>
  <c r="H21" i="33"/>
  <c r="D21" i="33"/>
  <c r="F26" i="33"/>
  <c r="I26" i="30"/>
  <c r="I25" i="30"/>
  <c r="I26" i="32"/>
  <c r="I26" i="31"/>
  <c r="H25" i="30"/>
  <c r="F21" i="35" l="1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32" i="26"/>
  <c r="G32" i="26"/>
  <c r="F32" i="26"/>
  <c r="E32" i="26"/>
  <c r="D32" i="26"/>
  <c r="C32" i="26"/>
  <c r="H31" i="26"/>
  <c r="G31" i="26"/>
  <c r="F31" i="26"/>
  <c r="E31" i="26"/>
  <c r="D31" i="26"/>
  <c r="C31" i="26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G21" i="33"/>
  <c r="G25" i="33"/>
  <c r="F25" i="33"/>
  <c r="E25" i="33"/>
  <c r="F21" i="33"/>
  <c r="D25" i="33"/>
  <c r="E21" i="33"/>
  <c r="H25" i="33"/>
  <c r="C21" i="33"/>
  <c r="C25" i="33"/>
  <c r="I21" i="30"/>
  <c r="I21" i="32"/>
  <c r="I25" i="32"/>
  <c r="I21" i="31"/>
  <c r="I25" i="31"/>
  <c r="H26" i="32"/>
  <c r="D26" i="32"/>
  <c r="F21" i="32"/>
  <c r="D21" i="32"/>
  <c r="G26" i="32"/>
  <c r="C26" i="32"/>
  <c r="E21" i="32"/>
  <c r="F26" i="32"/>
  <c r="H21" i="32"/>
  <c r="E26" i="32"/>
  <c r="G21" i="32"/>
  <c r="C21" i="32"/>
  <c r="H26" i="31"/>
  <c r="D26" i="31"/>
  <c r="F21" i="31"/>
  <c r="C21" i="31"/>
  <c r="G26" i="31"/>
  <c r="C26" i="31"/>
  <c r="E21" i="31"/>
  <c r="E26" i="31"/>
  <c r="G21" i="31"/>
  <c r="F26" i="31"/>
  <c r="G25" i="30"/>
  <c r="F25" i="30"/>
  <c r="D25" i="30"/>
  <c r="H28" i="26"/>
  <c r="D28" i="26"/>
  <c r="G28" i="26"/>
  <c r="F28" i="26"/>
  <c r="E28" i="26"/>
  <c r="C28" i="26"/>
  <c r="F29" i="26"/>
  <c r="E29" i="26"/>
  <c r="D29" i="26"/>
  <c r="H29" i="26"/>
  <c r="G29" i="26"/>
  <c r="C29" i="26"/>
  <c r="H26" i="30"/>
  <c r="D26" i="30"/>
  <c r="E26" i="30"/>
  <c r="G26" i="30"/>
  <c r="F26" i="30"/>
  <c r="C26" i="30"/>
  <c r="B2" i="11" a="1"/>
  <c r="G8" i="11" a="1"/>
  <c r="F21" i="30"/>
  <c r="E21" i="30"/>
  <c r="C27" i="33" l="1"/>
  <c r="E27" i="33"/>
  <c r="F27" i="33"/>
  <c r="G27" i="33"/>
  <c r="D27" i="33"/>
  <c r="H27" i="33"/>
  <c r="I27" i="30"/>
  <c r="I27" i="32"/>
  <c r="I29" i="32"/>
  <c r="I28" i="32"/>
  <c r="I31" i="32" s="1"/>
  <c r="I27" i="31"/>
  <c r="I29" i="31"/>
  <c r="I28" i="31"/>
  <c r="I31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G8" i="11"/>
  <c r="K8" i="11"/>
  <c r="J9" i="11"/>
  <c r="I10" i="11"/>
  <c r="H11" i="11"/>
  <c r="H9" i="11"/>
  <c r="G10" i="11"/>
  <c r="J11" i="11"/>
  <c r="I9" i="11"/>
  <c r="G11" i="11"/>
  <c r="H8" i="11"/>
  <c r="G9" i="11"/>
  <c r="K9" i="11"/>
  <c r="J10" i="11"/>
  <c r="I11" i="11"/>
  <c r="I8" i="11"/>
  <c r="K10" i="11"/>
  <c r="J8" i="11"/>
  <c r="H10" i="11"/>
  <c r="K11" i="11"/>
  <c r="H19" i="30"/>
  <c r="D19" i="30"/>
  <c r="C19" i="30"/>
  <c r="G19" i="30"/>
  <c r="J13" i="29"/>
  <c r="J22" i="29" s="1"/>
  <c r="I13" i="29"/>
  <c r="I22" i="29" s="1"/>
  <c r="H13" i="29"/>
  <c r="H21" i="29" s="1"/>
  <c r="G13" i="29"/>
  <c r="G21" i="29" s="1"/>
  <c r="F13" i="29"/>
  <c r="F22" i="29" s="1"/>
  <c r="E13" i="29"/>
  <c r="E22" i="29" s="1"/>
  <c r="C25" i="32"/>
  <c r="H25" i="32"/>
  <c r="G25" i="32"/>
  <c r="F25" i="32"/>
  <c r="E25" i="32"/>
  <c r="D25" i="32"/>
  <c r="C25" i="31"/>
  <c r="D21" i="31"/>
  <c r="D25" i="31"/>
  <c r="G25" i="31"/>
  <c r="E25" i="31"/>
  <c r="F25" i="31"/>
  <c r="H21" i="31"/>
  <c r="H25" i="31"/>
  <c r="E25" i="30"/>
  <c r="C25" i="30"/>
  <c r="H21" i="30"/>
  <c r="D21" i="30"/>
  <c r="C21" i="30"/>
  <c r="G21" i="30"/>
  <c r="F28" i="33" l="1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E21" i="29"/>
  <c r="I21" i="29"/>
  <c r="G22" i="29"/>
  <c r="H14" i="29"/>
  <c r="F21" i="29"/>
  <c r="J21" i="29"/>
  <c r="H22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E15" i="28"/>
  <c r="E15" i="29"/>
  <c r="J15" i="28"/>
  <c r="I15" i="29"/>
  <c r="F15" i="28"/>
  <c r="F15" i="29"/>
  <c r="H15" i="29"/>
  <c r="H15" i="28"/>
  <c r="G15" i="29"/>
  <c r="I15" i="28"/>
  <c r="J15" i="29"/>
  <c r="C28" i="32" l="1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J16" i="29"/>
  <c r="J18" i="29" s="1"/>
  <c r="J17" i="29"/>
  <c r="F16" i="29"/>
  <c r="F18" i="29" s="1"/>
  <c r="F17" i="29"/>
  <c r="I16" i="29"/>
  <c r="I18" i="29" s="1"/>
  <c r="I17" i="29"/>
  <c r="E16" i="29"/>
  <c r="E18" i="29" s="1"/>
  <c r="E17" i="29"/>
  <c r="H17" i="29"/>
  <c r="H16" i="29"/>
  <c r="H18" i="29" s="1"/>
  <c r="G17" i="29"/>
  <c r="G16" i="29"/>
  <c r="G18" i="29" s="1"/>
  <c r="H16" i="28"/>
  <c r="H18" i="28" s="1"/>
  <c r="H25" i="28" s="1"/>
  <c r="H28" i="28" s="1"/>
  <c r="H17" i="28"/>
  <c r="E17" i="28"/>
  <c r="E16" i="28"/>
  <c r="E18" i="28" s="1"/>
  <c r="I16" i="28"/>
  <c r="I18" i="28" s="1"/>
  <c r="I25" i="28" s="1"/>
  <c r="I28" i="28" s="1"/>
  <c r="I17" i="28"/>
  <c r="F17" i="28"/>
  <c r="F16" i="28"/>
  <c r="F18" i="28" s="1"/>
  <c r="J17" i="28"/>
  <c r="J16" i="28"/>
  <c r="J18" i="28" s="1"/>
  <c r="H21" i="28"/>
  <c r="G14" i="28"/>
  <c r="E21" i="28"/>
  <c r="I21" i="28"/>
  <c r="F21" i="28"/>
  <c r="G15" i="28"/>
  <c r="F24" i="28" l="1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24" i="29"/>
  <c r="G27" i="29" s="1"/>
  <c r="G25" i="29"/>
  <c r="G28" i="29" s="1"/>
  <c r="E20" i="29"/>
  <c r="E19" i="29"/>
  <c r="F20" i="29"/>
  <c r="F19" i="29"/>
  <c r="G19" i="29"/>
  <c r="G20" i="29"/>
  <c r="E25" i="29"/>
  <c r="E28" i="29" s="1"/>
  <c r="E24" i="29"/>
  <c r="E27" i="29" s="1"/>
  <c r="F25" i="29"/>
  <c r="F28" i="29" s="1"/>
  <c r="F24" i="29"/>
  <c r="F27" i="29" s="1"/>
  <c r="H24" i="29"/>
  <c r="H27" i="29" s="1"/>
  <c r="H25" i="29"/>
  <c r="H28" i="29" s="1"/>
  <c r="I20" i="29"/>
  <c r="I19" i="29"/>
  <c r="J20" i="29"/>
  <c r="J19" i="29"/>
  <c r="H19" i="29"/>
  <c r="H20" i="29"/>
  <c r="I25" i="29"/>
  <c r="I28" i="29" s="1"/>
  <c r="I24" i="29"/>
  <c r="I27" i="29" s="1"/>
  <c r="J25" i="29"/>
  <c r="J28" i="29" s="1"/>
  <c r="J24" i="29"/>
  <c r="J27" i="29" s="1"/>
  <c r="G16" i="28"/>
  <c r="G18" i="28" s="1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4" i="28" l="1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E15" i="27"/>
  <c r="F15" i="27"/>
  <c r="G15" i="27"/>
  <c r="H15" i="27"/>
  <c r="H16" i="27" l="1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D27" i="26"/>
  <c r="C27" i="26"/>
  <c r="P42" i="26"/>
  <c r="P38" i="26"/>
  <c r="R23" i="26"/>
  <c r="C44" i="26"/>
  <c r="R42" i="26"/>
  <c r="C26" i="26" l="1"/>
  <c r="F26" i="26"/>
  <c r="G26" i="26"/>
  <c r="D26" i="26"/>
  <c r="H26" i="26"/>
  <c r="E26" i="26"/>
  <c r="N23" i="26"/>
  <c r="N42" i="26"/>
  <c r="Q38" i="26"/>
  <c r="M42" i="26"/>
  <c r="M38" i="26"/>
  <c r="L23" i="26"/>
  <c r="F44" i="26"/>
  <c r="F27" i="26"/>
  <c r="O42" i="26"/>
  <c r="H27" i="26"/>
  <c r="L38" i="26"/>
  <c r="N38" i="26"/>
  <c r="G27" i="26"/>
  <c r="L42" i="26"/>
  <c r="O38" i="26"/>
  <c r="G44" i="26"/>
  <c r="Q42" i="26"/>
  <c r="R38" i="26"/>
  <c r="E27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G24" i="26"/>
  <c r="O23" i="26"/>
  <c r="C24" i="26"/>
  <c r="Q23" i="26"/>
  <c r="H42" i="26"/>
  <c r="D42" i="26"/>
  <c r="D44" i="26"/>
  <c r="M23" i="26"/>
  <c r="H24" i="26"/>
  <c r="F24" i="26"/>
  <c r="G33" i="26" l="1"/>
  <c r="G36" i="26"/>
  <c r="C33" i="26"/>
  <c r="C36" i="26"/>
  <c r="P23" i="26"/>
  <c r="G42" i="26"/>
  <c r="C42" i="26"/>
  <c r="F33" i="26" l="1"/>
  <c r="F36" i="26"/>
  <c r="H33" i="26"/>
  <c r="H36" i="26"/>
  <c r="C25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25" i="26"/>
  <c r="G25" i="26"/>
  <c r="F25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D24" i="26"/>
  <c r="J19" i="16"/>
  <c r="L19" i="16"/>
  <c r="E19" i="25"/>
  <c r="H44" i="26"/>
  <c r="M19" i="16"/>
  <c r="E19" i="16"/>
  <c r="F42" i="26"/>
  <c r="I19" i="16"/>
  <c r="F19" i="25"/>
  <c r="N19" i="16"/>
  <c r="G19" i="25"/>
  <c r="F19" i="16"/>
  <c r="E44" i="26"/>
  <c r="E42" i="26"/>
  <c r="E24" i="26"/>
  <c r="H37" i="26" l="1"/>
  <c r="F34" i="26"/>
  <c r="F37" i="26"/>
  <c r="G34" i="26"/>
  <c r="G37" i="26"/>
  <c r="C34" i="26"/>
  <c r="C37" i="26"/>
  <c r="E25" i="26"/>
  <c r="H45" i="26"/>
  <c r="F43" i="26"/>
  <c r="D25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0" i="25"/>
  <c r="G22" i="25" s="1"/>
  <c r="G27" i="25" s="1"/>
  <c r="G30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P19" i="24"/>
  <c r="O29" i="24"/>
  <c r="N29" i="24"/>
  <c r="L29" i="24"/>
  <c r="G29" i="24"/>
  <c r="E29" i="24"/>
  <c r="P29" i="24"/>
  <c r="M29" i="24"/>
  <c r="O19" i="24"/>
  <c r="L35" i="24"/>
  <c r="H19" i="16"/>
  <c r="O35" i="24"/>
  <c r="G19" i="24"/>
  <c r="Q33" i="24"/>
  <c r="G19" i="16"/>
  <c r="K19" i="16"/>
  <c r="Q19" i="24"/>
  <c r="F19" i="24"/>
  <c r="J19" i="24"/>
  <c r="H29" i="24"/>
  <c r="R29" i="24"/>
  <c r="Q29" i="24"/>
  <c r="N33" i="24"/>
  <c r="L19" i="24"/>
  <c r="P33" i="24"/>
  <c r="F29" i="24"/>
  <c r="L33" i="24"/>
  <c r="I29" i="24"/>
  <c r="R33" i="24"/>
  <c r="M33" i="24"/>
  <c r="J29" i="24"/>
  <c r="O33" i="24"/>
  <c r="M19" i="24"/>
  <c r="D34" i="26" l="1"/>
  <c r="D37" i="26"/>
  <c r="E34" i="26"/>
  <c r="E37" i="26"/>
  <c r="D33" i="26"/>
  <c r="D36" i="26"/>
  <c r="E33" i="26"/>
  <c r="E36" i="26"/>
  <c r="H34" i="26"/>
  <c r="G23" i="25"/>
  <c r="G26" i="25"/>
  <c r="G29" i="25" s="1"/>
  <c r="G24" i="25"/>
  <c r="E27" i="25"/>
  <c r="F27" i="25"/>
  <c r="E26" i="25"/>
  <c r="E23" i="25"/>
  <c r="E24" i="25"/>
  <c r="F23" i="25"/>
  <c r="F26" i="25"/>
  <c r="F24" i="25"/>
  <c r="H21" i="16"/>
  <c r="H24" i="16" s="1"/>
  <c r="H20" i="16"/>
  <c r="H22" i="16" s="1"/>
  <c r="H27" i="16" s="1"/>
  <c r="G21" i="16"/>
  <c r="G26" i="16" s="1"/>
  <c r="G20" i="16"/>
  <c r="G22" i="16" s="1"/>
  <c r="G27" i="16" s="1"/>
  <c r="K20" i="16"/>
  <c r="K22" i="16" s="1"/>
  <c r="K27" i="16" s="1"/>
  <c r="K21" i="16"/>
  <c r="K23" i="16" s="1"/>
  <c r="M23" i="16"/>
  <c r="M26" i="16"/>
  <c r="M24" i="16"/>
  <c r="L24" i="16"/>
  <c r="L23" i="16"/>
  <c r="L26" i="16"/>
  <c r="L27" i="16"/>
  <c r="K24" i="16"/>
  <c r="K26" i="16"/>
  <c r="M27" i="16"/>
  <c r="N27" i="16"/>
  <c r="N26" i="16"/>
  <c r="N24" i="16"/>
  <c r="N23" i="16"/>
  <c r="J27" i="16"/>
  <c r="F27" i="16"/>
  <c r="E27" i="16"/>
  <c r="H26" i="16"/>
  <c r="I27" i="16"/>
  <c r="G24" i="16"/>
  <c r="G23" i="16"/>
  <c r="J23" i="16"/>
  <c r="J26" i="16"/>
  <c r="J24" i="16"/>
  <c r="I23" i="16"/>
  <c r="I26" i="16"/>
  <c r="I24" i="16"/>
  <c r="F23" i="16"/>
  <c r="F26" i="16"/>
  <c r="F24" i="16"/>
  <c r="E23" i="16"/>
  <c r="E26" i="16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G35" i="23"/>
  <c r="N19" i="24"/>
  <c r="O33" i="23"/>
  <c r="Q35" i="24"/>
  <c r="F33" i="23"/>
  <c r="E35" i="24"/>
  <c r="J35" i="23"/>
  <c r="I33" i="24"/>
  <c r="J35" i="24"/>
  <c r="L35" i="23"/>
  <c r="F35" i="23"/>
  <c r="H35" i="24"/>
  <c r="M35" i="24"/>
  <c r="E19" i="24"/>
  <c r="H33" i="24"/>
  <c r="Q33" i="23"/>
  <c r="M33" i="23"/>
  <c r="R29" i="23"/>
  <c r="H35" i="23"/>
  <c r="J33" i="24"/>
  <c r="F33" i="24"/>
  <c r="O35" i="23"/>
  <c r="R35" i="24"/>
  <c r="I29" i="23"/>
  <c r="F35" i="24"/>
  <c r="P33" i="23"/>
  <c r="E35" i="23"/>
  <c r="E33" i="24"/>
  <c r="J29" i="23"/>
  <c r="G29" i="23"/>
  <c r="R33" i="23"/>
  <c r="I19" i="24"/>
  <c r="H29" i="23"/>
  <c r="P35" i="23"/>
  <c r="L33" i="23"/>
  <c r="O29" i="23"/>
  <c r="G35" i="24"/>
  <c r="R19" i="24"/>
  <c r="I35" i="24"/>
  <c r="H19" i="24"/>
  <c r="E29" i="23"/>
  <c r="N33" i="23"/>
  <c r="F29" i="23"/>
  <c r="G33" i="24"/>
  <c r="P35" i="24"/>
  <c r="J33" i="23"/>
  <c r="M29" i="23"/>
  <c r="P29" i="23"/>
  <c r="Q29" i="23"/>
  <c r="L29" i="23"/>
  <c r="I35" i="23"/>
  <c r="L19" i="23"/>
  <c r="N29" i="23"/>
  <c r="N35" i="24"/>
  <c r="E29" i="16" l="1"/>
  <c r="E37" i="16"/>
  <c r="F38" i="16"/>
  <c r="F30" i="16"/>
  <c r="N37" i="16"/>
  <c r="N29" i="16"/>
  <c r="G37" i="16"/>
  <c r="G29" i="16"/>
  <c r="F37" i="25"/>
  <c r="F29" i="25"/>
  <c r="E37" i="25"/>
  <c r="E29" i="25"/>
  <c r="F37" i="16"/>
  <c r="F29" i="16"/>
  <c r="G38" i="16"/>
  <c r="G30" i="16"/>
  <c r="J37" i="16"/>
  <c r="J29" i="16"/>
  <c r="I38" i="16"/>
  <c r="I30" i="16"/>
  <c r="J38" i="16"/>
  <c r="J30" i="16"/>
  <c r="N38" i="16"/>
  <c r="N30" i="16"/>
  <c r="H38" i="16"/>
  <c r="H30" i="16"/>
  <c r="F38" i="25"/>
  <c r="F30" i="25"/>
  <c r="E38" i="16"/>
  <c r="E30" i="16"/>
  <c r="K37" i="16"/>
  <c r="K29" i="16"/>
  <c r="L37" i="16"/>
  <c r="L29" i="16"/>
  <c r="M37" i="16"/>
  <c r="M29" i="16"/>
  <c r="I37" i="16"/>
  <c r="I29" i="16"/>
  <c r="H37" i="16"/>
  <c r="H29" i="16"/>
  <c r="M38" i="16"/>
  <c r="M30" i="16"/>
  <c r="L38" i="16"/>
  <c r="L30" i="16"/>
  <c r="K38" i="16"/>
  <c r="K30" i="16"/>
  <c r="E38" i="25"/>
  <c r="E30" i="25"/>
  <c r="H23" i="16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Q35" i="23"/>
  <c r="M35" i="23"/>
  <c r="M29" i="22"/>
  <c r="L35" i="22"/>
  <c r="O19" i="23"/>
  <c r="O29" i="22"/>
  <c r="N19" i="23"/>
  <c r="I33" i="23"/>
  <c r="J29" i="22"/>
  <c r="G29" i="22"/>
  <c r="P35" i="22"/>
  <c r="Q19" i="23"/>
  <c r="H35" i="22"/>
  <c r="R29" i="22"/>
  <c r="G33" i="22"/>
  <c r="J19" i="23"/>
  <c r="R19" i="23"/>
  <c r="G33" i="23"/>
  <c r="F29" i="22"/>
  <c r="E29" i="22"/>
  <c r="F19" i="23"/>
  <c r="P33" i="22"/>
  <c r="M19" i="23"/>
  <c r="N33" i="22"/>
  <c r="L19" i="22"/>
  <c r="L29" i="22"/>
  <c r="I19" i="23"/>
  <c r="N35" i="23"/>
  <c r="G35" i="22"/>
  <c r="J33" i="22"/>
  <c r="E19" i="23"/>
  <c r="I29" i="22"/>
  <c r="L33" i="22"/>
  <c r="F33" i="22"/>
  <c r="E35" i="22"/>
  <c r="R35" i="23"/>
  <c r="H33" i="23"/>
  <c r="O33" i="22"/>
  <c r="I35" i="22"/>
  <c r="E33" i="23"/>
  <c r="M33" i="22"/>
  <c r="H29" i="22"/>
  <c r="G19" i="23"/>
  <c r="R33" i="22"/>
  <c r="P29" i="22"/>
  <c r="Q33" i="22"/>
  <c r="Q29" i="22"/>
  <c r="P19" i="23"/>
  <c r="N29" i="22"/>
  <c r="H19" i="23"/>
  <c r="N27" i="24" l="1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J33" i="21"/>
  <c r="Q33" i="21"/>
  <c r="P33" i="21"/>
  <c r="L35" i="21"/>
  <c r="E19" i="21"/>
  <c r="I19" i="21"/>
  <c r="O19" i="21"/>
  <c r="N29" i="21"/>
  <c r="R19" i="21"/>
  <c r="J35" i="22"/>
  <c r="P19" i="22"/>
  <c r="I33" i="21"/>
  <c r="R33" i="21"/>
  <c r="F35" i="22"/>
  <c r="N19" i="22"/>
  <c r="I29" i="21"/>
  <c r="H29" i="21"/>
  <c r="G19" i="22"/>
  <c r="G35" i="21"/>
  <c r="M29" i="21"/>
  <c r="R35" i="22"/>
  <c r="J19" i="21"/>
  <c r="G33" i="21"/>
  <c r="J19" i="22"/>
  <c r="P29" i="21"/>
  <c r="F19" i="21"/>
  <c r="O29" i="21"/>
  <c r="L33" i="21"/>
  <c r="Q19" i="21"/>
  <c r="N19" i="21"/>
  <c r="Q29" i="21"/>
  <c r="F19" i="22"/>
  <c r="H19" i="21"/>
  <c r="M35" i="22"/>
  <c r="H33" i="21"/>
  <c r="H19" i="22"/>
  <c r="P35" i="21"/>
  <c r="G19" i="21"/>
  <c r="Q35" i="21"/>
  <c r="J35" i="21"/>
  <c r="O35" i="21"/>
  <c r="E29" i="21"/>
  <c r="G29" i="21"/>
  <c r="P19" i="21"/>
  <c r="F35" i="21"/>
  <c r="E35" i="21"/>
  <c r="F33" i="21"/>
  <c r="M19" i="22"/>
  <c r="L29" i="21"/>
  <c r="R19" i="22"/>
  <c r="I35" i="21"/>
  <c r="O19" i="22"/>
  <c r="H35" i="21"/>
  <c r="E33" i="22"/>
  <c r="R29" i="21"/>
  <c r="J29" i="21"/>
  <c r="E33" i="21"/>
  <c r="I19" i="22"/>
  <c r="H33" i="22"/>
  <c r="M33" i="21"/>
  <c r="N33" i="21"/>
  <c r="F29" i="21"/>
  <c r="I33" i="22"/>
  <c r="N35" i="21"/>
  <c r="O35" i="22"/>
  <c r="E19" i="22"/>
  <c r="M19" i="21"/>
  <c r="R35" i="21"/>
  <c r="Q19" i="22"/>
  <c r="O33" i="21"/>
  <c r="N35" i="22"/>
  <c r="M35" i="21"/>
  <c r="Q35" i="22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J15" i="19"/>
  <c r="F15" i="17"/>
  <c r="H15" i="20"/>
  <c r="F15" i="20"/>
  <c r="J15" i="17"/>
  <c r="H15" i="17"/>
  <c r="G15" i="18"/>
  <c r="G15" i="17"/>
  <c r="I15" i="17"/>
  <c r="H15" i="18"/>
  <c r="I15" i="18"/>
  <c r="J15" i="18"/>
  <c r="G15" i="20"/>
  <c r="F15" i="19"/>
  <c r="E15" i="19"/>
  <c r="G15" i="19"/>
  <c r="E15" i="18"/>
  <c r="L19" i="21"/>
  <c r="I15" i="19"/>
  <c r="F15" i="18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J26" i="17" s="1"/>
  <c r="I16" i="17"/>
  <c r="I18" i="17" s="1"/>
  <c r="I23" i="17" s="1"/>
  <c r="I26" i="17" s="1"/>
  <c r="H16" i="17"/>
  <c r="H18" i="17" s="1"/>
  <c r="H23" i="17" s="1"/>
  <c r="H26" i="17" s="1"/>
  <c r="F16" i="17"/>
  <c r="F18" i="17" s="1"/>
  <c r="F23" i="17" s="1"/>
  <c r="F26" i="17" s="1"/>
  <c r="G16" i="17"/>
  <c r="G18" i="17" s="1"/>
  <c r="G23" i="17" s="1"/>
  <c r="G26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F26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F26" i="18" s="1"/>
  <c r="G17" i="18"/>
  <c r="G16" i="18"/>
  <c r="G18" i="18" s="1"/>
  <c r="G23" i="18" s="1"/>
  <c r="G26" i="18" s="1"/>
  <c r="H16" i="18"/>
  <c r="H18" i="18" s="1"/>
  <c r="H23" i="18" s="1"/>
  <c r="H26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I15" i="20"/>
  <c r="E15" i="17"/>
  <c r="J15" i="20"/>
  <c r="H15" i="19"/>
  <c r="E16" i="17" l="1"/>
  <c r="E18" i="17" s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6" i="20"/>
  <c r="E18" i="20" s="1"/>
  <c r="E23" i="20" s="1"/>
  <c r="E26" i="20" s="1"/>
  <c r="J16" i="20"/>
  <c r="J18" i="20" s="1"/>
  <c r="J17" i="20"/>
  <c r="I16" i="20"/>
  <c r="I18" i="20" s="1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6" i="19"/>
  <c r="H18" i="19" s="1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H22" i="19"/>
  <c r="H25" i="19" s="1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0" i="19" l="1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2" i="6"/>
  <c r="B10" i="6"/>
  <c r="B14" i="6"/>
  <c r="B11" i="6"/>
  <c r="B18" i="6"/>
  <c r="B17" i="6"/>
  <c r="B22" i="6"/>
  <c r="B20" i="6"/>
  <c r="B21" i="6"/>
  <c r="B16" i="6"/>
  <c r="B13" i="6"/>
  <c r="B8" i="6"/>
  <c r="B9" i="6"/>
  <c r="B7" i="6"/>
  <c r="B19" i="6"/>
  <c r="B15" i="6"/>
  <c r="B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35" i="12"/>
  <c r="B6" i="4"/>
  <c r="E22" i="12"/>
  <c r="E9" i="12"/>
  <c r="E28" i="12"/>
  <c r="E12" i="12"/>
  <c r="E10" i="12"/>
  <c r="E23" i="12"/>
  <c r="E8" i="12"/>
  <c r="E21" i="12"/>
  <c r="E32" i="12"/>
  <c r="E29" i="12"/>
  <c r="E31" i="12"/>
  <c r="E6" i="12"/>
  <c r="E16" i="12"/>
  <c r="E15" i="12"/>
  <c r="E30" i="12"/>
  <c r="E17" i="12"/>
  <c r="E19" i="12"/>
  <c r="E7" i="12"/>
  <c r="E25" i="12"/>
  <c r="E14" i="12"/>
  <c r="E27" i="12"/>
  <c r="E5" i="12"/>
  <c r="E20" i="12"/>
  <c r="E24" i="12"/>
  <c r="E33" i="12"/>
  <c r="E18" i="12"/>
  <c r="E13" i="12"/>
  <c r="E36" i="12"/>
  <c r="E26" i="12"/>
  <c r="E34" i="12"/>
  <c r="E11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2" i="4"/>
  <c r="B16" i="7"/>
  <c r="B21" i="5"/>
  <c r="B7" i="9"/>
  <c r="B20" i="5"/>
  <c r="B14" i="7"/>
  <c r="B9" i="9"/>
  <c r="B15" i="8"/>
  <c r="B20" i="4"/>
  <c r="B12" i="7"/>
  <c r="B31" i="8"/>
  <c r="B7" i="4"/>
  <c r="B11" i="5"/>
  <c r="B16" i="5"/>
  <c r="B8" i="7"/>
  <c r="B11" i="7"/>
  <c r="B12" i="9"/>
  <c r="B22" i="8"/>
  <c r="B5" i="9"/>
  <c r="B24" i="5"/>
  <c r="B16" i="4"/>
  <c r="B8" i="8"/>
  <c r="B18" i="7"/>
  <c r="B12" i="8"/>
  <c r="B7" i="5"/>
  <c r="B19" i="7"/>
  <c r="B19" i="8"/>
  <c r="B19" i="5"/>
  <c r="B29" i="8"/>
  <c r="B10" i="9"/>
  <c r="B11" i="9"/>
  <c r="B9" i="8"/>
  <c r="B7" i="7"/>
  <c r="B14" i="8"/>
  <c r="B22" i="7"/>
  <c r="B24" i="8"/>
  <c r="B21" i="7"/>
  <c r="B19" i="9"/>
  <c r="B11" i="8"/>
  <c r="B13" i="8"/>
  <c r="B36" i="8"/>
  <c r="B9" i="4"/>
  <c r="B10" i="7"/>
  <c r="B28" i="8"/>
  <c r="B18" i="9"/>
  <c r="B6" i="8"/>
  <c r="B8" i="5"/>
  <c r="B15" i="5"/>
  <c r="B8" i="9"/>
  <c r="B14" i="4"/>
  <c r="B7" i="8"/>
  <c r="B18" i="8"/>
  <c r="B24" i="4"/>
  <c r="B20" i="7"/>
  <c r="B21" i="4"/>
  <c r="B6" i="9"/>
  <c r="B15" i="9"/>
  <c r="B8" i="4"/>
  <c r="B19" i="4"/>
  <c r="B10" i="8"/>
  <c r="B20" i="9"/>
  <c r="B17" i="4"/>
  <c r="B33" i="8"/>
  <c r="B26" i="8"/>
  <c r="B16" i="8"/>
  <c r="B22" i="5"/>
  <c r="B9" i="5"/>
  <c r="B17" i="5"/>
  <c r="B23" i="8"/>
  <c r="B17" i="9"/>
  <c r="B13" i="4"/>
  <c r="B20" i="8"/>
  <c r="B21" i="8"/>
  <c r="B35" i="8"/>
  <c r="B15" i="4"/>
  <c r="B6" i="5"/>
  <c r="B11" i="4"/>
  <c r="B18" i="5"/>
  <c r="B14" i="9"/>
  <c r="B25" i="4"/>
  <c r="B6" i="7"/>
  <c r="B10" i="5"/>
  <c r="B30" i="8"/>
  <c r="B10" i="4"/>
  <c r="B13" i="5"/>
  <c r="B13" i="7"/>
  <c r="B13" i="9"/>
  <c r="B34" i="8"/>
  <c r="B17" i="7"/>
  <c r="B27" i="8"/>
  <c r="B25" i="5"/>
  <c r="B15" i="7"/>
  <c r="B5" i="8"/>
  <c r="B14" i="5"/>
  <c r="B9" i="7"/>
  <c r="B12" i="4"/>
  <c r="B17" i="8"/>
  <c r="B12" i="5"/>
  <c r="B16" i="9"/>
  <c r="B23" i="4"/>
  <c r="B32" i="8"/>
  <c r="B18" i="4"/>
  <c r="B25" i="8"/>
  <c r="B23" i="5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I10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6" i="8" l="1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4" i="2"/>
  <c r="B10" i="1"/>
  <c r="B34" i="2"/>
  <c r="B7" i="2"/>
  <c r="B26" i="1"/>
  <c r="B23" i="2"/>
  <c r="B45" i="2"/>
  <c r="B16" i="1"/>
  <c r="B68" i="2"/>
  <c r="B42" i="2"/>
  <c r="B19" i="2"/>
  <c r="B72" i="2"/>
  <c r="B49" i="2"/>
  <c r="B57" i="2"/>
  <c r="B35" i="2"/>
  <c r="B5" i="1"/>
  <c r="B30" i="1"/>
  <c r="B69" i="2"/>
  <c r="B55" i="2"/>
  <c r="B54" i="2"/>
  <c r="B63" i="2"/>
  <c r="B8" i="1"/>
  <c r="B10" i="2"/>
  <c r="B9" i="2"/>
  <c r="B17" i="2"/>
  <c r="B28" i="1"/>
  <c r="B53" i="2"/>
  <c r="B15" i="2"/>
  <c r="B36" i="1"/>
  <c r="B7" i="1"/>
  <c r="B58" i="2"/>
  <c r="B71" i="2"/>
  <c r="B25" i="1"/>
  <c r="B32" i="2"/>
  <c r="B44" i="2"/>
  <c r="B6" i="1"/>
  <c r="B33" i="1"/>
  <c r="B66" i="2"/>
  <c r="B12" i="1"/>
  <c r="B47" i="2"/>
  <c r="B20" i="1"/>
  <c r="B29" i="1"/>
  <c r="B48" i="2"/>
  <c r="B18" i="2"/>
  <c r="B21" i="2"/>
  <c r="B62" i="2"/>
  <c r="B33" i="2"/>
  <c r="B36" i="2"/>
  <c r="B26" i="2"/>
  <c r="B29" i="2"/>
  <c r="B34" i="1"/>
  <c r="B20" i="2"/>
  <c r="B70" i="2"/>
  <c r="B56" i="2"/>
  <c r="B24" i="2"/>
  <c r="B41" i="2"/>
  <c r="B27" i="2"/>
  <c r="B24" i="1"/>
  <c r="B8" i="2"/>
  <c r="B43" i="2"/>
  <c r="B18" i="1"/>
  <c r="B25" i="2"/>
  <c r="B22" i="2"/>
  <c r="B15" i="1"/>
  <c r="B27" i="1"/>
  <c r="B60" i="2"/>
  <c r="B19" i="1"/>
  <c r="B11" i="1"/>
  <c r="B50" i="2"/>
  <c r="B6" i="2"/>
  <c r="B11" i="2"/>
  <c r="B67" i="2"/>
  <c r="B16" i="2"/>
  <c r="B51" i="2"/>
  <c r="B9" i="1"/>
  <c r="B14" i="1"/>
  <c r="B28" i="2"/>
  <c r="B31" i="1"/>
  <c r="B22" i="1"/>
  <c r="B59" i="2"/>
  <c r="B31" i="2"/>
  <c r="B13" i="1"/>
  <c r="B61" i="2"/>
  <c r="B17" i="1"/>
  <c r="B23" i="1"/>
  <c r="B35" i="1"/>
  <c r="B21" i="1"/>
  <c r="B30" i="2"/>
  <c r="B32" i="1"/>
  <c r="B13" i="2"/>
  <c r="B14" i="2"/>
  <c r="B46" i="2"/>
  <c r="B52" i="2"/>
  <c r="B12" i="2"/>
  <c r="B65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D6EF9549-F5C2-4973-B50F-954AEF66F10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0923E74-2AD7-420D-B8D0-DFE29215FC6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3DFB54FE-C355-4D09-BB2C-6BA9D0D8E61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0F428E93-8DF0-4822-8796-800C3BDF9DA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944CC527-3608-4420-84A9-88DCCCC5707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9734A0A3-E864-4ACA-A6A5-55E7653AD3D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82566A68-7AC7-496F-AAC2-9B49F8C13EA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23C85E64-DD3D-4DFA-9DFB-8E8F12F119D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20AB5F6-2C78-4928-960A-17BD0706604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0B7CFB58-4068-4973-B79F-5C79644D32F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2B1D69ED-7FE1-4133-A3E4-190BEB84895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0840D28F-CAA9-4FC8-AF6B-3E2038F3143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7807F690-F9F5-4B18-9413-56BA49514A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3D84E6CE-7E12-41CA-940C-E631A3B6B0A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53C97840-9919-49AA-A072-E6F50811A33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DCE4225-DC2B-4D31-8182-F850406F934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824265E3-E578-482C-BE59-6D54D347641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F1CBB476-C0F5-4981-AFAC-01D8B6E9281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26F21A70-184D-42BA-8DFD-893F8759882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DADCE761-C60D-4732-AFD6-5C297FF0E3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E0DEE345-56BE-457D-8DAA-E357DE9CB43C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B0A9CBE6-74EC-42A5-A214-AE2C8C7C5AC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102C22E-FF12-461C-BF55-5811E226BDD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696A4DE0-EF8A-4B15-B55D-B96CE51CF29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B39C5B41-EFA6-4D2B-95D3-C3CBBE45081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D8A44FDA-4173-4531-B253-0F42B9F25141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E7944D9C-5FF3-4B75-827A-9C6C2D5F421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07015883-1653-40BB-85AB-434E1D59E9A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44" authorId="1" shapeId="0" xr:uid="{F6D48DF7-A1A7-45D3-ABAE-2991508C719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44" authorId="2" shapeId="0" xr:uid="{0CA8EFEE-5221-41BF-A6B1-8536A7B4126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44" authorId="3" shapeId="0" xr:uid="{D0EABE00-5001-4D89-A261-641347E7CDB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44" authorId="4" shapeId="0" xr:uid="{E8960FD6-43D8-4A4D-BCF8-E239FAC97A6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44" authorId="5" shapeId="0" xr:uid="{FBF590CE-98C6-456F-BBCA-7C67A88A4A35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44" authorId="6" shapeId="0" xr:uid="{EB70AD47-F6F1-48D2-91D9-7D2A1FE4113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44" authorId="7" shapeId="0" xr:uid="{2325AD1E-6BA5-4C61-BA98-B5DD89EF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sharedStrings.xml><?xml version="1.0" encoding="utf-8"?>
<sst xmlns="http://schemas.openxmlformats.org/spreadsheetml/2006/main" count="1376" uniqueCount="441">
  <si>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</si>
  <si>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</si>
  <si>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</si>
  <si>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</si>
  <si>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</si>
  <si>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</si>
  <si>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</si>
  <si>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</si>
  <si>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</si>
  <si>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</si>
  <si>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</si>
  <si>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</si>
  <si>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</si>
  <si>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</si>
  <si>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</si>
  <si>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</si>
  <si>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</si>
  <si>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</si>
  <si>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</si>
  <si>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</si>
  <si>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</si>
  <si>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</si>
  <si>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</si>
  <si>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</si>
  <si>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</si>
  <si>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</si>
  <si>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</si>
  <si>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</si>
  <si>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</si>
  <si>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</si>
  <si>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</si>
  <si>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</si>
  <si>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</si>
  <si>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</si>
  <si>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</si>
  <si>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</si>
  <si>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</si>
  <si>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</si>
  <si>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</si>
  <si>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</si>
  <si>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</si>
  <si>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</si>
  <si>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</si>
  <si>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</si>
  <si>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</si>
  <si>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</si>
  <si>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</si>
  <si>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</si>
  <si>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</si>
  <si>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</si>
  <si>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</si>
  <si>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</si>
  <si>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</si>
  <si>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</si>
  <si>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</si>
  <si>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</si>
  <si>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</si>
  <si>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</si>
  <si>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</si>
  <si>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</si>
  <si>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</si>
  <si>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</si>
  <si>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</si>
  <si>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</si>
  <si>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</si>
  <si>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</si>
  <si>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</si>
  <si>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</si>
  <si>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</si>
  <si>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</si>
  <si>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</si>
  <si>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</si>
  <si>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</si>
  <si>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</si>
  <si>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</si>
  <si>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</si>
  <si>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</si>
  <si>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</si>
  <si>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</si>
  <si>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</si>
  <si>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</si>
  <si>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</si>
  <si>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</si>
  <si>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</si>
  <si>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</si>
  <si>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</si>
  <si>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</si>
  <si>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</si>
  <si>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</si>
  <si>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</si>
  <si>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</si>
  <si>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</si>
  <si>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</si>
  <si>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</si>
  <si>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</si>
  <si>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</si>
  <si>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</si>
  <si>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</si>
  <si>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</si>
  <si>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</si>
  <si>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</si>
  <si>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</si>
  <si>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</si>
  <si>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</si>
  <si>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</si>
  <si>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</si>
  <si>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</si>
  <si>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</si>
  <si>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</si>
  <si>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</si>
  <si>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</si>
  <si>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</si>
  <si>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</si>
  <si>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</si>
  <si>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</si>
  <si>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</si>
  <si>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</si>
  <si>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</si>
  <si>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</si>
  <si>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</si>
  <si>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</si>
  <si>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</si>
  <si>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</si>
  <si>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</si>
  <si>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</si>
  <si>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</si>
  <si>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</si>
  <si>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</si>
  <si>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</si>
  <si>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</si>
  <si>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</si>
  <si>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</si>
  <si>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</si>
  <si>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</si>
  <si>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</si>
  <si>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</si>
  <si>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</si>
  <si>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</si>
  <si>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</si>
  <si>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</si>
  <si>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</si>
  <si>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</si>
  <si>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</si>
  <si>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</si>
  <si>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</si>
  <si>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</si>
  <si>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</si>
  <si>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</si>
  <si>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</si>
  <si>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</si>
  <si>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</si>
  <si>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</si>
  <si>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</si>
  <si>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</si>
  <si>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</si>
  <si>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</si>
  <si>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</si>
  <si>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</si>
  <si>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</si>
  <si>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</si>
  <si>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</si>
  <si>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</si>
  <si>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</si>
  <si>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</si>
  <si>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</si>
  <si>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</si>
  <si>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</si>
  <si>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</si>
  <si>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</si>
  <si>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</si>
  <si>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</si>
  <si>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</si>
  <si>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</si>
  <si>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</si>
  <si>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</si>
  <si>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</si>
  <si>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</si>
  <si>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</si>
  <si>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</si>
  <si>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</si>
  <si>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</si>
  <si>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</si>
  <si>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</si>
  <si>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</si>
  <si>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</si>
  <si>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</si>
  <si>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</si>
  <si>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</si>
  <si>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</si>
  <si>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</si>
  <si>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</si>
  <si>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</si>
  <si>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</si>
  <si>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</si>
  <si>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</si>
  <si>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</si>
  <si>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</si>
  <si>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</si>
  <si>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</si>
  <si>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</si>
  <si>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</si>
  <si>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</si>
  <si>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</si>
  <si>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</si>
  <si>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</si>
  <si>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</si>
  <si>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</si>
  <si>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</si>
  <si>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</si>
  <si>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</si>
  <si>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</si>
  <si>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</si>
  <si>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</si>
  <si>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</si>
  <si>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</si>
  <si>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</si>
  <si>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</si>
  <si>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</si>
  <si>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</si>
  <si>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</si>
  <si>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</si>
  <si>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</si>
  <si>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</si>
  <si>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</si>
  <si>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</si>
  <si>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</si>
  <si>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</si>
  <si>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</si>
  <si>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</si>
  <si>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</si>
  <si>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</si>
  <si>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</si>
  <si>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</si>
  <si>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</si>
  <si>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</si>
  <si>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</si>
  <si>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</si>
  <si>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</si>
  <si>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</si>
  <si>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</si>
  <si>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</si>
  <si>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</si>
  <si>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</si>
  <si>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</si>
  <si>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</si>
  <si>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</si>
  <si>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</si>
  <si>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</si>
  <si>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</si>
  <si>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</si>
  <si>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</si>
  <si>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</si>
  <si>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</si>
  <si>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</si>
  <si>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</si>
  <si>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</si>
  <si>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</si>
  <si>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</si>
  <si>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</si>
  <si>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</si>
  <si>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</si>
  <si>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</si>
  <si>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</si>
  <si>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</si>
  <si>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</si>
  <si>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</si>
  <si>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</si>
  <si>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</si>
  <si>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</si>
  <si>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</si>
  <si>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</si>
  <si>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</si>
  <si>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</si>
  <si>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</si>
  <si>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</si>
  <si>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</si>
  <si>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</si>
  <si>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</si>
  <si>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</si>
  <si>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</si>
  <si>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</si>
  <si>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</si>
  <si>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</si>
  <si>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</si>
  <si>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</si>
  <si>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</si>
  <si>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</si>
  <si>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</si>
  <si>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</si>
  <si>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</si>
  <si>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</si>
  <si>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</si>
  <si>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</si>
  <si>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</si>
  <si>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</si>
  <si>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</si>
  <si>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</si>
  <si>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</si>
  <si>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</si>
  <si>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</si>
  <si>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</si>
  <si>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</si>
  <si>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</si>
  <si>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</si>
  <si>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</si>
  <si>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</si>
  <si>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</si>
  <si>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</si>
  <si>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</si>
  <si>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</si>
  <si>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</si>
  <si>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</si>
  <si>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</si>
  <si>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</si>
  <si>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</si>
  <si>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</si>
  <si>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</si>
  <si>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</si>
  <si>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</si>
  <si>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</si>
  <si>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</si>
  <si>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</si>
  <si>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</si>
  <si>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</si>
  <si>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</si>
  <si>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</si>
  <si>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</si>
  <si>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</si>
  <si>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</si>
  <si>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</si>
  <si>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</si>
  <si>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</si>
  <si>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</si>
  <si>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</si>
  <si>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</si>
  <si>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</si>
  <si>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</si>
  <si>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</si>
  <si>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</si>
  <si>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</si>
  <si>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</si>
  <si>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</si>
  <si>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</si>
  <si>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</si>
  <si>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</si>
  <si>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</si>
  <si>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</si>
  <si>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</si>
  <si>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</si>
  <si>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</si>
  <si>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</si>
  <si>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</si>
  <si>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</si>
  <si>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</si>
  <si>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</si>
  <si>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</si>
  <si>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</si>
  <si>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</si>
  <si>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</si>
  <si>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</si>
  <si>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</si>
  <si>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</si>
  <si>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</si>
  <si>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</si>
  <si>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</si>
  <si>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</si>
  <si>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</si>
  <si>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</si>
  <si>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</si>
  <si>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</si>
  <si>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</si>
  <si>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</si>
  <si>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</si>
  <si>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</si>
  <si>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</si>
  <si>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</si>
  <si>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</si>
  <si>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</si>
  <si>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</si>
  <si>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</si>
  <si>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</si>
  <si>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</si>
  <si>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</si>
  <si>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</si>
  <si>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</si>
  <si>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</si>
  <si>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</si>
  <si>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</si>
  <si>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</si>
  <si>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</si>
  <si>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</si>
  <si>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</si>
  <si>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</si>
  <si>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</si>
  <si>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</si>
  <si>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</si>
  <si>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</si>
  <si>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</si>
  <si>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</si>
  <si>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</si>
  <si>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</si>
  <si>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</si>
  <si>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</si>
  <si>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</si>
  <si>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</si>
  <si>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</si>
  <si>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</si>
  <si>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</si>
  <si>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</si>
  <si>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</si>
  <si>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</si>
  <si>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</si>
  <si>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</si>
  <si>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</si>
  <si>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</si>
  <si>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</si>
  <si>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</si>
  <si>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</si>
  <si>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</si>
  <si>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</si>
  <si>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</si>
  <si>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</si>
  <si>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</si>
  <si>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</si>
  <si>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</si>
  <si>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</si>
  <si>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</si>
  <si>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</si>
  <si>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===&gt; giá bán TB 900đ/a4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</si>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</sst>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6" fillId="0" borderId="0" xfId="0" quotePrefix="1" applyFont="1"/>
  </cellXfs>
  <cellStyles count="6">
    <cellStyle name="Calculation" xfId="5" builtinId="22"/>
    <cellStyle name="Comma" xfId="3" builtinId="3"/>
    <cellStyle name="Currency" xfId="1" builtinId="4"/>
    <cellStyle name="Good" xfId="4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E$12/$D$6 +1</f>
        <v>76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>E$13*$E$6</f>
        <v>152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PhiMayInToner4M(E$14)</f>
        <v>177941.3333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300</v>
      </c>
      <c r="E16" s="36">
        <f>E$15*2</f>
        <v>355882.6666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293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296</v>
      </c>
      <c r="E18" s="29">
        <f>E$16*(1+$D$7)</f>
        <v>622794.66654999997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288</v>
      </c>
      <c r="E19" s="7">
        <f>E$17/E$13</f>
        <v>4097.3333325657895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290</v>
      </c>
      <c r="E20" s="7">
        <f>E$17/E$14</f>
        <v>2048.6666662828948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291</v>
      </c>
      <c r="E21" s="29">
        <f>$E$9*E$13</f>
        <v>68495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>E$17+E$21</f>
        <v>379892.33327499998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295</v>
      </c>
      <c r="E23" s="29">
        <f>E$18+E$21</f>
        <v>691289.66654999997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379000</v>
      </c>
      <c r="F25" s="7">
        <f t="shared" ref="F25:J25" si="11">F$22-MOD(F$22,1000)</f>
        <v>291000</v>
      </c>
      <c r="G25" s="7">
        <f t="shared" si="11"/>
        <v>379000</v>
      </c>
      <c r="H25" s="7">
        <f t="shared" si="11"/>
        <v>468000</v>
      </c>
      <c r="I25" s="7">
        <f t="shared" si="11"/>
        <v>556000</v>
      </c>
      <c r="J25" s="7">
        <f t="shared" si="11"/>
        <v>645000</v>
      </c>
    </row>
    <row r="26" spans="1:10" x14ac:dyDescent="0.25">
      <c r="A26" s="2" t="s">
        <v>365</v>
      </c>
      <c r="E26" s="7">
        <f>E$23-MOD(E$23,1000)</f>
        <v>691000</v>
      </c>
      <c r="F26" s="7">
        <f t="shared" ref="F26:J26" si="12">F$23-MOD(F$23,1000)</f>
        <v>536000</v>
      </c>
      <c r="G26" s="7">
        <f t="shared" si="12"/>
        <v>691000</v>
      </c>
      <c r="H26" s="7">
        <f t="shared" si="12"/>
        <v>845000</v>
      </c>
      <c r="I26" s="7">
        <f t="shared" si="12"/>
        <v>1000000</v>
      </c>
      <c r="J26" s="7">
        <f t="shared" si="12"/>
        <v>1154000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291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295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160000</v>
      </c>
      <c r="F25" s="7">
        <f t="shared" ref="F25:J25" si="11">F$22-MOD(F$22,1000)</f>
        <v>202000</v>
      </c>
      <c r="G25" s="7">
        <f t="shared" si="11"/>
        <v>248000</v>
      </c>
      <c r="H25" s="7">
        <f t="shared" si="11"/>
        <v>291000</v>
      </c>
      <c r="I25" s="7">
        <f t="shared" si="11"/>
        <v>337000</v>
      </c>
      <c r="J25" s="7">
        <f t="shared" si="11"/>
        <v>379000</v>
      </c>
    </row>
    <row r="26" spans="1:10" x14ac:dyDescent="0.25">
      <c r="A26" s="2" t="s">
        <v>365</v>
      </c>
      <c r="E26" s="7">
        <f>E$23-MOD(E$23,1000)</f>
        <v>308000</v>
      </c>
      <c r="F26" s="7">
        <f t="shared" ref="F26:J26" si="12">F$23-MOD(F$23,1000)</f>
        <v>382000</v>
      </c>
      <c r="G26" s="7">
        <f t="shared" si="12"/>
        <v>462000</v>
      </c>
      <c r="H26" s="7">
        <f t="shared" si="12"/>
        <v>536000</v>
      </c>
      <c r="I26" s="7">
        <f t="shared" si="12"/>
        <v>617000</v>
      </c>
      <c r="J26" s="7">
        <f t="shared" si="12"/>
        <v>691000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300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293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296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288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290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291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295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139000</v>
      </c>
      <c r="F25" s="7">
        <f t="shared" ref="F25:J25" si="11">F$22-MOD(F$22,1000)</f>
        <v>160000</v>
      </c>
      <c r="G25" s="7">
        <f t="shared" si="11"/>
        <v>181000</v>
      </c>
      <c r="H25" s="7">
        <f t="shared" si="11"/>
        <v>202000</v>
      </c>
      <c r="I25" s="7">
        <f t="shared" si="11"/>
        <v>227000</v>
      </c>
      <c r="J25" s="7">
        <f t="shared" si="11"/>
        <v>248000</v>
      </c>
    </row>
    <row r="26" spans="1:10" x14ac:dyDescent="0.25">
      <c r="A26" s="2" t="s">
        <v>365</v>
      </c>
      <c r="E26" s="7">
        <f>E$23-MOD(E$23,1000)</f>
        <v>271000</v>
      </c>
      <c r="F26" s="7">
        <f t="shared" ref="F26:J26" si="12">F$23-MOD(F$23,1000)</f>
        <v>308000</v>
      </c>
      <c r="G26" s="7">
        <f t="shared" si="12"/>
        <v>345000</v>
      </c>
      <c r="H26" s="7">
        <f t="shared" si="12"/>
        <v>382000</v>
      </c>
      <c r="I26" s="7">
        <f t="shared" si="12"/>
        <v>425000</v>
      </c>
      <c r="J26" s="7">
        <f t="shared" si="12"/>
        <v>462000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291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295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146000</v>
      </c>
      <c r="F25" s="7">
        <f t="shared" ref="F25:J25" si="11">F$22-MOD(F$22,1000)</f>
        <v>174000</v>
      </c>
      <c r="G25" s="7">
        <f t="shared" si="11"/>
        <v>202000</v>
      </c>
      <c r="H25" s="7">
        <f t="shared" si="11"/>
        <v>234000</v>
      </c>
      <c r="I25" s="7">
        <f t="shared" si="11"/>
        <v>263000</v>
      </c>
      <c r="J25" s="7">
        <f t="shared" si="11"/>
        <v>291000</v>
      </c>
    </row>
    <row r="26" spans="1:10" x14ac:dyDescent="0.25">
      <c r="A26" s="2" t="s">
        <v>365</v>
      </c>
      <c r="E26" s="7">
        <f>E$23-MOD(E$23,1000)</f>
        <v>283000</v>
      </c>
      <c r="F26" s="7">
        <f t="shared" ref="F26:J26" si="12">F$23-MOD(F$23,1000)</f>
        <v>332000</v>
      </c>
      <c r="G26" s="7">
        <f t="shared" si="12"/>
        <v>382000</v>
      </c>
      <c r="H26" s="7">
        <f t="shared" si="12"/>
        <v>437000</v>
      </c>
      <c r="I26" s="7">
        <f t="shared" si="12"/>
        <v>487000</v>
      </c>
      <c r="J26" s="7">
        <f t="shared" si="12"/>
        <v>536000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B43" sqref="B4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300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293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296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288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290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316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317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309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318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  <row r="39" spans="1:18" ht="30" x14ac:dyDescent="0.25">
      <c r="A39" s="2" t="s">
        <v>366</v>
      </c>
      <c r="E39" s="7">
        <f>E$26-MOD(E$26,1000)</f>
        <v>390000</v>
      </c>
      <c r="F39" s="7">
        <f t="shared" ref="F39:J39" si="25">F$26-MOD(F$26,1000)</f>
        <v>553000</v>
      </c>
      <c r="G39" s="7">
        <f t="shared" si="25"/>
        <v>715000</v>
      </c>
      <c r="H39" s="7">
        <f t="shared" si="25"/>
        <v>878000</v>
      </c>
      <c r="I39" s="7">
        <f t="shared" si="25"/>
        <v>1041000</v>
      </c>
      <c r="J39" s="7">
        <f t="shared" si="25"/>
        <v>1203000</v>
      </c>
    </row>
    <row r="40" spans="1:18" ht="30" x14ac:dyDescent="0.25">
      <c r="A40" s="2" t="s">
        <v>367</v>
      </c>
      <c r="E40" s="7">
        <f>E$27-MOD(E$27,1000)</f>
        <v>394000</v>
      </c>
      <c r="F40" s="7">
        <f t="shared" ref="F40:J40" si="26">F$27-MOD(F$27,1000)</f>
        <v>560000</v>
      </c>
      <c r="G40" s="7">
        <f t="shared" si="26"/>
        <v>727000</v>
      </c>
      <c r="H40" s="7">
        <f t="shared" si="26"/>
        <v>893000</v>
      </c>
      <c r="I40" s="7">
        <f t="shared" si="26"/>
        <v>1059000</v>
      </c>
      <c r="J40" s="7">
        <f t="shared" si="26"/>
        <v>1226000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6" workbookViewId="0">
      <selection activeCell="I42" sqref="I4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300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293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296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288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290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316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317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309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318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  <row r="39" spans="1:18" ht="30" x14ac:dyDescent="0.25">
      <c r="A39" s="2" t="s">
        <v>366</v>
      </c>
      <c r="E39" s="7">
        <f>E$26-MOD(E$26,1000)</f>
        <v>309000</v>
      </c>
      <c r="F39" s="7">
        <f t="shared" ref="F39:J39" si="25">F$26-MOD(F$26,1000)</f>
        <v>390000</v>
      </c>
      <c r="G39" s="7">
        <f t="shared" si="25"/>
        <v>472000</v>
      </c>
      <c r="H39" s="7">
        <f t="shared" si="25"/>
        <v>553000</v>
      </c>
      <c r="I39" s="7">
        <f t="shared" si="25"/>
        <v>634000</v>
      </c>
      <c r="J39" s="7">
        <f t="shared" si="25"/>
        <v>715000</v>
      </c>
    </row>
    <row r="40" spans="1:18" ht="30" x14ac:dyDescent="0.25">
      <c r="A40" s="2" t="s">
        <v>367</v>
      </c>
      <c r="E40" s="7">
        <f>E$27-MOD(E$27,1000)</f>
        <v>311000</v>
      </c>
      <c r="F40" s="7">
        <f t="shared" ref="F40:J40" si="26">F$27-MOD(F$27,1000)</f>
        <v>394000</v>
      </c>
      <c r="G40" s="7">
        <f t="shared" si="26"/>
        <v>477000</v>
      </c>
      <c r="H40" s="7">
        <f t="shared" si="26"/>
        <v>560000</v>
      </c>
      <c r="I40" s="7">
        <f t="shared" si="26"/>
        <v>644000</v>
      </c>
      <c r="J40" s="7">
        <f t="shared" si="26"/>
        <v>727000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300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293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296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288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290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323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317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309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318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  <row r="39" spans="1:18" ht="30" x14ac:dyDescent="0.25">
      <c r="A39" s="2" t="s">
        <v>366</v>
      </c>
      <c r="E39" s="7">
        <f>E$26-MOD(E$26,1000)</f>
        <v>560000</v>
      </c>
      <c r="F39" s="7">
        <f t="shared" ref="F39:J39" si="25">F$26-MOD(F$26,1000)</f>
        <v>727000</v>
      </c>
      <c r="G39" s="7">
        <f t="shared" si="25"/>
        <v>893000</v>
      </c>
      <c r="H39" s="7">
        <f t="shared" si="25"/>
        <v>1059000</v>
      </c>
      <c r="I39" s="7">
        <f t="shared" si="25"/>
        <v>1226000</v>
      </c>
      <c r="J39" s="7">
        <f t="shared" si="25"/>
        <v>1558000</v>
      </c>
    </row>
    <row r="40" spans="1:18" ht="30" x14ac:dyDescent="0.25">
      <c r="A40" s="2" t="s">
        <v>367</v>
      </c>
      <c r="E40" s="7">
        <f>E$27-MOD(E$27,1000)</f>
        <v>582000</v>
      </c>
      <c r="F40" s="7">
        <f t="shared" ref="F40:J40" si="26">F$27-MOD(F$27,1000)</f>
        <v>759000</v>
      </c>
      <c r="G40" s="7">
        <f t="shared" si="26"/>
        <v>936000</v>
      </c>
      <c r="H40" s="7">
        <f t="shared" si="26"/>
        <v>1113000</v>
      </c>
      <c r="I40" s="7">
        <f t="shared" si="26"/>
        <v>1290000</v>
      </c>
      <c r="J40" s="7">
        <f t="shared" si="26"/>
        <v>1644000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22" workbookViewId="0">
      <selection activeCell="H46" sqref="H46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300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293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296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288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290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323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317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309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318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  <row r="39" spans="1:18" ht="30" x14ac:dyDescent="0.25">
      <c r="A39" s="2" t="s">
        <v>366</v>
      </c>
      <c r="E39" s="7">
        <f>E$26-MOD(E$26,1000)</f>
        <v>500000</v>
      </c>
      <c r="F39" s="7">
        <f t="shared" ref="F39:J39" si="25">F$26-MOD(F$26,1000)</f>
        <v>768000</v>
      </c>
      <c r="G39" s="7">
        <f t="shared" si="25"/>
        <v>1036000</v>
      </c>
      <c r="H39" s="7">
        <f t="shared" si="25"/>
        <v>1304000</v>
      </c>
      <c r="I39" s="7">
        <f t="shared" si="25"/>
        <v>1572000</v>
      </c>
      <c r="J39" s="7">
        <f t="shared" si="25"/>
        <v>1839000</v>
      </c>
    </row>
    <row r="40" spans="1:18" ht="30" x14ac:dyDescent="0.25">
      <c r="A40" s="2" t="s">
        <v>367</v>
      </c>
      <c r="E40" s="7">
        <f>E$27-MOD(E$27,1000)</f>
        <v>521000</v>
      </c>
      <c r="F40" s="7">
        <f t="shared" ref="F40:J40" si="26">F$27-MOD(F$27,1000)</f>
        <v>809000</v>
      </c>
      <c r="G40" s="7">
        <f t="shared" si="26"/>
        <v>1097000</v>
      </c>
      <c r="H40" s="7">
        <f t="shared" si="26"/>
        <v>1385000</v>
      </c>
      <c r="I40" s="7">
        <f t="shared" si="26"/>
        <v>1673000</v>
      </c>
      <c r="J40" s="7">
        <f t="shared" si="26"/>
        <v>1961000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workbookViewId="0">
      <selection activeCell="F10" sqref="F1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300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293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296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288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290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291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294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295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29" spans="1:15" ht="30" x14ac:dyDescent="0.25">
      <c r="A29" s="2" t="s">
        <v>369</v>
      </c>
      <c r="E29" s="7">
        <f>E$26-MOD(E$26,1000)</f>
        <v>160000</v>
      </c>
      <c r="F29" s="7">
        <f t="shared" ref="F29:N29" si="12">F$26-MOD(F$26,1000)</f>
        <v>200000</v>
      </c>
      <c r="G29" s="7">
        <f t="shared" si="12"/>
        <v>240000</v>
      </c>
      <c r="H29" s="7">
        <f t="shared" si="12"/>
        <v>280000</v>
      </c>
      <c r="I29" s="7">
        <f t="shared" si="12"/>
        <v>320000</v>
      </c>
      <c r="J29" s="7">
        <f t="shared" si="12"/>
        <v>360000</v>
      </c>
      <c r="K29" s="7">
        <f t="shared" si="12"/>
        <v>400000</v>
      </c>
      <c r="L29" s="7">
        <f t="shared" si="12"/>
        <v>440000</v>
      </c>
      <c r="M29" s="7">
        <f t="shared" si="12"/>
        <v>480000</v>
      </c>
      <c r="N29" s="7">
        <f t="shared" si="12"/>
        <v>520000</v>
      </c>
    </row>
    <row r="30" spans="1:15" ht="30" x14ac:dyDescent="0.25">
      <c r="A30" s="2" t="s">
        <v>370</v>
      </c>
      <c r="E30" s="7">
        <f>E$27-MOD(E$27,1000)</f>
        <v>284000</v>
      </c>
      <c r="F30" s="7">
        <f t="shared" ref="F30:N30" si="13">F$27-MOD(F$27,1000)</f>
        <v>335000</v>
      </c>
      <c r="G30" s="7">
        <f t="shared" si="13"/>
        <v>385000</v>
      </c>
      <c r="H30" s="7">
        <f t="shared" si="13"/>
        <v>436000</v>
      </c>
      <c r="I30" s="7">
        <f t="shared" si="13"/>
        <v>486000</v>
      </c>
      <c r="J30" s="7">
        <f t="shared" si="13"/>
        <v>537000</v>
      </c>
      <c r="K30" s="7">
        <f t="shared" si="13"/>
        <v>587000</v>
      </c>
      <c r="L30" s="7">
        <f t="shared" si="13"/>
        <v>638000</v>
      </c>
      <c r="M30" s="7">
        <f t="shared" si="13"/>
        <v>688000</v>
      </c>
      <c r="N30" s="7">
        <f t="shared" si="13"/>
        <v>739000</v>
      </c>
    </row>
    <row r="37" spans="1:14" x14ac:dyDescent="0.25">
      <c r="A37" s="2" t="s">
        <v>333</v>
      </c>
      <c r="E37" s="7">
        <f>E$26/(E$15)</f>
        <v>160778.33327499998</v>
      </c>
      <c r="F37" s="7">
        <f t="shared" ref="F37:N37" si="14">F$26/(F$16/5)</f>
        <v>125458.95829687499</v>
      </c>
      <c r="G37" s="7">
        <f t="shared" si="14"/>
        <v>100287.63886458334</v>
      </c>
      <c r="H37" s="7">
        <f t="shared" si="14"/>
        <v>87701.979148437487</v>
      </c>
      <c r="I37" s="7">
        <f t="shared" si="14"/>
        <v>80150.583318749996</v>
      </c>
      <c r="J37" s="7">
        <f t="shared" si="14"/>
        <v>75116.319432291668</v>
      </c>
      <c r="K37" s="7">
        <f t="shared" si="14"/>
        <v>71520.416656250003</v>
      </c>
      <c r="L37" s="7">
        <f t="shared" si="14"/>
        <v>68823.489574218736</v>
      </c>
      <c r="M37" s="7">
        <f t="shared" si="14"/>
        <v>66725.879621527769</v>
      </c>
      <c r="N37" s="7">
        <f t="shared" si="14"/>
        <v>65047.791659374998</v>
      </c>
    </row>
    <row r="38" spans="1:14" x14ac:dyDescent="0.25">
      <c r="A38" s="2" t="s">
        <v>334</v>
      </c>
      <c r="E38" s="7">
        <f>E$27/(E$16/5)</f>
        <v>356008.33318749996</v>
      </c>
      <c r="F38" s="7">
        <f t="shared" ref="F38:N38" si="15">F$27/(F$16/5)</f>
        <v>209574.16659374998</v>
      </c>
      <c r="G38" s="7">
        <f t="shared" si="15"/>
        <v>160762.77772916667</v>
      </c>
      <c r="H38" s="7">
        <f t="shared" si="15"/>
        <v>136357.08329687497</v>
      </c>
      <c r="I38" s="7">
        <f t="shared" si="15"/>
        <v>121713.66663749999</v>
      </c>
      <c r="J38" s="7">
        <f t="shared" si="15"/>
        <v>111951.38886458334</v>
      </c>
      <c r="K38" s="7">
        <f t="shared" si="15"/>
        <v>104978.33331250001</v>
      </c>
      <c r="L38" s="7">
        <f t="shared" si="15"/>
        <v>99748.541648437487</v>
      </c>
      <c r="M38" s="7">
        <f t="shared" si="15"/>
        <v>95680.925909722209</v>
      </c>
      <c r="N38" s="7">
        <f t="shared" si="15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10" workbookViewId="0">
      <selection activeCell="E29" sqref="E29:E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343</v>
      </c>
      <c r="E16">
        <f>E$15*$F$6</f>
        <v>25</v>
      </c>
      <c r="F16">
        <f t="shared" ref="F16:G16" si="0">F$15*$F$6</f>
        <v>50</v>
      </c>
      <c r="G16">
        <f t="shared" si="0"/>
        <v>100</v>
      </c>
    </row>
    <row r="17" spans="1:7" ht="30" x14ac:dyDescent="0.25">
      <c r="A17" s="2" t="s">
        <v>297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298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292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300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293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296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288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290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291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294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295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29" spans="1:7" x14ac:dyDescent="0.25">
      <c r="A29" s="2" t="s">
        <v>364</v>
      </c>
      <c r="E29" s="7">
        <f>E$26-MOD(E$26,1000)</f>
        <v>193000</v>
      </c>
      <c r="F29" s="7">
        <f t="shared" ref="F29:G29" si="1">F$26-MOD(F$26,1000)</f>
        <v>272000</v>
      </c>
      <c r="G29" s="7">
        <f t="shared" si="1"/>
        <v>431000</v>
      </c>
    </row>
    <row r="30" spans="1:7" x14ac:dyDescent="0.25">
      <c r="A30" s="2" t="s">
        <v>365</v>
      </c>
      <c r="E30" s="7">
        <f>E$27-MOD(E$27,1000)</f>
        <v>338000</v>
      </c>
      <c r="F30" s="7">
        <f t="shared" ref="F30:G30" si="2">F$27-MOD(F$27,1000)</f>
        <v>450000</v>
      </c>
      <c r="G30" s="7">
        <f t="shared" si="2"/>
        <v>675000</v>
      </c>
    </row>
    <row r="37" spans="1:6" x14ac:dyDescent="0.25">
      <c r="A37" s="2" t="s">
        <v>333</v>
      </c>
      <c r="E37" s="7">
        <f>E$26/(E$16/E$15)</f>
        <v>38674.066654999995</v>
      </c>
      <c r="F37" s="7">
        <f t="shared" ref="F37" si="3">F$26/(F$16/F$15)</f>
        <v>54546.566654999995</v>
      </c>
    </row>
    <row r="38" spans="1:6" x14ac:dyDescent="0.25">
      <c r="A38" s="2" t="s">
        <v>334</v>
      </c>
      <c r="E38" s="7">
        <f>E$27/(E$16/E$15)</f>
        <v>67702.13330999999</v>
      </c>
      <c r="F38" s="7">
        <f t="shared" ref="F38" si="4"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1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64841.333299999998</v>
      </c>
      <c r="M23" s="36">
        <f t="shared" si="5"/>
        <v>140241.3333</v>
      </c>
      <c r="N23" s="36">
        <f t="shared" si="5"/>
        <v>177941.3333</v>
      </c>
      <c r="O23" s="36">
        <f t="shared" si="5"/>
        <v>215641.3333</v>
      </c>
      <c r="P23" s="36">
        <f t="shared" si="5"/>
        <v>253341.3333</v>
      </c>
      <c r="Q23" s="36">
        <f t="shared" si="5"/>
        <v>291041.3333</v>
      </c>
      <c r="R23" s="36">
        <f t="shared" si="5"/>
        <v>366441.3333</v>
      </c>
    </row>
    <row r="24" spans="1:18" x14ac:dyDescent="0.25">
      <c r="A24" s="2" t="s">
        <v>292</v>
      </c>
      <c r="C24" s="36">
        <f t="shared" ref="C24:H24" si="6">PhiMayInToner4M(C$21)</f>
        <v>140241.3333</v>
      </c>
      <c r="D24" s="36">
        <f t="shared" si="6"/>
        <v>177941.3333</v>
      </c>
      <c r="E24" s="36">
        <f t="shared" si="6"/>
        <v>215641.3333</v>
      </c>
      <c r="F24" s="36">
        <f t="shared" si="6"/>
        <v>253341.3333</v>
      </c>
      <c r="G24" s="36">
        <f t="shared" si="6"/>
        <v>291041.3333</v>
      </c>
      <c r="H24" s="36">
        <f t="shared" si="6"/>
        <v>366441.3333</v>
      </c>
      <c r="L24" s="36">
        <f t="shared" ref="L24:R24" si="7">L$23*2</f>
        <v>129682.6666</v>
      </c>
      <c r="M24" s="36">
        <f t="shared" si="7"/>
        <v>280482.6666</v>
      </c>
      <c r="N24" s="36">
        <f t="shared" si="7"/>
        <v>355882.6666</v>
      </c>
      <c r="O24" s="36">
        <f t="shared" si="7"/>
        <v>431282.6666</v>
      </c>
      <c r="P24" s="36">
        <f t="shared" si="7"/>
        <v>506682.6666</v>
      </c>
      <c r="Q24" s="36">
        <f t="shared" si="7"/>
        <v>582082.6666</v>
      </c>
      <c r="R24" s="36">
        <f t="shared" si="7"/>
        <v>732882.6666</v>
      </c>
    </row>
    <row r="25" spans="1:18" x14ac:dyDescent="0.25">
      <c r="A25" s="2" t="s">
        <v>300</v>
      </c>
      <c r="C25" s="36">
        <f t="shared" ref="C25:H25" si="8">C$24*2</f>
        <v>280482.6666</v>
      </c>
      <c r="D25" s="36">
        <f t="shared" si="8"/>
        <v>355882.6666</v>
      </c>
      <c r="E25" s="36">
        <f t="shared" si="8"/>
        <v>431282.6666</v>
      </c>
      <c r="F25" s="36">
        <f t="shared" si="8"/>
        <v>506682.6666</v>
      </c>
      <c r="G25" s="36">
        <f t="shared" si="8"/>
        <v>582082.6666</v>
      </c>
      <c r="H25" s="36">
        <f t="shared" si="8"/>
        <v>732882.6666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>PhiMayBeTruyenThong(C$22) + $E$16</f>
        <v>216250</v>
      </c>
      <c r="D28" s="7">
        <f t="shared" ref="D28:H28" si="11">PhiMayBeTruyenThong(D$22) + $E$16</f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113472.333275</v>
      </c>
      <c r="M30" s="29">
        <f t="shared" ref="M30:R30" si="13">M$23*(1+$D$8)</f>
        <v>245422.33327499998</v>
      </c>
      <c r="N30" s="29">
        <f t="shared" si="13"/>
        <v>311397.33327499998</v>
      </c>
      <c r="O30" s="29">
        <f t="shared" si="13"/>
        <v>377372.33327499998</v>
      </c>
      <c r="P30" s="29">
        <f t="shared" si="13"/>
        <v>443347.33327499998</v>
      </c>
      <c r="Q30" s="29">
        <f t="shared" si="13"/>
        <v>509322.33327499998</v>
      </c>
      <c r="R30" s="29">
        <f t="shared" si="13"/>
        <v>641272.33327499998</v>
      </c>
    </row>
    <row r="31" spans="1:18" ht="30" x14ac:dyDescent="0.25">
      <c r="A31" s="2" t="s">
        <v>352</v>
      </c>
      <c r="C31" s="29">
        <f>(C$24 + SUM(C$26:C$29))*(1+$D$8)</f>
        <v>872349.91690000007</v>
      </c>
      <c r="D31" s="29">
        <f t="shared" ref="D31:H31" si="14">(D$24 + SUM(D$26:D$29))*(1+$D$8)</f>
        <v>1025516.2357999999</v>
      </c>
      <c r="E31" s="29">
        <f t="shared" si="14"/>
        <v>1178682.5557499998</v>
      </c>
      <c r="F31" s="29">
        <f t="shared" si="14"/>
        <v>1331848.875</v>
      </c>
      <c r="G31" s="29">
        <f t="shared" si="14"/>
        <v>1485015.1944250001</v>
      </c>
      <c r="H31" s="29">
        <f t="shared" si="14"/>
        <v>1791347.8329249998</v>
      </c>
      <c r="L31" s="29">
        <f>L$24*(1+$D$8)</f>
        <v>226944.66654999999</v>
      </c>
      <c r="M31" s="29">
        <f t="shared" ref="M31:R31" si="15">M$24*(1+$D$8)</f>
        <v>490844.66654999997</v>
      </c>
      <c r="N31" s="29">
        <f t="shared" si="15"/>
        <v>622794.66654999997</v>
      </c>
      <c r="O31" s="29">
        <f t="shared" si="15"/>
        <v>754744.66654999997</v>
      </c>
      <c r="P31" s="29">
        <f t="shared" si="15"/>
        <v>886694.66654999997</v>
      </c>
      <c r="Q31" s="29">
        <f t="shared" si="15"/>
        <v>1018644.66655</v>
      </c>
      <c r="R31" s="29">
        <f t="shared" si="15"/>
        <v>1282544.66655</v>
      </c>
    </row>
    <row r="32" spans="1:18" ht="30" x14ac:dyDescent="0.25">
      <c r="A32" s="2" t="s">
        <v>353</v>
      </c>
      <c r="C32" s="29">
        <f>(C$25 + SUM(C$26:C$29))*(1+$D$8)</f>
        <v>1117772.2501750002</v>
      </c>
      <c r="D32" s="29">
        <f t="shared" ref="D32:H32" si="16">(D$25 + SUM(D$26:D$29))*(1+$D$8)</f>
        <v>1336913.569075</v>
      </c>
      <c r="E32" s="29">
        <f t="shared" si="16"/>
        <v>1556054.8890249999</v>
      </c>
      <c r="F32" s="29">
        <f t="shared" si="16"/>
        <v>1775196.2082750001</v>
      </c>
      <c r="G32" s="29">
        <f t="shared" si="16"/>
        <v>1994337.5277</v>
      </c>
      <c r="H32" s="29">
        <f t="shared" si="16"/>
        <v>2432620.1661999999</v>
      </c>
      <c r="L32" s="7">
        <f t="shared" ref="L32:R32" si="17">L$30/L$20</f>
        <v>113472.333275</v>
      </c>
      <c r="M32" s="7">
        <f t="shared" si="17"/>
        <v>4812.2026132352939</v>
      </c>
      <c r="N32" s="7">
        <f t="shared" si="17"/>
        <v>4097.3333325657895</v>
      </c>
      <c r="O32" s="7">
        <f t="shared" si="17"/>
        <v>3736.3597353960395</v>
      </c>
      <c r="P32" s="7">
        <f t="shared" si="17"/>
        <v>3518.6296291666667</v>
      </c>
      <c r="Q32" s="7">
        <f t="shared" si="17"/>
        <v>3372.9955846026487</v>
      </c>
      <c r="R32" s="7">
        <f t="shared" si="17"/>
        <v>3190.4096182835819</v>
      </c>
    </row>
    <row r="33" spans="1:18" x14ac:dyDescent="0.25">
      <c r="A33" s="2" t="s">
        <v>354</v>
      </c>
      <c r="C33" s="7">
        <f t="shared" ref="C33:H33" si="18">C$31/C$19</f>
        <v>17446.998338000001</v>
      </c>
      <c r="D33" s="7">
        <f t="shared" si="18"/>
        <v>13673.549810666666</v>
      </c>
      <c r="E33" s="7">
        <f t="shared" si="18"/>
        <v>11786.825557499998</v>
      </c>
      <c r="F33" s="7">
        <f t="shared" si="18"/>
        <v>10654.790999999999</v>
      </c>
      <c r="G33" s="7">
        <f t="shared" si="18"/>
        <v>9900.1012961666675</v>
      </c>
      <c r="H33" s="7">
        <f t="shared" si="18"/>
        <v>8956.739164624998</v>
      </c>
      <c r="L33" s="7">
        <f t="shared" ref="L33:R33" si="19">L$30/L$21</f>
        <v>56736.166637499999</v>
      </c>
      <c r="M33" s="7">
        <f t="shared" si="19"/>
        <v>2406.101306617647</v>
      </c>
      <c r="N33" s="7">
        <f t="shared" si="19"/>
        <v>2048.6666662828948</v>
      </c>
      <c r="O33" s="7">
        <f t="shared" si="19"/>
        <v>1868.1798676980197</v>
      </c>
      <c r="P33" s="7">
        <f t="shared" si="19"/>
        <v>1759.3148145833334</v>
      </c>
      <c r="Q33" s="7">
        <f t="shared" si="19"/>
        <v>1686.4977923013244</v>
      </c>
      <c r="R33" s="7">
        <f t="shared" si="19"/>
        <v>1595.204809141791</v>
      </c>
    </row>
    <row r="34" spans="1:18" x14ac:dyDescent="0.25">
      <c r="A34" s="2" t="s">
        <v>355</v>
      </c>
      <c r="C34" s="7">
        <f t="shared" ref="C34:H34" si="20">C$32/C$19</f>
        <v>22355.445003500005</v>
      </c>
      <c r="D34" s="7">
        <f t="shared" si="20"/>
        <v>17825.514254333335</v>
      </c>
      <c r="E34" s="7">
        <f t="shared" si="20"/>
        <v>15560.54889025</v>
      </c>
      <c r="F34" s="7">
        <f t="shared" si="20"/>
        <v>14201.569666200001</v>
      </c>
      <c r="G34" s="7">
        <f t="shared" si="20"/>
        <v>13295.583517999999</v>
      </c>
      <c r="H34" s="7">
        <f t="shared" si="20"/>
        <v>12163.100831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229492.66654999999</v>
      </c>
      <c r="M35" s="29">
        <f t="shared" si="21"/>
        <v>620792.66654999997</v>
      </c>
      <c r="N35" s="29">
        <f t="shared" si="21"/>
        <v>816442.66654999997</v>
      </c>
      <c r="O35" s="29">
        <f t="shared" si="21"/>
        <v>1012092.66655</v>
      </c>
      <c r="P35" s="29">
        <f t="shared" si="21"/>
        <v>1207742.66655</v>
      </c>
      <c r="Q35" s="29">
        <f t="shared" si="21"/>
        <v>1403392.66655</v>
      </c>
      <c r="R35" s="29">
        <f t="shared" si="21"/>
        <v>1794692.66655</v>
      </c>
    </row>
    <row r="36" spans="1:18" ht="30" x14ac:dyDescent="0.25">
      <c r="A36" s="2" t="s">
        <v>371</v>
      </c>
      <c r="C36" s="7">
        <f t="shared" ref="C36:H36" si="22">C$31-MOD(C$31,1000)</f>
        <v>872000</v>
      </c>
      <c r="D36" s="7">
        <f t="shared" si="22"/>
        <v>1025000</v>
      </c>
      <c r="E36" s="7">
        <f t="shared" si="22"/>
        <v>1178000</v>
      </c>
      <c r="F36" s="7">
        <f t="shared" si="22"/>
        <v>1331000</v>
      </c>
      <c r="G36" s="7">
        <f t="shared" si="22"/>
        <v>1485000</v>
      </c>
      <c r="H36" s="7">
        <f t="shared" si="22"/>
        <v>1791000</v>
      </c>
      <c r="L36" s="29">
        <f t="shared" ref="L36:R36" si="23">L$31+L$20*$E$11</f>
        <v>226944.66654999999</v>
      </c>
      <c r="M36" s="29">
        <f t="shared" si="23"/>
        <v>490844.66654999997</v>
      </c>
      <c r="N36" s="29">
        <f t="shared" si="23"/>
        <v>622794.66654999997</v>
      </c>
      <c r="O36" s="29">
        <f t="shared" si="23"/>
        <v>754744.66654999997</v>
      </c>
      <c r="P36" s="29">
        <f t="shared" si="23"/>
        <v>886694.66654999997</v>
      </c>
      <c r="Q36" s="29">
        <f t="shared" si="23"/>
        <v>1018644.66655</v>
      </c>
      <c r="R36" s="29">
        <f t="shared" si="23"/>
        <v>1282544.66655</v>
      </c>
    </row>
    <row r="37" spans="1:18" ht="30" x14ac:dyDescent="0.25">
      <c r="A37" s="2" t="s">
        <v>372</v>
      </c>
      <c r="C37" s="7">
        <f t="shared" ref="C37:H37" si="24">C$32-MOD(C$32,1000)</f>
        <v>1117000</v>
      </c>
      <c r="D37" s="7">
        <f t="shared" si="24"/>
        <v>1336000</v>
      </c>
      <c r="E37" s="7">
        <f t="shared" si="24"/>
        <v>1556000</v>
      </c>
      <c r="F37" s="7">
        <f t="shared" si="24"/>
        <v>1775000</v>
      </c>
      <c r="G37" s="7">
        <f t="shared" si="24"/>
        <v>1994000</v>
      </c>
      <c r="H37" s="7">
        <f t="shared" si="24"/>
        <v>2432000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>M$20*$E$14/M$19</f>
        <v>294.73919999999998</v>
      </c>
      <c r="N43" s="7">
        <f t="shared" ref="N43:R43" si="30">N$20*$E$14/N$19</f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 t="shared" ref="F13:H13" si="0">F$12/$D$6 +1</f>
        <v>51</v>
      </c>
      <c r="G13">
        <f t="shared" si="0"/>
        <v>101</v>
      </c>
      <c r="H13">
        <f t="shared" si="0"/>
        <v>201</v>
      </c>
    </row>
    <row r="14" spans="1:8" ht="30" x14ac:dyDescent="0.25">
      <c r="A14" s="2" t="s">
        <v>298</v>
      </c>
      <c r="E14">
        <f>E$13*$E$6</f>
        <v>52</v>
      </c>
      <c r="F14">
        <f t="shared" ref="F14:H14" si="1">F$13*$E$6</f>
        <v>102</v>
      </c>
      <c r="G14">
        <f t="shared" si="1"/>
        <v>202</v>
      </c>
      <c r="H14">
        <f t="shared" si="1"/>
        <v>402</v>
      </c>
    </row>
    <row r="15" spans="1:8" x14ac:dyDescent="0.25">
      <c r="A15" s="2" t="s">
        <v>292</v>
      </c>
      <c r="E15" s="36">
        <f>PhiMayInToner4M(E$14)</f>
        <v>102541.3333</v>
      </c>
      <c r="F15" s="36">
        <f t="shared" ref="F15:H15" si="2">PhiMayInToner4M(F$14)</f>
        <v>140241.3333</v>
      </c>
      <c r="G15" s="36">
        <f t="shared" si="2"/>
        <v>215641.3333</v>
      </c>
      <c r="H15" s="36">
        <f t="shared" si="2"/>
        <v>366441.3333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 t="shared" ref="H16" si="3">H$13*$D$9</f>
        <v>251250</v>
      </c>
    </row>
    <row r="17" spans="1:8" x14ac:dyDescent="0.25">
      <c r="A17" s="2" t="s">
        <v>360</v>
      </c>
      <c r="E17" s="36">
        <f>SUM(E$15:E$16)</f>
        <v>135041.3333</v>
      </c>
      <c r="F17" s="36">
        <f t="shared" ref="F17:H17" si="4">SUM(F$15:F$16)</f>
        <v>203991.3333</v>
      </c>
      <c r="G17" s="36">
        <f t="shared" si="4"/>
        <v>341891.3333</v>
      </c>
      <c r="H17" s="36">
        <f t="shared" si="4"/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236322.33327499998</v>
      </c>
      <c r="F23" s="29">
        <f t="shared" ref="F23:H23" si="5">F$17*(1+$D$7)</f>
        <v>356984.83327499998</v>
      </c>
      <c r="G23" s="29">
        <f t="shared" si="5"/>
        <v>598309.83327499998</v>
      </c>
      <c r="H23" s="29">
        <f t="shared" si="5"/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236000</v>
      </c>
      <c r="F25" s="7">
        <f t="shared" ref="F25:H25" si="6">F$23 - MOD(F$23,1000)</f>
        <v>356000</v>
      </c>
      <c r="G25" s="7">
        <f t="shared" si="6"/>
        <v>598000</v>
      </c>
      <c r="H25" s="7">
        <f t="shared" si="6"/>
        <v>1080000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workbookViewId="0">
      <selection activeCell="M15" sqref="M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377</v>
      </c>
      <c r="E21" s="29">
        <f>$E$9*E$13</f>
        <v>10560</v>
      </c>
      <c r="F21" s="29">
        <f>$E$9*F$13</f>
        <v>19008</v>
      </c>
      <c r="G21" s="29">
        <f t="shared" ref="G21:J21" si="8">$E$9*G$13</f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>$E$10*E$13</f>
        <v>12720</v>
      </c>
      <c r="F22" s="29">
        <f t="shared" ref="F22:J22" si="9">$E$10*F$13</f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>E$18+E$21</f>
        <v>285006.66654999997</v>
      </c>
      <c r="F24" s="29">
        <f t="shared" ref="F24:J24" si="10">F$18+F$21</f>
        <v>335678.66654999997</v>
      </c>
      <c r="G24" s="29">
        <f t="shared" si="10"/>
        <v>386350.66654999997</v>
      </c>
      <c r="H24" s="29">
        <f t="shared" si="10"/>
        <v>443356.66654999997</v>
      </c>
      <c r="I24" s="29">
        <f t="shared" si="10"/>
        <v>494028.66654999997</v>
      </c>
      <c r="J24" s="29">
        <f t="shared" si="10"/>
        <v>544700.66654999997</v>
      </c>
    </row>
    <row r="25" spans="1:10" ht="30" x14ac:dyDescent="0.25">
      <c r="A25" s="2" t="s">
        <v>380</v>
      </c>
      <c r="E25" s="29">
        <f>E$18+E$22</f>
        <v>287166.66654999997</v>
      </c>
      <c r="F25" s="29">
        <f t="shared" ref="F25:J25" si="11">F$18+F$22</f>
        <v>339566.66654999997</v>
      </c>
      <c r="G25" s="29">
        <f t="shared" si="11"/>
        <v>391966.66654999997</v>
      </c>
      <c r="H25" s="29">
        <f t="shared" si="11"/>
        <v>450916.66654999997</v>
      </c>
      <c r="I25" s="29">
        <f t="shared" si="11"/>
        <v>503316.66654999997</v>
      </c>
      <c r="J25" s="29">
        <f t="shared" si="11"/>
        <v>555716.66654999997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>E$24-MOD(E$24,1000)</f>
        <v>285000</v>
      </c>
      <c r="F27" s="7">
        <f t="shared" ref="F27:J27" si="12">F$24-MOD(F$24,1000)</f>
        <v>335000</v>
      </c>
      <c r="G27" s="7">
        <f t="shared" si="12"/>
        <v>386000</v>
      </c>
      <c r="H27" s="7">
        <f t="shared" si="12"/>
        <v>443000</v>
      </c>
      <c r="I27" s="7">
        <f t="shared" si="12"/>
        <v>494000</v>
      </c>
      <c r="J27" s="7">
        <f t="shared" si="12"/>
        <v>544000</v>
      </c>
    </row>
    <row r="28" spans="1:10" x14ac:dyDescent="0.25">
      <c r="A28" s="2" t="s">
        <v>382</v>
      </c>
      <c r="E28" s="7">
        <f>E$25-MOD(E$25,1000)</f>
        <v>287000</v>
      </c>
      <c r="F28" s="7">
        <f t="shared" ref="F28:J28" si="13">F$25-MOD(F$25,1000)</f>
        <v>339000</v>
      </c>
      <c r="G28" s="7">
        <f t="shared" si="13"/>
        <v>391000</v>
      </c>
      <c r="H28" s="7">
        <f t="shared" si="13"/>
        <v>450000</v>
      </c>
      <c r="I28" s="7">
        <f t="shared" si="13"/>
        <v>503000</v>
      </c>
      <c r="J28" s="7">
        <f t="shared" si="13"/>
        <v>555000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M24" sqref="M24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377</v>
      </c>
      <c r="E21" s="29">
        <f>$E$9*E$13</f>
        <v>14784</v>
      </c>
      <c r="F21" s="29">
        <f>$E$9*F$13</f>
        <v>27456</v>
      </c>
      <c r="G21" s="29">
        <f t="shared" ref="G21:J21" si="8">$E$9*G$13</f>
        <v>41184</v>
      </c>
      <c r="H21" s="29">
        <f t="shared" si="8"/>
        <v>53856</v>
      </c>
      <c r="I21" s="29">
        <f t="shared" si="8"/>
        <v>67584</v>
      </c>
      <c r="J21" s="29">
        <f t="shared" si="8"/>
        <v>80256</v>
      </c>
    </row>
    <row r="22" spans="1:10" x14ac:dyDescent="0.25">
      <c r="A22" s="2" t="s">
        <v>378</v>
      </c>
      <c r="E22" s="29">
        <f>$E$10*E$13</f>
        <v>17808</v>
      </c>
      <c r="F22" s="29">
        <f t="shared" ref="F22:J22" si="9">$E$10*F$13</f>
        <v>33072</v>
      </c>
      <c r="G22" s="29">
        <f t="shared" si="9"/>
        <v>49608</v>
      </c>
      <c r="H22" s="29">
        <f t="shared" si="9"/>
        <v>64872</v>
      </c>
      <c r="I22" s="29">
        <f t="shared" si="9"/>
        <v>81408</v>
      </c>
      <c r="J22" s="29">
        <f t="shared" si="9"/>
        <v>96672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>E$18+E$21</f>
        <v>310342.66654999997</v>
      </c>
      <c r="F24" s="29">
        <f t="shared" ref="F24:J24" si="10">F$18+F$21</f>
        <v>386350.66654999997</v>
      </c>
      <c r="G24" s="29">
        <f t="shared" si="10"/>
        <v>468692.66654999997</v>
      </c>
      <c r="H24" s="29">
        <f t="shared" si="10"/>
        <v>544700.66654999997</v>
      </c>
      <c r="I24" s="29">
        <f t="shared" si="10"/>
        <v>627042.66654999997</v>
      </c>
      <c r="J24" s="29">
        <f t="shared" si="10"/>
        <v>703050.66654999997</v>
      </c>
    </row>
    <row r="25" spans="1:10" ht="30" x14ac:dyDescent="0.25">
      <c r="A25" s="2" t="s">
        <v>380</v>
      </c>
      <c r="E25" s="29">
        <f>E$18+E$22</f>
        <v>313366.66654999997</v>
      </c>
      <c r="F25" s="29">
        <f t="shared" ref="F25:J25" si="11">F$18+F$22</f>
        <v>391966.66654999997</v>
      </c>
      <c r="G25" s="29">
        <f t="shared" si="11"/>
        <v>477116.66654999997</v>
      </c>
      <c r="H25" s="29">
        <f t="shared" si="11"/>
        <v>555716.66654999997</v>
      </c>
      <c r="I25" s="29">
        <f t="shared" si="11"/>
        <v>640866.66654999997</v>
      </c>
      <c r="J25" s="29">
        <f t="shared" si="11"/>
        <v>719466.66654999997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>E$24-MOD(E$24,1000)</f>
        <v>310000</v>
      </c>
      <c r="F27" s="7">
        <f t="shared" ref="F27:J27" si="12">F$24-MOD(F$24,1000)</f>
        <v>386000</v>
      </c>
      <c r="G27" s="7">
        <f t="shared" si="12"/>
        <v>468000</v>
      </c>
      <c r="H27" s="7">
        <f t="shared" si="12"/>
        <v>544000</v>
      </c>
      <c r="I27" s="7">
        <f t="shared" si="12"/>
        <v>627000</v>
      </c>
      <c r="J27" s="7">
        <f t="shared" si="12"/>
        <v>703000</v>
      </c>
    </row>
    <row r="28" spans="1:10" x14ac:dyDescent="0.25">
      <c r="A28" s="2" t="s">
        <v>382</v>
      </c>
      <c r="E28" s="7">
        <f>E$25-MOD(E$25,1000)</f>
        <v>313000</v>
      </c>
      <c r="F28" s="7">
        <f t="shared" ref="F28:J28" si="13">F$25-MOD(F$25,1000)</f>
        <v>391000</v>
      </c>
      <c r="G28" s="7">
        <f t="shared" si="13"/>
        <v>477000</v>
      </c>
      <c r="H28" s="7">
        <f t="shared" si="13"/>
        <v>555000</v>
      </c>
      <c r="I28" s="7">
        <f t="shared" si="13"/>
        <v>640000</v>
      </c>
      <c r="J28" s="7">
        <f t="shared" si="13"/>
        <v>719000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4" workbookViewId="0">
      <selection activeCell="I20" sqref="I20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403885.33323333331</v>
      </c>
      <c r="D27" s="29">
        <f t="shared" ref="D27:I27" si="7">SUM(D$21:D$26)</f>
        <v>474751.99996666663</v>
      </c>
      <c r="E27" s="29">
        <f t="shared" si="7"/>
        <v>546035.33320000011</v>
      </c>
      <c r="F27" s="29">
        <f t="shared" si="7"/>
        <v>617318.66673333338</v>
      </c>
      <c r="G27" s="29">
        <f t="shared" si="7"/>
        <v>688185.33296666667</v>
      </c>
      <c r="H27" s="29">
        <f t="shared" si="7"/>
        <v>759468.66650000005</v>
      </c>
      <c r="I27" s="29">
        <f t="shared" si="7"/>
        <v>1044185.3326333333</v>
      </c>
    </row>
    <row r="28" spans="1:9" ht="30" x14ac:dyDescent="0.25">
      <c r="A28" s="2" t="s">
        <v>398</v>
      </c>
      <c r="C28" s="29">
        <f>C$27*(1+$D$8)</f>
        <v>706799.33315833332</v>
      </c>
      <c r="D28" s="29">
        <f t="shared" ref="D28:I28" si="8">D$27*(1+$D$8)</f>
        <v>830815.99994166661</v>
      </c>
      <c r="E28" s="29">
        <f t="shared" si="8"/>
        <v>955561.83310000016</v>
      </c>
      <c r="F28" s="29">
        <f t="shared" si="8"/>
        <v>1080307.6667833333</v>
      </c>
      <c r="G28" s="29">
        <f t="shared" si="8"/>
        <v>1204324.3326916667</v>
      </c>
      <c r="H28" s="29">
        <f t="shared" si="8"/>
        <v>1329070.166375</v>
      </c>
      <c r="I28" s="29">
        <f t="shared" si="8"/>
        <v>1827324.3321083332</v>
      </c>
    </row>
    <row r="29" spans="1:9" x14ac:dyDescent="0.25">
      <c r="A29" s="2" t="s">
        <v>395</v>
      </c>
      <c r="C29" s="7">
        <f t="shared" ref="C29:I29" si="9">C$27/C$17</f>
        <v>8077.7066646666663</v>
      </c>
      <c r="D29" s="7">
        <f t="shared" si="9"/>
        <v>4747.5199996666661</v>
      </c>
      <c r="E29" s="7">
        <f t="shared" si="9"/>
        <v>3640.2355546666672</v>
      </c>
      <c r="F29" s="7">
        <f t="shared" si="9"/>
        <v>3086.5933336666667</v>
      </c>
      <c r="G29" s="7">
        <f t="shared" si="9"/>
        <v>2752.7413318666668</v>
      </c>
      <c r="H29" s="7">
        <f t="shared" si="9"/>
        <v>2531.562221666667</v>
      </c>
      <c r="I29" s="7">
        <f t="shared" si="9"/>
        <v>2088.3706652666665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706000</v>
      </c>
      <c r="D31" s="7">
        <f t="shared" ref="D31:I31" si="10">D$28-MOD(D$28,1000)</f>
        <v>830000</v>
      </c>
      <c r="E31" s="7">
        <f t="shared" si="10"/>
        <v>955000</v>
      </c>
      <c r="F31" s="7">
        <f t="shared" si="10"/>
        <v>1080000</v>
      </c>
      <c r="G31" s="7">
        <f t="shared" si="10"/>
        <v>1204000</v>
      </c>
      <c r="H31" s="7">
        <f t="shared" si="10"/>
        <v>1329000</v>
      </c>
      <c r="I31" s="7">
        <f t="shared" si="10"/>
        <v>1827000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223181.3333</v>
      </c>
      <c r="D21" s="36">
        <f t="shared" si="3"/>
        <v>373981.3333</v>
      </c>
      <c r="E21" s="36">
        <f t="shared" si="3"/>
        <v>524781.33330000006</v>
      </c>
      <c r="F21" s="36">
        <f t="shared" si="3"/>
        <v>675581.33330000006</v>
      </c>
      <c r="G21" s="36">
        <f t="shared" si="3"/>
        <v>826381.33330000006</v>
      </c>
      <c r="H21" s="36">
        <f t="shared" si="3"/>
        <v>977181.33330000006</v>
      </c>
      <c r="I21" s="36">
        <f t="shared" si="3"/>
        <v>1580381.3333000001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559811.33323333331</v>
      </c>
      <c r="D27" s="29">
        <f t="shared" ref="D27:I27" si="7">SUM(D$21:D$26)</f>
        <v>777777.9999666668</v>
      </c>
      <c r="E27" s="29">
        <f t="shared" si="7"/>
        <v>996161.33320000011</v>
      </c>
      <c r="F27" s="29">
        <f t="shared" si="7"/>
        <v>1214544.6667333334</v>
      </c>
      <c r="G27" s="29">
        <f t="shared" si="7"/>
        <v>1432511.3329666669</v>
      </c>
      <c r="H27" s="29">
        <f t="shared" si="7"/>
        <v>1650894.6665000001</v>
      </c>
      <c r="I27" s="29">
        <f t="shared" si="7"/>
        <v>2524011.3326333337</v>
      </c>
    </row>
    <row r="28" spans="1:9" ht="30" x14ac:dyDescent="0.25">
      <c r="A28" s="2" t="s">
        <v>398</v>
      </c>
      <c r="C28" s="29">
        <f>C$27*(1+$D$8)</f>
        <v>979669.83315833332</v>
      </c>
      <c r="D28" s="29">
        <f t="shared" ref="D28:I28" si="8">D$27*(1+$D$8)</f>
        <v>1361111.4999416668</v>
      </c>
      <c r="E28" s="29">
        <f t="shared" si="8"/>
        <v>1743282.3331000002</v>
      </c>
      <c r="F28" s="29">
        <f t="shared" si="8"/>
        <v>2125453.1667833333</v>
      </c>
      <c r="G28" s="29">
        <f t="shared" si="8"/>
        <v>2506894.8326916671</v>
      </c>
      <c r="H28" s="29">
        <f t="shared" si="8"/>
        <v>2889065.666375</v>
      </c>
      <c r="I28" s="29">
        <f t="shared" si="8"/>
        <v>4417019.8321083337</v>
      </c>
    </row>
    <row r="29" spans="1:9" x14ac:dyDescent="0.25">
      <c r="A29" s="2" t="s">
        <v>395</v>
      </c>
      <c r="C29" s="7">
        <f t="shared" ref="C29:I29" si="9">C$27/C$17</f>
        <v>11196.226664666667</v>
      </c>
      <c r="D29" s="7">
        <f t="shared" si="9"/>
        <v>7777.7799996666681</v>
      </c>
      <c r="E29" s="7">
        <f t="shared" si="9"/>
        <v>6641.0755546666678</v>
      </c>
      <c r="F29" s="7">
        <f t="shared" si="9"/>
        <v>6072.7233336666668</v>
      </c>
      <c r="G29" s="7">
        <f t="shared" si="9"/>
        <v>5730.0453318666678</v>
      </c>
      <c r="H29" s="7">
        <f t="shared" si="9"/>
        <v>5502.9822216666671</v>
      </c>
      <c r="I29" s="7">
        <f t="shared" si="9"/>
        <v>5048.0226652666679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979000</v>
      </c>
      <c r="D31" s="7">
        <f t="shared" ref="D31:I31" si="10">D$28-MOD(D$28,1000)</f>
        <v>1361000</v>
      </c>
      <c r="E31" s="7">
        <f t="shared" si="10"/>
        <v>1743000</v>
      </c>
      <c r="F31" s="7">
        <f t="shared" si="10"/>
        <v>2125000</v>
      </c>
      <c r="G31" s="7">
        <f t="shared" si="10"/>
        <v>2506000</v>
      </c>
      <c r="H31" s="7">
        <f t="shared" si="10"/>
        <v>2889000</v>
      </c>
      <c r="I31" s="7">
        <f t="shared" si="10"/>
        <v>4417000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E29" sqref="E2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>C$13*$D$9</f>
        <v>8240</v>
      </c>
      <c r="D17" s="36">
        <f t="shared" ref="D17:H17" si="4">D$13*$D$9</f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>(C$15)*(1+$D$7)</f>
        <v>131945.33327499998</v>
      </c>
      <c r="D18" s="29">
        <f t="shared" ref="D18:H18" si="5">(D$15)*(1+$D$7)</f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>(C$16)*(1+$D$7)</f>
        <v>263890.66654999997</v>
      </c>
      <c r="D19" s="29">
        <f t="shared" ref="D19:H19" si="6">(D$16)*(1+$D$7)</f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>C$17*(1+$D$7)</f>
        <v>14420</v>
      </c>
      <c r="D22" s="29">
        <f t="shared" ref="D22:H22" si="9">D$17*(1+$D$7)</f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146365.33327499998</v>
      </c>
      <c r="D23" s="29">
        <f t="shared" si="10"/>
        <v>173014.33327499998</v>
      </c>
      <c r="E23" s="29">
        <f t="shared" si="10"/>
        <v>199663.33327499998</v>
      </c>
      <c r="F23" s="29">
        <f t="shared" si="10"/>
        <v>226312.33327499998</v>
      </c>
      <c r="G23" s="29">
        <f t="shared" si="10"/>
        <v>257402.83327499998</v>
      </c>
      <c r="H23" s="29">
        <f t="shared" si="10"/>
        <v>284051.83327499998</v>
      </c>
    </row>
    <row r="24" spans="1:8" ht="30" x14ac:dyDescent="0.25">
      <c r="A24" s="2" t="s">
        <v>295</v>
      </c>
      <c r="C24" s="29">
        <f t="shared" ref="C24:H24" si="11">C$19+C$22</f>
        <v>278310.66654999997</v>
      </c>
      <c r="D24" s="29">
        <f t="shared" si="11"/>
        <v>320793.66654999997</v>
      </c>
      <c r="E24" s="29">
        <f t="shared" si="11"/>
        <v>363276.66654999997</v>
      </c>
      <c r="F24" s="29">
        <f t="shared" si="11"/>
        <v>405759.66654999997</v>
      </c>
      <c r="G24" s="29">
        <f t="shared" si="11"/>
        <v>455323.16654999997</v>
      </c>
      <c r="H24" s="29">
        <f t="shared" si="11"/>
        <v>497806.16654999997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173000</v>
      </c>
      <c r="E26" s="7">
        <f t="shared" si="12"/>
        <v>199000</v>
      </c>
      <c r="F26" s="7">
        <f t="shared" si="12"/>
        <v>226000</v>
      </c>
      <c r="G26" s="7">
        <f t="shared" si="12"/>
        <v>257000</v>
      </c>
      <c r="H26" s="7">
        <f t="shared" si="12"/>
        <v>284000</v>
      </c>
    </row>
    <row r="27" spans="1:8" x14ac:dyDescent="0.25">
      <c r="A27" s="2" t="s">
        <v>365</v>
      </c>
      <c r="C27" s="7">
        <f t="shared" ref="C27:H27" si="13">C$24-MOD(C$24,1000)</f>
        <v>278000</v>
      </c>
      <c r="D27" s="7">
        <f t="shared" si="13"/>
        <v>320000</v>
      </c>
      <c r="E27" s="7">
        <f t="shared" si="13"/>
        <v>363000</v>
      </c>
      <c r="F27" s="7">
        <f t="shared" si="13"/>
        <v>405000</v>
      </c>
      <c r="G27" s="7">
        <f t="shared" si="13"/>
        <v>455000</v>
      </c>
      <c r="H27" s="7">
        <f t="shared" si="13"/>
        <v>497000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A9" sqref="A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78413.333299999998</v>
      </c>
      <c r="D15" s="36">
        <f t="shared" si="2"/>
        <v>90477.333299999998</v>
      </c>
      <c r="E15" s="36">
        <f t="shared" si="2"/>
        <v>102541.3333</v>
      </c>
      <c r="F15" s="36">
        <f t="shared" si="2"/>
        <v>116113.3333</v>
      </c>
      <c r="G15" s="36">
        <f t="shared" si="2"/>
        <v>128177.3333</v>
      </c>
      <c r="H15" s="36">
        <f t="shared" si="2"/>
        <v>140241.3333</v>
      </c>
    </row>
    <row r="16" spans="1:8" x14ac:dyDescent="0.25">
      <c r="A16" s="2" t="s">
        <v>300</v>
      </c>
      <c r="C16" s="36">
        <f t="shared" ref="C16:H16" si="3">C$15*2</f>
        <v>156826.6666</v>
      </c>
      <c r="D16" s="36">
        <f t="shared" si="3"/>
        <v>180954.6666</v>
      </c>
      <c r="E16" s="36">
        <f t="shared" si="3"/>
        <v>205082.6666</v>
      </c>
      <c r="F16" s="36">
        <f t="shared" si="3"/>
        <v>232226.6666</v>
      </c>
      <c r="G16" s="36">
        <f t="shared" si="3"/>
        <v>256354.6666</v>
      </c>
      <c r="H16" s="36">
        <f t="shared" si="3"/>
        <v>280482.6666</v>
      </c>
    </row>
    <row r="17" spans="1:8" x14ac:dyDescent="0.25">
      <c r="A17" s="2" t="s">
        <v>351</v>
      </c>
      <c r="C17" s="36">
        <f>C$13*$D$9</f>
        <v>10300</v>
      </c>
      <c r="D17" s="36">
        <f t="shared" ref="D17:H17" si="4">D$13*$D$9</f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>(C$15)*(1+$D$7)</f>
        <v>137223.33327499998</v>
      </c>
      <c r="D18" s="29">
        <f t="shared" ref="D18:H18" si="5">(D$15)*(1+$D$7)</f>
        <v>158335.33327499998</v>
      </c>
      <c r="E18" s="29">
        <f t="shared" si="5"/>
        <v>179447.33327499998</v>
      </c>
      <c r="F18" s="29">
        <f t="shared" si="5"/>
        <v>203198.33327499998</v>
      </c>
      <c r="G18" s="29">
        <f t="shared" si="5"/>
        <v>224310.33327499998</v>
      </c>
      <c r="H18" s="29">
        <f t="shared" si="5"/>
        <v>245422.33327499998</v>
      </c>
    </row>
    <row r="19" spans="1:8" ht="30" x14ac:dyDescent="0.25">
      <c r="A19" s="2" t="s">
        <v>413</v>
      </c>
      <c r="C19" s="29">
        <f>(C$16)*(1+$D$7)</f>
        <v>274446.66654999997</v>
      </c>
      <c r="D19" s="29">
        <f t="shared" ref="D19:H19" si="6">(D$16)*(1+$D$7)</f>
        <v>316670.66654999997</v>
      </c>
      <c r="E19" s="29">
        <f t="shared" si="6"/>
        <v>358894.66654999997</v>
      </c>
      <c r="F19" s="29">
        <f t="shared" si="6"/>
        <v>406396.66654999997</v>
      </c>
      <c r="G19" s="29">
        <f t="shared" si="6"/>
        <v>448620.66654999997</v>
      </c>
      <c r="H19" s="29">
        <f t="shared" si="6"/>
        <v>490844.66654999997</v>
      </c>
    </row>
    <row r="20" spans="1:8" x14ac:dyDescent="0.25">
      <c r="A20" s="2" t="s">
        <v>288</v>
      </c>
      <c r="C20" s="7">
        <f t="shared" ref="C20:H20" si="7">C$18/C$13</f>
        <v>13722.333327499999</v>
      </c>
      <c r="D20" s="7">
        <f t="shared" si="7"/>
        <v>8796.4074041666663</v>
      </c>
      <c r="E20" s="7">
        <f t="shared" si="7"/>
        <v>6901.8205105769221</v>
      </c>
      <c r="F20" s="7">
        <f t="shared" si="7"/>
        <v>5805.6666649999997</v>
      </c>
      <c r="G20" s="7">
        <f t="shared" si="7"/>
        <v>5216.5193784883713</v>
      </c>
      <c r="H20" s="7">
        <f t="shared" si="7"/>
        <v>4812.2026132352939</v>
      </c>
    </row>
    <row r="21" spans="1:8" x14ac:dyDescent="0.25">
      <c r="A21" s="2" t="s">
        <v>290</v>
      </c>
      <c r="C21" s="7">
        <f t="shared" ref="C21:H21" si="8">C$18/C$14</f>
        <v>6861.1666637499993</v>
      </c>
      <c r="D21" s="7">
        <f t="shared" si="8"/>
        <v>4398.2037020833332</v>
      </c>
      <c r="E21" s="7">
        <f t="shared" si="8"/>
        <v>3450.910255288461</v>
      </c>
      <c r="F21" s="7">
        <f t="shared" si="8"/>
        <v>2902.8333324999999</v>
      </c>
      <c r="G21" s="7">
        <f t="shared" si="8"/>
        <v>2608.2596892441857</v>
      </c>
      <c r="H21" s="7">
        <f t="shared" si="8"/>
        <v>2406.101306617647</v>
      </c>
    </row>
    <row r="22" spans="1:8" x14ac:dyDescent="0.25">
      <c r="A22" s="2" t="s">
        <v>291</v>
      </c>
      <c r="C22" s="29">
        <f>C$17*(1+$D$7)</f>
        <v>18025</v>
      </c>
      <c r="D22" s="29">
        <f t="shared" ref="D22:H22" si="9">D$17*(1+$D$7)</f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155248.33327499998</v>
      </c>
      <c r="D23" s="29">
        <f t="shared" si="10"/>
        <v>190780.33327499998</v>
      </c>
      <c r="E23" s="29">
        <f t="shared" si="10"/>
        <v>226312.33327499998</v>
      </c>
      <c r="F23" s="29">
        <f t="shared" si="10"/>
        <v>266285.83327499998</v>
      </c>
      <c r="G23" s="29">
        <f t="shared" si="10"/>
        <v>301817.83327499998</v>
      </c>
      <c r="H23" s="29">
        <f t="shared" si="10"/>
        <v>337349.83327499998</v>
      </c>
    </row>
    <row r="24" spans="1:8" ht="30" x14ac:dyDescent="0.25">
      <c r="A24" s="2" t="s">
        <v>295</v>
      </c>
      <c r="C24" s="29">
        <f t="shared" ref="C24:H24" si="11">C$19+C$22</f>
        <v>292471.66654999997</v>
      </c>
      <c r="D24" s="29">
        <f t="shared" si="11"/>
        <v>349115.66654999997</v>
      </c>
      <c r="E24" s="29">
        <f t="shared" si="11"/>
        <v>405759.66654999997</v>
      </c>
      <c r="F24" s="29">
        <f t="shared" si="11"/>
        <v>469484.16654999997</v>
      </c>
      <c r="G24" s="29">
        <f t="shared" si="11"/>
        <v>526128.16654999997</v>
      </c>
      <c r="H24" s="29">
        <f t="shared" si="11"/>
        <v>582772.16654999997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155000</v>
      </c>
      <c r="D26" s="7">
        <f t="shared" si="12"/>
        <v>190000</v>
      </c>
      <c r="E26" s="7">
        <f t="shared" si="12"/>
        <v>226000</v>
      </c>
      <c r="F26" s="7">
        <f t="shared" si="12"/>
        <v>266000</v>
      </c>
      <c r="G26" s="7">
        <f t="shared" si="12"/>
        <v>301000</v>
      </c>
      <c r="H26" s="7">
        <f t="shared" si="12"/>
        <v>337000</v>
      </c>
    </row>
    <row r="27" spans="1:8" x14ac:dyDescent="0.25">
      <c r="A27" s="2" t="s">
        <v>365</v>
      </c>
      <c r="C27" s="7">
        <f t="shared" ref="C27:H27" si="13">C$24-MOD(C$24,1000)</f>
        <v>292000</v>
      </c>
      <c r="D27" s="7">
        <f t="shared" si="13"/>
        <v>349000</v>
      </c>
      <c r="E27" s="7">
        <f t="shared" si="13"/>
        <v>405000</v>
      </c>
      <c r="F27" s="7">
        <f t="shared" si="13"/>
        <v>469000</v>
      </c>
      <c r="G27" s="7">
        <f t="shared" si="13"/>
        <v>526000</v>
      </c>
      <c r="H27" s="7">
        <f t="shared" si="13"/>
        <v>582000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activeCell="A26" sqref="A26:H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ht="30" x14ac:dyDescent="0.25">
      <c r="A18" s="2" t="s">
        <v>412</v>
      </c>
      <c r="C18" s="29">
        <f>(C$15)*(1+$D$7)</f>
        <v>131945.33327499998</v>
      </c>
      <c r="D18" s="29">
        <f t="shared" ref="D18:H18" si="5">(D$15)*(1+$D$7)</f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>(C$16)*(1+$D$7)</f>
        <v>263890.66654999997</v>
      </c>
      <c r="D19" s="29">
        <f t="shared" ref="D19:H19" si="6">(D$16)*(1+$D$7)</f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>C$17*(1+$D$7)</f>
        <v>20384</v>
      </c>
      <c r="D22" s="29">
        <f t="shared" ref="D22:H22" si="9">D$17*(1+$D$7)</f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ht="30" x14ac:dyDescent="0.25">
      <c r="A23" s="2" t="s">
        <v>294</v>
      </c>
      <c r="C23" s="29">
        <f t="shared" ref="C23:H23" si="10">C$18+C$22</f>
        <v>152329.33327499998</v>
      </c>
      <c r="D23" s="29">
        <f t="shared" si="10"/>
        <v>183451.33327499998</v>
      </c>
      <c r="E23" s="29">
        <f t="shared" si="10"/>
        <v>214573.33327499998</v>
      </c>
      <c r="F23" s="29">
        <f t="shared" si="10"/>
        <v>245695.33327499998</v>
      </c>
      <c r="G23" s="29">
        <f t="shared" si="10"/>
        <v>282004.33327499998</v>
      </c>
      <c r="H23" s="29">
        <f t="shared" si="10"/>
        <v>313126.33327499998</v>
      </c>
    </row>
    <row r="24" spans="1:8" ht="30" x14ac:dyDescent="0.25">
      <c r="A24" s="2" t="s">
        <v>295</v>
      </c>
      <c r="C24" s="29">
        <f t="shared" ref="C24:H24" si="11">C$19+C$22</f>
        <v>284274.66654999997</v>
      </c>
      <c r="D24" s="29">
        <f t="shared" si="11"/>
        <v>331230.66654999997</v>
      </c>
      <c r="E24" s="29">
        <f t="shared" si="11"/>
        <v>378186.66654999997</v>
      </c>
      <c r="F24" s="29">
        <f t="shared" si="11"/>
        <v>425142.66654999997</v>
      </c>
      <c r="G24" s="29">
        <f t="shared" si="11"/>
        <v>479924.66654999997</v>
      </c>
      <c r="H24" s="29">
        <f t="shared" si="11"/>
        <v>526880.66654999997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152000</v>
      </c>
      <c r="D26" s="7">
        <f t="shared" si="12"/>
        <v>183000</v>
      </c>
      <c r="E26" s="7">
        <f t="shared" si="12"/>
        <v>214000</v>
      </c>
      <c r="F26" s="7">
        <f t="shared" si="12"/>
        <v>245000</v>
      </c>
      <c r="G26" s="7">
        <f t="shared" si="12"/>
        <v>282000</v>
      </c>
      <c r="H26" s="7">
        <f t="shared" si="12"/>
        <v>313000</v>
      </c>
    </row>
    <row r="27" spans="1:8" x14ac:dyDescent="0.25">
      <c r="A27" s="2" t="s">
        <v>365</v>
      </c>
      <c r="C27" s="7">
        <f t="shared" ref="C27:H27" si="13">C$24-MOD(C$24,1000)</f>
        <v>284000</v>
      </c>
      <c r="D27" s="7">
        <f t="shared" si="13"/>
        <v>331000</v>
      </c>
      <c r="E27" s="7">
        <f t="shared" si="13"/>
        <v>378000</v>
      </c>
      <c r="F27" s="7">
        <f t="shared" si="13"/>
        <v>425000</v>
      </c>
      <c r="G27" s="7">
        <f t="shared" si="13"/>
        <v>479000</v>
      </c>
      <c r="H27" s="7">
        <f t="shared" si="13"/>
        <v>526000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dimension ref="A1:J54"/>
  <sheetViews>
    <sheetView tabSelected="1" topLeftCell="A10" workbookViewId="0">
      <selection activeCell="B16" sqref="B1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</cols>
  <sheetData>
    <row r="1" spans="1:10" x14ac:dyDescent="0.25">
      <c r="A1" s="1" t="s">
        <v>423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207</v>
      </c>
    </row>
    <row r="4" spans="1:10" x14ac:dyDescent="0.25">
      <c r="A4" t="s">
        <v>276</v>
      </c>
      <c r="B4">
        <v>21</v>
      </c>
      <c r="C4">
        <v>29.7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1" spans="1:10" x14ac:dyDescent="0.25">
      <c r="J11" s="43" t="s">
        <v>428</v>
      </c>
    </row>
    <row r="12" spans="1:10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</row>
    <row r="13" spans="1:10" x14ac:dyDescent="0.25">
      <c r="A13" s="2">
        <v>8</v>
      </c>
      <c r="B13">
        <f>$A13*C$12</f>
        <v>80</v>
      </c>
      <c r="C13" s="7">
        <f>PhiMayInToner1M($A13*C$12)*(1+$D$7)/($A13*C$12)</f>
        <v>2092.4166659374996</v>
      </c>
      <c r="D13" s="7">
        <f t="shared" ref="D13:H25" si="0">PhiMayInToner1M($A13*D$12)*(1+$D$7)/($A13*D$12)</f>
        <v>1399.7083329687498</v>
      </c>
      <c r="E13" s="7">
        <f t="shared" si="0"/>
        <v>984.08333318749999</v>
      </c>
      <c r="F13" s="7">
        <f t="shared" si="0"/>
        <v>845.54166659374994</v>
      </c>
      <c r="G13" s="7">
        <f t="shared" si="0"/>
        <v>799.36111106250007</v>
      </c>
      <c r="H13" s="7">
        <f t="shared" si="0"/>
        <v>776.27083329687503</v>
      </c>
    </row>
    <row r="14" spans="1:10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PhiMayInToner1M($A14*C$12)*(1+$D$7)/($A14*C$12)</f>
        <v>1630.6111106249998</v>
      </c>
      <c r="D14" s="7">
        <f t="shared" si="0"/>
        <v>1168.8055553125</v>
      </c>
      <c r="E14" s="7">
        <f t="shared" si="0"/>
        <v>891.72222212499992</v>
      </c>
      <c r="F14" s="7">
        <f t="shared" si="0"/>
        <v>799.36111106250007</v>
      </c>
      <c r="G14" s="7">
        <f t="shared" si="0"/>
        <v>768.57407404166668</v>
      </c>
      <c r="H14" s="7">
        <f t="shared" si="0"/>
        <v>753.18055553125009</v>
      </c>
    </row>
    <row r="15" spans="1:10" x14ac:dyDescent="0.25">
      <c r="A15" s="2">
        <f t="shared" ref="A15:A40" si="3">A14+4</f>
        <v>16</v>
      </c>
      <c r="B15">
        <f t="shared" si="1"/>
        <v>160</v>
      </c>
      <c r="C15" s="7">
        <f t="shared" si="2"/>
        <v>1399.7083329687498</v>
      </c>
      <c r="D15" s="7">
        <f t="shared" si="0"/>
        <v>1053.3541664843749</v>
      </c>
      <c r="E15" s="7">
        <f t="shared" si="0"/>
        <v>845.54166659374994</v>
      </c>
      <c r="F15" s="7">
        <f t="shared" si="0"/>
        <v>776.27083329687503</v>
      </c>
      <c r="G15" s="7">
        <f t="shared" si="0"/>
        <v>753.18055553125009</v>
      </c>
      <c r="H15" s="7">
        <f t="shared" si="0"/>
        <v>741.63541664843751</v>
      </c>
    </row>
    <row r="16" spans="1:10" x14ac:dyDescent="0.25">
      <c r="A16" s="2">
        <f t="shared" si="3"/>
        <v>20</v>
      </c>
      <c r="B16">
        <f t="shared" si="1"/>
        <v>200</v>
      </c>
      <c r="C16" s="7">
        <f t="shared" si="2"/>
        <v>1261.166666375</v>
      </c>
      <c r="D16" s="7">
        <f t="shared" si="0"/>
        <v>984.08333318749999</v>
      </c>
      <c r="E16" s="7">
        <f t="shared" si="0"/>
        <v>817.83333327499997</v>
      </c>
      <c r="F16" s="7">
        <f t="shared" si="0"/>
        <v>762.41666663750004</v>
      </c>
      <c r="G16" s="7">
        <f t="shared" si="0"/>
        <v>743.94444442500003</v>
      </c>
      <c r="H16" s="7">
        <f t="shared" si="0"/>
        <v>734.70833331875008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1168.8055553125</v>
      </c>
      <c r="D17" s="7">
        <f t="shared" si="0"/>
        <v>937.90277765625001</v>
      </c>
      <c r="E17" s="7">
        <f t="shared" si="0"/>
        <v>799.36111106250007</v>
      </c>
      <c r="F17" s="7">
        <f t="shared" si="0"/>
        <v>753.18055553125009</v>
      </c>
      <c r="G17" s="7">
        <f t="shared" si="0"/>
        <v>737.7870370208334</v>
      </c>
      <c r="H17" s="7">
        <f t="shared" si="0"/>
        <v>730.09027776562505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1102.8333331249999</v>
      </c>
      <c r="D18" s="7">
        <f t="shared" si="0"/>
        <v>904.91666656249993</v>
      </c>
      <c r="E18" s="7">
        <f t="shared" si="0"/>
        <v>786.16666662500006</v>
      </c>
      <c r="F18" s="7">
        <f t="shared" si="0"/>
        <v>746.58333331250003</v>
      </c>
      <c r="G18" s="7">
        <f t="shared" si="0"/>
        <v>733.38888887500002</v>
      </c>
      <c r="H18" s="7">
        <f t="shared" si="0"/>
        <v>726.79166665625007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1053.3541664843749</v>
      </c>
      <c r="D19" s="7">
        <f t="shared" si="0"/>
        <v>880.17708324218745</v>
      </c>
      <c r="E19" s="7">
        <f t="shared" si="0"/>
        <v>776.27083329687503</v>
      </c>
      <c r="F19" s="7">
        <f t="shared" si="0"/>
        <v>741.63541664843751</v>
      </c>
      <c r="G19" s="7">
        <f t="shared" si="0"/>
        <v>730.09027776562505</v>
      </c>
      <c r="H19" s="7">
        <f t="shared" si="0"/>
        <v>724.31770832421864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1014.8703702083333</v>
      </c>
      <c r="D20" s="7">
        <f t="shared" si="0"/>
        <v>860.93518510416664</v>
      </c>
      <c r="E20" s="7">
        <f t="shared" si="0"/>
        <v>768.57407404166668</v>
      </c>
      <c r="F20" s="7">
        <f t="shared" si="0"/>
        <v>737.7870370208334</v>
      </c>
      <c r="G20" s="7">
        <f t="shared" si="0"/>
        <v>727.52469134722219</v>
      </c>
      <c r="H20" s="7">
        <f t="shared" si="0"/>
        <v>722.39351851041658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984.08333318749999</v>
      </c>
      <c r="D21" s="7">
        <f t="shared" si="0"/>
        <v>845.54166659374994</v>
      </c>
      <c r="E21" s="7">
        <f t="shared" si="0"/>
        <v>762.41666663750004</v>
      </c>
      <c r="F21" s="7">
        <f t="shared" si="0"/>
        <v>734.70833331875008</v>
      </c>
      <c r="G21" s="7">
        <f t="shared" si="0"/>
        <v>725.4722222124999</v>
      </c>
      <c r="H21" s="7">
        <f t="shared" si="0"/>
        <v>720.85416665937498</v>
      </c>
    </row>
    <row r="22" spans="1:8" x14ac:dyDescent="0.25">
      <c r="A22" s="2">
        <f t="shared" si="3"/>
        <v>44</v>
      </c>
      <c r="C22" s="7">
        <f t="shared" si="2"/>
        <v>958.89393926136358</v>
      </c>
      <c r="D22" s="7">
        <f t="shared" si="0"/>
        <v>832.94696963068179</v>
      </c>
      <c r="E22" s="7">
        <f t="shared" si="0"/>
        <v>757.37878785227281</v>
      </c>
      <c r="F22" s="7">
        <f t="shared" si="0"/>
        <v>732.1893939261364</v>
      </c>
      <c r="G22" s="7">
        <f t="shared" si="0"/>
        <v>723.79292928409086</v>
      </c>
      <c r="H22" s="7">
        <f t="shared" si="0"/>
        <v>719.59469696306815</v>
      </c>
    </row>
    <row r="23" spans="1:8" x14ac:dyDescent="0.25">
      <c r="A23" s="2">
        <f t="shared" si="3"/>
        <v>48</v>
      </c>
      <c r="C23" s="7">
        <f t="shared" si="2"/>
        <v>937.90277765625001</v>
      </c>
      <c r="D23" s="7">
        <f t="shared" si="0"/>
        <v>822.451388828125</v>
      </c>
      <c r="E23" s="7">
        <f t="shared" si="0"/>
        <v>753.18055553125009</v>
      </c>
      <c r="F23" s="7">
        <f t="shared" si="0"/>
        <v>730.09027776562505</v>
      </c>
      <c r="G23" s="7">
        <f t="shared" si="0"/>
        <v>722.39351851041658</v>
      </c>
      <c r="H23" s="7">
        <f t="shared" si="0"/>
        <v>718.54513888281247</v>
      </c>
    </row>
    <row r="24" spans="1:8" x14ac:dyDescent="0.25">
      <c r="A24" s="2">
        <f t="shared" si="3"/>
        <v>52</v>
      </c>
      <c r="C24" s="7">
        <f t="shared" si="2"/>
        <v>920.14102552884617</v>
      </c>
      <c r="D24" s="7">
        <f t="shared" si="0"/>
        <v>813.57051276442303</v>
      </c>
      <c r="E24" s="7">
        <f t="shared" si="0"/>
        <v>749.62820510576933</v>
      </c>
      <c r="F24" s="7">
        <f t="shared" si="0"/>
        <v>728.31410255288461</v>
      </c>
      <c r="G24" s="7">
        <f t="shared" si="0"/>
        <v>721.20940170192307</v>
      </c>
      <c r="H24" s="7">
        <f t="shared" si="0"/>
        <v>717.6570512764423</v>
      </c>
    </row>
    <row r="25" spans="1:8" x14ac:dyDescent="0.25">
      <c r="A25" s="2">
        <f t="shared" si="3"/>
        <v>56</v>
      </c>
      <c r="C25" s="7">
        <f t="shared" si="2"/>
        <v>904.91666656249993</v>
      </c>
      <c r="D25" s="7">
        <f t="shared" si="0"/>
        <v>805.95833328125002</v>
      </c>
      <c r="E25" s="7">
        <f t="shared" si="0"/>
        <v>746.58333331250003</v>
      </c>
      <c r="F25" s="7">
        <f t="shared" si="0"/>
        <v>726.79166665625007</v>
      </c>
      <c r="G25" s="7">
        <f t="shared" si="0"/>
        <v>720.19444443750001</v>
      </c>
      <c r="H25" s="7">
        <f t="shared" si="0"/>
        <v>716.89583332812492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dimension ref="A1:H34"/>
  <sheetViews>
    <sheetView topLeftCell="A10" workbookViewId="0">
      <selection activeCell="C26" sqref="C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>PhiMayCanMang(C$15, $C$5/100, $D$5/100)</f>
        <v>74627.451000000001</v>
      </c>
      <c r="D18" s="36">
        <f t="shared" ref="D18:H18" si="3">PhiMayCanMang(D$15, $C$5/100, $D$5/100)</f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433</v>
      </c>
      <c r="C19" s="36">
        <f>900*C$16</f>
        <v>19800</v>
      </c>
      <c r="D19" s="36">
        <f t="shared" ref="D19:H19" si="4">900*D$16</f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>C$15*$D$10</f>
        <v>5665</v>
      </c>
      <c r="D21" s="36">
        <f t="shared" ref="D21:H21" si="6">D$15*$D$10</f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432</v>
      </c>
      <c r="C23" s="29">
        <f xml:space="preserve"> (C$17+C$18+C$20)*(1+$D$7)</f>
        <v>294946.37252500001</v>
      </c>
      <c r="D23" s="29">
        <f t="shared" ref="D23:H23" si="7" xml:space="preserve"> (D$17+D$18+D$20)*(1+$D$7)</f>
        <v>345408.13737499999</v>
      </c>
      <c r="E23" s="29">
        <f t="shared" si="7"/>
        <v>497246.37252500001</v>
      </c>
      <c r="F23" s="29">
        <f t="shared" si="7"/>
        <v>750008.13737500005</v>
      </c>
      <c r="G23" s="29">
        <f t="shared" si="7"/>
        <v>1003222.843175</v>
      </c>
      <c r="H23" s="29">
        <f t="shared" si="7"/>
        <v>1255984.60785</v>
      </c>
    </row>
    <row r="24" spans="1:8" ht="30" x14ac:dyDescent="0.25">
      <c r="A24" s="2" t="s">
        <v>420</v>
      </c>
      <c r="C24" s="29">
        <f xml:space="preserve"> C$19+C$21*(1+$D$7)</f>
        <v>29713.75</v>
      </c>
      <c r="D24" s="29">
        <f t="shared" ref="D24:H24" si="8" xml:space="preserve"> D$19+D$21*(1+$D$7)</f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>PhiDongKimLong(C$14)</f>
        <v>140833.3333</v>
      </c>
      <c r="D26" s="7">
        <f t="shared" ref="D26:H26" si="9">PhiDongKimLong(D$14)</f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>C$26*(1+$D$7)</f>
        <v>246458.33327499998</v>
      </c>
      <c r="D27" s="29">
        <f t="shared" ref="D27:H27" si="10">D$26*(1+$D$7)</f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>C$23+C$27</f>
        <v>541404.7058</v>
      </c>
      <c r="D29" s="7">
        <f t="shared" ref="D29:H30" si="11">D$23+D$27</f>
        <v>619574.80410000007</v>
      </c>
      <c r="E29" s="7">
        <f t="shared" si="11"/>
        <v>854538.03925000003</v>
      </c>
      <c r="F29" s="7">
        <f t="shared" si="11"/>
        <v>1245841.47065</v>
      </c>
      <c r="G29" s="7">
        <f t="shared" si="11"/>
        <v>1637597.843175</v>
      </c>
      <c r="H29" s="7">
        <f t="shared" si="11"/>
        <v>2028901.2745750002</v>
      </c>
    </row>
    <row r="30" spans="1:8" x14ac:dyDescent="0.25">
      <c r="A30" s="2" t="s">
        <v>435</v>
      </c>
      <c r="C30" s="7">
        <f>C$24+C$27</f>
        <v>276172.08327499998</v>
      </c>
      <c r="D30" s="7">
        <f t="shared" ref="D30:H30" si="12">D$24+D$27</f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429</v>
      </c>
      <c r="C33" s="7">
        <f>C$30-MOD(C$30,1000)</f>
        <v>276000</v>
      </c>
      <c r="D33" s="7">
        <f t="shared" ref="D33:H33" si="13">D$30-MOD(D$30,1000)</f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436</v>
      </c>
      <c r="C34" s="7">
        <f>C$29-MOD(C$29,1000)</f>
        <v>541000</v>
      </c>
      <c r="D34" s="7">
        <f t="shared" ref="D32:H34" si="14">D$29-MOD(D$29,1000)</f>
        <v>619000</v>
      </c>
      <c r="E34" s="7">
        <f t="shared" si="14"/>
        <v>854000</v>
      </c>
      <c r="F34" s="7">
        <f t="shared" si="14"/>
        <v>1245000</v>
      </c>
      <c r="G34" s="7">
        <f t="shared" si="14"/>
        <v>1637000</v>
      </c>
      <c r="H34" s="7">
        <f t="shared" si="14"/>
        <v>2028000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dimension ref="A1:H34"/>
  <sheetViews>
    <sheetView workbookViewId="0">
      <selection activeCell="H10" sqref="H10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437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>PhiMayCanMang(C$15, $C$5/100, $D$5/100)</f>
        <v>74627.451000000001</v>
      </c>
      <c r="D18" s="36">
        <f t="shared" ref="D18:H18" si="3">PhiMayCanMang(D$15, $C$5/100, $D$5/100)</f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433</v>
      </c>
      <c r="C19" s="36">
        <f>900*C$16</f>
        <v>19800</v>
      </c>
      <c r="D19" s="36">
        <f t="shared" ref="D19:H19" si="4">900*D$16</f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>C$15*$D$10</f>
        <v>3795</v>
      </c>
      <c r="D21" s="36">
        <f t="shared" ref="D21:H21" si="6">D$15*$D$10</f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440</v>
      </c>
      <c r="C23" s="29">
        <f xml:space="preserve"> (C$17+C$20)*(1+$D$7)</f>
        <v>160190.33327499998</v>
      </c>
      <c r="D23" s="29">
        <f t="shared" ref="D23:H23" si="7" xml:space="preserve"> (D$17+D$20)*(1+$D$7)</f>
        <v>205060.33327499998</v>
      </c>
      <c r="E23" s="29">
        <f t="shared" si="7"/>
        <v>339670.33327499998</v>
      </c>
      <c r="F23" s="29">
        <f t="shared" si="7"/>
        <v>564020.33327499998</v>
      </c>
      <c r="G23" s="29">
        <f t="shared" si="7"/>
        <v>788370.33327499998</v>
      </c>
      <c r="H23" s="29">
        <f t="shared" si="7"/>
        <v>1012720.3332750001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438</v>
      </c>
      <c r="C26" s="7">
        <f>PhiDongCuonKeoEVA(C$14)</f>
        <v>212500</v>
      </c>
      <c r="D26" s="7">
        <f t="shared" ref="D26:H26" si="8">PhiDongCuonKeoEVA(D$14)</f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439</v>
      </c>
      <c r="C27" s="29">
        <f>C$26*(1+$D$7)</f>
        <v>371875</v>
      </c>
      <c r="D27" s="29">
        <f t="shared" ref="D27:H27" si="9">D$26*(1+$D$7)</f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>C$23+C$27</f>
        <v>532065.33327499998</v>
      </c>
      <c r="D29" s="7">
        <f t="shared" ref="D29:H30" si="10">D$23+D$27</f>
        <v>598810.33327499998</v>
      </c>
      <c r="E29" s="7">
        <f t="shared" si="10"/>
        <v>799045.33327499998</v>
      </c>
      <c r="F29" s="7">
        <f t="shared" si="10"/>
        <v>1132770.3332750001</v>
      </c>
      <c r="G29" s="7">
        <f t="shared" si="10"/>
        <v>1466495.3332750001</v>
      </c>
      <c r="H29" s="7">
        <f t="shared" si="10"/>
        <v>1800220.3332750001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436</v>
      </c>
      <c r="C34" s="7">
        <f>C$29-MOD(C$29,1000)</f>
        <v>532000</v>
      </c>
      <c r="D34" s="7">
        <f t="shared" ref="D34:H36" si="11">D$29-MOD(D$29,1000)</f>
        <v>598000</v>
      </c>
      <c r="E34" s="7">
        <f t="shared" si="11"/>
        <v>799000</v>
      </c>
      <c r="F34" s="7">
        <f t="shared" si="11"/>
        <v>1132000</v>
      </c>
      <c r="G34" s="7">
        <f t="shared" si="11"/>
        <v>1466000</v>
      </c>
      <c r="H34" s="7">
        <f t="shared" si="11"/>
        <v>1800000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9:B12" xr:uid="{F68065F7-6633-4D40-836A-157BEFFBCB97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9:A10" xr:uid="{9D15DCAE-0D56-4850-BB4A-9734D24D06A7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L31" sqref="L31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0"/>
  <sheetViews>
    <sheetView topLeftCell="D7" workbookViewId="0">
      <selection activeCell="P26" sqref="P26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</vt:i4>
      </vt:variant>
    </vt:vector>
  </HeadingPairs>
  <TitlesOfParts>
    <vt:vector size="46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SP-ThiepDon</vt:lpstr>
      <vt:lpstr>SP-ThiepDoi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SP-Cata-Ruot-A4</vt:lpstr>
      <vt:lpstr>SP-Cata-A4-Kim</vt:lpstr>
      <vt:lpstr>SP-Cata-A4-Keo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2019-06-02T22:45:07Z</dcterms:modified>
</cp:coreProperties>
</file>