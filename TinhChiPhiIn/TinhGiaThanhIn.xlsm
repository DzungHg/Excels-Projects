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7CB18853-8CEE-4AC5-A0CA-DA309C837E3B}" xr6:coauthVersionLast="43" xr6:coauthVersionMax="43" xr10:uidLastSave="{00000000-0000-0000-0000-000000000000}"/>
  <bookViews>
    <workbookView xWindow="-120" yWindow="-120" windowWidth="29040" windowHeight="15990" firstSheet="24" activeTab="29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ToRoi-A4" sheetId="17" r:id="rId13"/>
    <sheet name="SP-ToRoi-A5" sheetId="18" r:id="rId14"/>
    <sheet name="SP-ToRoi-A6" sheetId="19" r:id="rId15"/>
    <sheet name="SP-ToRoi-DL" sheetId="20" r:id="rId16"/>
    <sheet name="SP-Broc-A4" sheetId="21" r:id="rId17"/>
    <sheet name="SP-Broc-A5" sheetId="22" r:id="rId18"/>
    <sheet name="SP-Broc-A3" sheetId="23" r:id="rId19"/>
    <sheet name="SP-Broc-3A3" sheetId="24" r:id="rId20"/>
    <sheet name="SP-DThiep-Chuan" sheetId="16" r:id="rId21"/>
    <sheet name="SP-DThiep-TietKiem" sheetId="25" r:id="rId22"/>
    <sheet name="SP-Folder" sheetId="26" r:id="rId23"/>
    <sheet name="SP-GiayTieuDe" sheetId="27" r:id="rId24"/>
    <sheet name="SP-ThiepDon" sheetId="28" r:id="rId25"/>
    <sheet name="SP-ThiepDoi" sheetId="29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Base-MayIn" sheetId="10" r:id="rId31"/>
    <sheet name="NguyenVatLieu" sheetId="13" r:id="rId32"/>
    <sheet name="Base-Margin" sheetId="15" r:id="rId33"/>
  </sheets>
  <functionGroups builtInGroupCount="19"/>
  <definedNames>
    <definedName name="atools_list_filter_1" localSheetId="11" hidden="1">BaiCMYK!$E$8:$F$9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9" hidden="1">'SP-Broc-3A3'!$B$10:$D$11</definedName>
    <definedName name="atools_list_filter_1" localSheetId="18" hidden="1">'SP-Broc-A3'!$B$10:$D$11</definedName>
    <definedName name="atools_list_filter_1" localSheetId="16" hidden="1">'SP-Broc-A4'!$B$10:$D$11</definedName>
    <definedName name="atools_list_filter_1" localSheetId="20" hidden="1">'SP-DThiep-Chuan'!$B$9:$D$11</definedName>
    <definedName name="atools_list_filter_1" localSheetId="21" hidden="1">'SP-DThiep-TietKiem'!$B$9:$D$10</definedName>
    <definedName name="atools_list_filter_1" localSheetId="22" hidden="1">'SP-Folder'!$B$10:$D$11</definedName>
    <definedName name="atools_list_filter_1" localSheetId="23" hidden="1">'SP-GiayTieuDe'!$B$9:$D$9</definedName>
    <definedName name="atools_list_filter_1" localSheetId="24" hidden="1">'SP-ThiepDon'!$B$9:$E$10</definedName>
    <definedName name="atools_list_filter_1" localSheetId="12" hidden="1">'SP-ToRoi-A4'!$B$21:$D$21</definedName>
    <definedName name="atools_list_filter_1_colinvisibles_ext" localSheetId="11" hidden="1">""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16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23" hidden="1">";;"</definedName>
    <definedName name="atools_list_filter_1_colinvisibles_ext" localSheetId="24" hidden="1">";;"</definedName>
    <definedName name="atools_list_filter_1_colinvisibles_ext" localSheetId="12" hidden="1">";;"</definedName>
    <definedName name="atools_list_filter_1_colsrcidxs_ext" localSheetId="11" hidden="1">"1;3"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16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23" hidden="1">"1;2;3"</definedName>
    <definedName name="atools_list_filter_1_colsrcidxs_ext" localSheetId="24" hidden="1">"1;2;3;4"</definedName>
    <definedName name="atools_list_filter_1_colsrcidxs_ext" localSheetId="12" hidden="1">"1;2;3"</definedName>
    <definedName name="atools_list_filter_1_colwidths_ext" localSheetId="11" hidden="1">""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16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23" hidden="1">"88;96;84"</definedName>
    <definedName name="atools_list_filter_1_colwidths_ext" localSheetId="24" hidden="1">"88;96;84"</definedName>
    <definedName name="atools_list_filter_1_colwidths_ext" localSheetId="12" hidden="1">"88;96;84"</definedName>
    <definedName name="atools_list_filter_1_onrangeaddr" localSheetId="11" hidden="1">"$E$8:$F$9"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9" hidden="1">"='SP-Broc-3A3'!$B$10:$D$11"</definedName>
    <definedName name="atools_list_filter_1_onrangeaddr" localSheetId="18" hidden="1">"='SP-Broc-A3'!$B$10:$D$11"</definedName>
    <definedName name="atools_list_filter_1_onrangeaddr" localSheetId="16" hidden="1">"='SP-Broc-A4'!$B$9:$D$10"</definedName>
    <definedName name="atools_list_filter_1_onrangeaddr" localSheetId="20" hidden="1">"$B$9:$D$11"</definedName>
    <definedName name="atools_list_filter_1_onrangeaddr" localSheetId="21" hidden="1">"='SP-DThiep-TietKiem'!$B$9:$D$10"</definedName>
    <definedName name="atools_list_filter_1_onrangeaddr" localSheetId="22" hidden="1">"='SP-Folder'!$B$10:$D$11"</definedName>
    <definedName name="atools_list_filter_1_onrangeaddr" localSheetId="23" hidden="1">"='SP-GiayTieuDe'!$B$9:$D$9"</definedName>
    <definedName name="atools_list_filter_1_onrangeaddr" localSheetId="24" hidden="1">"='SP-Thiep-Don'!$B$9:$E$10"</definedName>
    <definedName name="atools_list_filter_1_onrangeaddr" localSheetId="12" hidden="1">"='SP-ToRoi-A4'!$B$12:$D$12"</definedName>
    <definedName name="atools_list_filter_1_pos_ext" localSheetId="11" hidden="1">""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16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23" hidden="1">"0;1;2"</definedName>
    <definedName name="atools_list_filter_1_pos_ext" localSheetId="24" hidden="1">"0;1;2"</definedName>
    <definedName name="atools_list_filter_1_pos_ext" localSheetId="12" hidden="1">"0;1;2"</definedName>
    <definedName name="atools_list_filter_1_proper" localSheetId="11" hidden="1">"1|1|0|0|0|||0|0||0|,||1||1||0|18|0|2.0|1|1|1|0"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9" hidden="1">"1|1|0|0|0|||305|309||0|,||1||0||0|18|185|2.0|1|1|1|0"</definedName>
    <definedName name="atools_list_filter_1_proper" localSheetId="18" hidden="1">"1|1|0|0|0|||305|309||0|,||1||0||0|18|185|2.0|1|1|1|0"</definedName>
    <definedName name="atools_list_filter_1_proper" localSheetId="16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23" hidden="1">"1|1|0|0|0|||305|309||0|,||1||0||0|18|185|2.0|1|1|1|0"</definedName>
    <definedName name="atools_list_filter_1_proper" localSheetId="24" hidden="1">"1|1|0|0|0|||305|309||0|,||1||0||0|18|185|2.0|1|1|1|0"</definedName>
    <definedName name="atools_list_filter_1_proper" localSheetId="12" hidden="1">"1|1|0|0|0|||305|309||0|,||1||0||0|18|185|2.0|1|1|1|0"</definedName>
    <definedName name="atools_list_filter_1_source" localSheetId="11" hidden="1">GIA_KHUON_EP_KIM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16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23" hidden="1">GIA_GIAY_CO_BAN</definedName>
    <definedName name="atools_list_filter_1_source" localSheetId="24" hidden="1">GIA_GIAY_CO_BAN</definedName>
    <definedName name="atools_list_filter_1_source" localSheetId="12" hidden="1">GIA_GIAY_CO_BAN</definedName>
    <definedName name="atools_list_filter_1_sourceaddr" localSheetId="11" hidden="1">"GIA_KHUON_EP_KIM"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16" hidden="1">"=GIA_GIAY_CO_BAN"</definedName>
    <definedName name="atools_list_filter_1_sourceaddr" localSheetId="20" hidden="1">"GIA_GIAY_CO_BAN"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23" hidden="1">"=GIA_GIAY_CO_BAN"</definedName>
    <definedName name="atools_list_filter_1_sourceaddr" localSheetId="24" hidden="1">"=GIA_GIAY_CO_BAN"</definedName>
    <definedName name="atools_list_filter_1_sourceaddr" localSheetId="12" hidden="1">"=GIA_GIAY_CO_BAN"</definedName>
    <definedName name="atools_list_filter_8" localSheetId="11" hidden="1">BaiCMYK!$E$12:$F$12</definedName>
    <definedName name="atools_list_filter_8" localSheetId="16" hidden="1">'SP-Broc-A4'!$B$14:$D$14</definedName>
    <definedName name="atools_list_filter_8_colinvisibles_ext" localSheetId="11" hidden="1">";;"</definedName>
    <definedName name="atools_list_filter_8_colinvisibles_ext" localSheetId="16" hidden="1">";;"</definedName>
    <definedName name="atools_list_filter_8_colsrcidxs_ext" localSheetId="11" hidden="1">"1;3"</definedName>
    <definedName name="atools_list_filter_8_colsrcidxs_ext" localSheetId="16" hidden="1">"1;2;3"</definedName>
    <definedName name="atools_list_filter_8_colwidths_ext" localSheetId="11" hidden="1">"103;96;93"</definedName>
    <definedName name="atools_list_filter_8_colwidths_ext" localSheetId="16" hidden="1">"68;96;88"</definedName>
    <definedName name="atools_list_filter_8_onrangeaddr" localSheetId="11" hidden="1">"=BaiCMYK!$E$12:$F$12"</definedName>
    <definedName name="atools_list_filter_8_onrangeaddr" localSheetId="16" hidden="1">"='SP-Broc-A4'!$B$12:$D$12"</definedName>
    <definedName name="atools_list_filter_8_pos_ext" localSheetId="11" hidden="1">"0;1;2"</definedName>
    <definedName name="atools_list_filter_8_pos_ext" localSheetId="16" hidden="1">"0;1;2"</definedName>
    <definedName name="atools_list_filter_8_proper" localSheetId="11" hidden="1">"1|1|0|0|0|||329|309||0|,||1||0||0|18|185|2.0|1|1|1|0"</definedName>
    <definedName name="atools_list_filter_8_proper" localSheetId="16" hidden="1">"1|1|0|0|0|||289|309||0|,||1||0||0|18|185|2.0|1|1|1|0"</definedName>
    <definedName name="atools_list_filter_8_source" localSheetId="11" hidden="1">GIA_NHU_EP_KIM</definedName>
    <definedName name="atools_list_filter_8_source" localSheetId="16" hidden="1">GIA_MANG</definedName>
    <definedName name="atools_list_filter_8_sourceaddr" localSheetId="11" hidden="1">"=GIA_NHU_EP_KIM"</definedName>
    <definedName name="atools_list_filter_8_sourceaddr" localSheetId="16" hidden="1">"=GIA_MANG"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8" i="33" l="1"/>
  <c r="I20" i="33" s="1"/>
  <c r="I19" i="33"/>
  <c r="I21" i="33"/>
  <c r="I23" i="33"/>
  <c r="I25" i="33"/>
  <c r="I26" i="33"/>
  <c r="I27" i="33"/>
  <c r="I28" i="33" s="1"/>
  <c r="I31" i="33" s="1"/>
  <c r="I29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E26" i="33"/>
  <c r="H26" i="33"/>
  <c r="D26" i="33"/>
  <c r="G26" i="33"/>
  <c r="C26" i="33"/>
  <c r="H21" i="33"/>
  <c r="D21" i="33"/>
  <c r="F26" i="33"/>
  <c r="I26" i="30"/>
  <c r="I25" i="30"/>
  <c r="I26" i="32"/>
  <c r="I26" i="31"/>
  <c r="H25" i="30"/>
  <c r="E19" i="33" l="1"/>
  <c r="F20" i="33"/>
  <c r="D23" i="33"/>
  <c r="H23" i="33"/>
  <c r="F19" i="33"/>
  <c r="C20" i="33"/>
  <c r="G20" i="33"/>
  <c r="E23" i="33"/>
  <c r="C19" i="33"/>
  <c r="G19" i="33"/>
  <c r="D20" i="33"/>
  <c r="H20" i="33"/>
  <c r="I19" i="30"/>
  <c r="I23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32" i="26"/>
  <c r="G32" i="26"/>
  <c r="F32" i="26"/>
  <c r="E32" i="26"/>
  <c r="D32" i="26"/>
  <c r="C32" i="26"/>
  <c r="H31" i="26"/>
  <c r="G31" i="26"/>
  <c r="F31" i="26"/>
  <c r="E31" i="26"/>
  <c r="D31" i="26"/>
  <c r="C31" i="26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E23" i="30" s="1"/>
  <c r="D18" i="30"/>
  <c r="C18" i="30"/>
  <c r="C23" i="30" s="1"/>
  <c r="F23" i="30"/>
  <c r="D23" i="30"/>
  <c r="E14" i="30"/>
  <c r="E10" i="30"/>
  <c r="F19" i="30"/>
  <c r="E19" i="30"/>
  <c r="D6" i="30"/>
  <c r="G21" i="33"/>
  <c r="G25" i="33"/>
  <c r="F25" i="33"/>
  <c r="E25" i="33"/>
  <c r="F21" i="33"/>
  <c r="D25" i="33"/>
  <c r="E21" i="33"/>
  <c r="H25" i="33"/>
  <c r="C21" i="33"/>
  <c r="C25" i="33"/>
  <c r="I21" i="30"/>
  <c r="I21" i="32"/>
  <c r="I25" i="32"/>
  <c r="I21" i="31"/>
  <c r="I25" i="31"/>
  <c r="H26" i="32"/>
  <c r="D26" i="32"/>
  <c r="F21" i="32"/>
  <c r="D21" i="32"/>
  <c r="G26" i="32"/>
  <c r="C26" i="32"/>
  <c r="E21" i="32"/>
  <c r="F26" i="32"/>
  <c r="H21" i="32"/>
  <c r="E26" i="32"/>
  <c r="G21" i="32"/>
  <c r="C21" i="32"/>
  <c r="H26" i="31"/>
  <c r="D26" i="31"/>
  <c r="F21" i="31"/>
  <c r="C21" i="31"/>
  <c r="G26" i="31"/>
  <c r="C26" i="31"/>
  <c r="E21" i="31"/>
  <c r="E26" i="31"/>
  <c r="G21" i="31"/>
  <c r="F26" i="31"/>
  <c r="G25" i="30"/>
  <c r="F25" i="30"/>
  <c r="D25" i="30"/>
  <c r="H28" i="26"/>
  <c r="D28" i="26"/>
  <c r="G28" i="26"/>
  <c r="F28" i="26"/>
  <c r="E28" i="26"/>
  <c r="C28" i="26"/>
  <c r="F29" i="26"/>
  <c r="E29" i="26"/>
  <c r="D29" i="26"/>
  <c r="H29" i="26"/>
  <c r="G29" i="26"/>
  <c r="C29" i="26"/>
  <c r="H26" i="30"/>
  <c r="D26" i="30"/>
  <c r="E26" i="30"/>
  <c r="G26" i="30"/>
  <c r="F26" i="30"/>
  <c r="C26" i="30"/>
  <c r="B2" i="11" a="1"/>
  <c r="G8" i="11" a="1"/>
  <c r="F21" i="30"/>
  <c r="E21" i="30"/>
  <c r="C27" i="33" l="1"/>
  <c r="E27" i="33"/>
  <c r="F27" i="33"/>
  <c r="G27" i="33"/>
  <c r="D27" i="33"/>
  <c r="H27" i="33"/>
  <c r="I27" i="30"/>
  <c r="I27" i="32"/>
  <c r="I29" i="32"/>
  <c r="I28" i="32"/>
  <c r="I31" i="32" s="1"/>
  <c r="I27" i="31"/>
  <c r="I29" i="31"/>
  <c r="I28" i="31"/>
  <c r="I31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G23" i="30"/>
  <c r="H23" i="30"/>
  <c r="F27" i="30"/>
  <c r="F28" i="30" s="1"/>
  <c r="F31" i="30" s="1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G8" i="11"/>
  <c r="K8" i="11"/>
  <c r="J9" i="11"/>
  <c r="I10" i="11"/>
  <c r="H11" i="11"/>
  <c r="H9" i="11"/>
  <c r="G10" i="11"/>
  <c r="J11" i="11"/>
  <c r="I9" i="11"/>
  <c r="G11" i="11"/>
  <c r="H8" i="11"/>
  <c r="G9" i="11"/>
  <c r="K9" i="11"/>
  <c r="J10" i="11"/>
  <c r="I11" i="11"/>
  <c r="I8" i="11"/>
  <c r="K10" i="11"/>
  <c r="J8" i="11"/>
  <c r="H10" i="11"/>
  <c r="K11" i="11"/>
  <c r="H19" i="30"/>
  <c r="D19" i="30"/>
  <c r="C19" i="30"/>
  <c r="G19" i="30"/>
  <c r="J13" i="29"/>
  <c r="J22" i="29" s="1"/>
  <c r="I13" i="29"/>
  <c r="I22" i="29" s="1"/>
  <c r="H13" i="29"/>
  <c r="H21" i="29" s="1"/>
  <c r="G13" i="29"/>
  <c r="G21" i="29" s="1"/>
  <c r="F13" i="29"/>
  <c r="F22" i="29" s="1"/>
  <c r="E13" i="29"/>
  <c r="E22" i="29" s="1"/>
  <c r="C25" i="32"/>
  <c r="H25" i="32"/>
  <c r="G25" i="32"/>
  <c r="F25" i="32"/>
  <c r="E25" i="32"/>
  <c r="D25" i="32"/>
  <c r="C25" i="31"/>
  <c r="D21" i="31"/>
  <c r="D25" i="31"/>
  <c r="G25" i="31"/>
  <c r="E25" i="31"/>
  <c r="F25" i="31"/>
  <c r="H21" i="31"/>
  <c r="H25" i="31"/>
  <c r="E25" i="30"/>
  <c r="C25" i="30"/>
  <c r="H21" i="30"/>
  <c r="D21" i="30"/>
  <c r="C21" i="30"/>
  <c r="G21" i="30"/>
  <c r="F28" i="33" l="1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E21" i="29"/>
  <c r="I21" i="29"/>
  <c r="G22" i="29"/>
  <c r="H14" i="29"/>
  <c r="F21" i="29"/>
  <c r="J21" i="29"/>
  <c r="H22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E15" i="28"/>
  <c r="E15" i="29"/>
  <c r="J15" i="28"/>
  <c r="I15" i="29"/>
  <c r="F15" i="28"/>
  <c r="F15" i="29"/>
  <c r="H15" i="29"/>
  <c r="H15" i="28"/>
  <c r="G15" i="29"/>
  <c r="I15" i="28"/>
  <c r="J15" i="29"/>
  <c r="C28" i="32" l="1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J16" i="29"/>
  <c r="J18" i="29" s="1"/>
  <c r="J17" i="29"/>
  <c r="F16" i="29"/>
  <c r="F18" i="29" s="1"/>
  <c r="F17" i="29"/>
  <c r="I16" i="29"/>
  <c r="I18" i="29" s="1"/>
  <c r="I17" i="29"/>
  <c r="E16" i="29"/>
  <c r="E18" i="29" s="1"/>
  <c r="E17" i="29"/>
  <c r="H17" i="29"/>
  <c r="H16" i="29"/>
  <c r="H18" i="29" s="1"/>
  <c r="G17" i="29"/>
  <c r="G16" i="29"/>
  <c r="G18" i="29" s="1"/>
  <c r="H16" i="28"/>
  <c r="H18" i="28" s="1"/>
  <c r="H25" i="28" s="1"/>
  <c r="H28" i="28" s="1"/>
  <c r="H17" i="28"/>
  <c r="E17" i="28"/>
  <c r="E16" i="28"/>
  <c r="E18" i="28" s="1"/>
  <c r="I16" i="28"/>
  <c r="I18" i="28" s="1"/>
  <c r="I25" i="28" s="1"/>
  <c r="I28" i="28" s="1"/>
  <c r="I17" i="28"/>
  <c r="F17" i="28"/>
  <c r="F16" i="28"/>
  <c r="F18" i="28" s="1"/>
  <c r="J17" i="28"/>
  <c r="J16" i="28"/>
  <c r="J18" i="28" s="1"/>
  <c r="H21" i="28"/>
  <c r="G14" i="28"/>
  <c r="E21" i="28"/>
  <c r="I21" i="28"/>
  <c r="F21" i="28"/>
  <c r="G15" i="28"/>
  <c r="F24" i="28" l="1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24" i="29"/>
  <c r="G27" i="29" s="1"/>
  <c r="G25" i="29"/>
  <c r="G28" i="29" s="1"/>
  <c r="E20" i="29"/>
  <c r="E19" i="29"/>
  <c r="F20" i="29"/>
  <c r="F19" i="29"/>
  <c r="G19" i="29"/>
  <c r="G20" i="29"/>
  <c r="E25" i="29"/>
  <c r="E28" i="29" s="1"/>
  <c r="E24" i="29"/>
  <c r="E27" i="29" s="1"/>
  <c r="F25" i="29"/>
  <c r="F28" i="29" s="1"/>
  <c r="F24" i="29"/>
  <c r="F27" i="29" s="1"/>
  <c r="H24" i="29"/>
  <c r="H27" i="29" s="1"/>
  <c r="H25" i="29"/>
  <c r="H28" i="29" s="1"/>
  <c r="I20" i="29"/>
  <c r="I19" i="29"/>
  <c r="J20" i="29"/>
  <c r="J19" i="29"/>
  <c r="H19" i="29"/>
  <c r="H20" i="29"/>
  <c r="I25" i="29"/>
  <c r="I28" i="29" s="1"/>
  <c r="I24" i="29"/>
  <c r="I27" i="29" s="1"/>
  <c r="J25" i="29"/>
  <c r="J28" i="29" s="1"/>
  <c r="J24" i="29"/>
  <c r="J27" i="29" s="1"/>
  <c r="G16" i="28"/>
  <c r="G18" i="28" s="1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G24" i="28" l="1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E15" i="27"/>
  <c r="F15" i="27"/>
  <c r="G15" i="27"/>
  <c r="H15" i="27"/>
  <c r="H16" i="27" l="1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D27" i="26"/>
  <c r="C27" i="26"/>
  <c r="P42" i="26"/>
  <c r="P38" i="26"/>
  <c r="R23" i="26"/>
  <c r="C44" i="26"/>
  <c r="R42" i="26"/>
  <c r="C26" i="26" l="1"/>
  <c r="F26" i="26"/>
  <c r="G26" i="26"/>
  <c r="D26" i="26"/>
  <c r="H26" i="26"/>
  <c r="E26" i="26"/>
  <c r="N23" i="26"/>
  <c r="N42" i="26"/>
  <c r="Q38" i="26"/>
  <c r="M42" i="26"/>
  <c r="M38" i="26"/>
  <c r="L23" i="26"/>
  <c r="F44" i="26"/>
  <c r="F27" i="26"/>
  <c r="O42" i="26"/>
  <c r="H27" i="26"/>
  <c r="L38" i="26"/>
  <c r="N38" i="26"/>
  <c r="G27" i="26"/>
  <c r="L42" i="26"/>
  <c r="O38" i="26"/>
  <c r="G44" i="26"/>
  <c r="Q42" i="26"/>
  <c r="R38" i="26"/>
  <c r="E27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F16" i="25"/>
  <c r="E16" i="25"/>
  <c r="N16" i="16"/>
  <c r="M16" i="16"/>
  <c r="L16" i="16"/>
  <c r="K16" i="16"/>
  <c r="J16" i="16"/>
  <c r="I16" i="16"/>
  <c r="H16" i="16"/>
  <c r="G16" i="16"/>
  <c r="F16" i="16"/>
  <c r="E16" i="16"/>
  <c r="G24" i="26"/>
  <c r="O23" i="26"/>
  <c r="C24" i="26"/>
  <c r="Q23" i="26"/>
  <c r="H42" i="26"/>
  <c r="D42" i="26"/>
  <c r="D44" i="26"/>
  <c r="M23" i="26"/>
  <c r="H24" i="26"/>
  <c r="F24" i="26"/>
  <c r="G33" i="26" l="1"/>
  <c r="G36" i="26"/>
  <c r="C33" i="26"/>
  <c r="C36" i="26"/>
  <c r="P23" i="26"/>
  <c r="G42" i="26"/>
  <c r="C42" i="26"/>
  <c r="F33" i="26" l="1"/>
  <c r="F36" i="26"/>
  <c r="H33" i="26"/>
  <c r="H36" i="26"/>
  <c r="C25" i="26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25" i="26"/>
  <c r="G25" i="26"/>
  <c r="F25" i="26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F17" i="25"/>
  <c r="F18" i="25" s="1"/>
  <c r="E17" i="25"/>
  <c r="E18" i="25" s="1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D24" i="26"/>
  <c r="J19" i="16"/>
  <c r="L19" i="16"/>
  <c r="E19" i="25"/>
  <c r="H44" i="26"/>
  <c r="M19" i="16"/>
  <c r="E19" i="16"/>
  <c r="F42" i="26"/>
  <c r="I19" i="16"/>
  <c r="F19" i="25"/>
  <c r="N19" i="16"/>
  <c r="G19" i="25"/>
  <c r="F19" i="16"/>
  <c r="E44" i="26"/>
  <c r="E42" i="26"/>
  <c r="E24" i="26"/>
  <c r="H37" i="26" l="1"/>
  <c r="F34" i="26"/>
  <c r="F37" i="26"/>
  <c r="G34" i="26"/>
  <c r="G37" i="26"/>
  <c r="C34" i="26"/>
  <c r="C37" i="26"/>
  <c r="E25" i="26"/>
  <c r="H45" i="26"/>
  <c r="F43" i="26"/>
  <c r="D25" i="26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0" i="25"/>
  <c r="G22" i="25" s="1"/>
  <c r="G27" i="25" s="1"/>
  <c r="G30" i="25" s="1"/>
  <c r="E21" i="25"/>
  <c r="E20" i="25"/>
  <c r="E22" i="25" s="1"/>
  <c r="F21" i="25"/>
  <c r="F20" i="25"/>
  <c r="F22" i="25" s="1"/>
  <c r="E25" i="25"/>
  <c r="F9" i="25"/>
  <c r="F25" i="25"/>
  <c r="K18" i="16"/>
  <c r="N21" i="16"/>
  <c r="N20" i="16"/>
  <c r="N22" i="16" s="1"/>
  <c r="L20" i="16"/>
  <c r="L22" i="16" s="1"/>
  <c r="L21" i="16"/>
  <c r="M21" i="16"/>
  <c r="M20" i="16"/>
  <c r="M22" i="16" s="1"/>
  <c r="L25" i="16"/>
  <c r="M25" i="16"/>
  <c r="N25" i="16"/>
  <c r="J25" i="16"/>
  <c r="E21" i="16"/>
  <c r="E20" i="16"/>
  <c r="E22" i="16" s="1"/>
  <c r="I21" i="16"/>
  <c r="I20" i="16"/>
  <c r="I22" i="16" s="1"/>
  <c r="F21" i="16"/>
  <c r="F20" i="16"/>
  <c r="F22" i="16" s="1"/>
  <c r="J21" i="16"/>
  <c r="J20" i="16"/>
  <c r="J22" i="16" s="1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P19" i="24"/>
  <c r="O29" i="24"/>
  <c r="N29" i="24"/>
  <c r="L29" i="24"/>
  <c r="G29" i="24"/>
  <c r="E29" i="24"/>
  <c r="P29" i="24"/>
  <c r="M29" i="24"/>
  <c r="O19" i="24"/>
  <c r="L35" i="24"/>
  <c r="H19" i="16"/>
  <c r="O35" i="24"/>
  <c r="G19" i="24"/>
  <c r="Q33" i="24"/>
  <c r="G19" i="16"/>
  <c r="K19" i="16"/>
  <c r="Q19" i="24"/>
  <c r="F19" i="24"/>
  <c r="J19" i="24"/>
  <c r="H29" i="24"/>
  <c r="R29" i="24"/>
  <c r="Q29" i="24"/>
  <c r="N33" i="24"/>
  <c r="L19" i="24"/>
  <c r="P33" i="24"/>
  <c r="F29" i="24"/>
  <c r="L33" i="24"/>
  <c r="I29" i="24"/>
  <c r="R33" i="24"/>
  <c r="M33" i="24"/>
  <c r="J29" i="24"/>
  <c r="O33" i="24"/>
  <c r="M19" i="24"/>
  <c r="D34" i="26" l="1"/>
  <c r="D37" i="26"/>
  <c r="E34" i="26"/>
  <c r="E37" i="26"/>
  <c r="D33" i="26"/>
  <c r="D36" i="26"/>
  <c r="E33" i="26"/>
  <c r="E36" i="26"/>
  <c r="H34" i="26"/>
  <c r="G23" i="25"/>
  <c r="G26" i="25"/>
  <c r="G29" i="25" s="1"/>
  <c r="G24" i="25"/>
  <c r="E27" i="25"/>
  <c r="F27" i="25"/>
  <c r="E26" i="25"/>
  <c r="E23" i="25"/>
  <c r="E24" i="25"/>
  <c r="F23" i="25"/>
  <c r="F26" i="25"/>
  <c r="F24" i="25"/>
  <c r="H21" i="16"/>
  <c r="H24" i="16" s="1"/>
  <c r="H20" i="16"/>
  <c r="H22" i="16" s="1"/>
  <c r="H27" i="16" s="1"/>
  <c r="G21" i="16"/>
  <c r="G26" i="16" s="1"/>
  <c r="G20" i="16"/>
  <c r="G22" i="16" s="1"/>
  <c r="G27" i="16" s="1"/>
  <c r="K20" i="16"/>
  <c r="K22" i="16" s="1"/>
  <c r="K27" i="16" s="1"/>
  <c r="K21" i="16"/>
  <c r="K23" i="16" s="1"/>
  <c r="M23" i="16"/>
  <c r="M26" i="16"/>
  <c r="M24" i="16"/>
  <c r="L24" i="16"/>
  <c r="L23" i="16"/>
  <c r="L26" i="16"/>
  <c r="L27" i="16"/>
  <c r="K24" i="16"/>
  <c r="K26" i="16"/>
  <c r="M27" i="16"/>
  <c r="N27" i="16"/>
  <c r="N26" i="16"/>
  <c r="N24" i="16"/>
  <c r="N23" i="16"/>
  <c r="J27" i="16"/>
  <c r="F27" i="16"/>
  <c r="E27" i="16"/>
  <c r="H26" i="16"/>
  <c r="I27" i="16"/>
  <c r="G24" i="16"/>
  <c r="G23" i="16"/>
  <c r="J23" i="16"/>
  <c r="J26" i="16"/>
  <c r="J24" i="16"/>
  <c r="I23" i="16"/>
  <c r="I26" i="16"/>
  <c r="I24" i="16"/>
  <c r="F23" i="16"/>
  <c r="F26" i="16"/>
  <c r="F24" i="16"/>
  <c r="E23" i="16"/>
  <c r="E26" i="16"/>
  <c r="E24" i="16"/>
  <c r="P34" i="24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G35" i="23"/>
  <c r="N19" i="24"/>
  <c r="O33" i="23"/>
  <c r="Q35" i="24"/>
  <c r="F33" i="23"/>
  <c r="E35" i="24"/>
  <c r="J35" i="23"/>
  <c r="I33" i="24"/>
  <c r="J35" i="24"/>
  <c r="L35" i="23"/>
  <c r="F35" i="23"/>
  <c r="H35" i="24"/>
  <c r="M35" i="24"/>
  <c r="E19" i="24"/>
  <c r="H33" i="24"/>
  <c r="Q33" i="23"/>
  <c r="M33" i="23"/>
  <c r="R29" i="23"/>
  <c r="H35" i="23"/>
  <c r="J33" i="24"/>
  <c r="F33" i="24"/>
  <c r="O35" i="23"/>
  <c r="R35" i="24"/>
  <c r="I29" i="23"/>
  <c r="F35" i="24"/>
  <c r="P33" i="23"/>
  <c r="E35" i="23"/>
  <c r="E33" i="24"/>
  <c r="J29" i="23"/>
  <c r="G29" i="23"/>
  <c r="R33" i="23"/>
  <c r="I19" i="24"/>
  <c r="H29" i="23"/>
  <c r="P35" i="23"/>
  <c r="L33" i="23"/>
  <c r="O29" i="23"/>
  <c r="G35" i="24"/>
  <c r="R19" i="24"/>
  <c r="I35" i="24"/>
  <c r="H19" i="24"/>
  <c r="E29" i="23"/>
  <c r="N33" i="23"/>
  <c r="F29" i="23"/>
  <c r="G33" i="24"/>
  <c r="P35" i="24"/>
  <c r="J33" i="23"/>
  <c r="M29" i="23"/>
  <c r="P29" i="23"/>
  <c r="Q29" i="23"/>
  <c r="L29" i="23"/>
  <c r="I35" i="23"/>
  <c r="L19" i="23"/>
  <c r="N29" i="23"/>
  <c r="N35" i="24"/>
  <c r="E29" i="16" l="1"/>
  <c r="E37" i="16"/>
  <c r="F38" i="16"/>
  <c r="F30" i="16"/>
  <c r="N37" i="16"/>
  <c r="N29" i="16"/>
  <c r="G37" i="16"/>
  <c r="G29" i="16"/>
  <c r="F37" i="25"/>
  <c r="F29" i="25"/>
  <c r="E37" i="25"/>
  <c r="E29" i="25"/>
  <c r="F37" i="16"/>
  <c r="F29" i="16"/>
  <c r="G38" i="16"/>
  <c r="G30" i="16"/>
  <c r="J37" i="16"/>
  <c r="J29" i="16"/>
  <c r="I38" i="16"/>
  <c r="I30" i="16"/>
  <c r="J38" i="16"/>
  <c r="J30" i="16"/>
  <c r="N38" i="16"/>
  <c r="N30" i="16"/>
  <c r="H38" i="16"/>
  <c r="H30" i="16"/>
  <c r="F38" i="25"/>
  <c r="F30" i="25"/>
  <c r="E38" i="16"/>
  <c r="E30" i="16"/>
  <c r="K37" i="16"/>
  <c r="K29" i="16"/>
  <c r="L37" i="16"/>
  <c r="L29" i="16"/>
  <c r="M37" i="16"/>
  <c r="M29" i="16"/>
  <c r="I37" i="16"/>
  <c r="I29" i="16"/>
  <c r="H37" i="16"/>
  <c r="H29" i="16"/>
  <c r="M38" i="16"/>
  <c r="M30" i="16"/>
  <c r="L38" i="16"/>
  <c r="L30" i="16"/>
  <c r="K38" i="16"/>
  <c r="K30" i="16"/>
  <c r="E38" i="25"/>
  <c r="E30" i="25"/>
  <c r="H23" i="16"/>
  <c r="E36" i="24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Q35" i="23"/>
  <c r="M35" i="23"/>
  <c r="M29" i="22"/>
  <c r="L35" i="22"/>
  <c r="O19" i="23"/>
  <c r="O29" i="22"/>
  <c r="N19" i="23"/>
  <c r="I33" i="23"/>
  <c r="J29" i="22"/>
  <c r="G29" i="22"/>
  <c r="P35" i="22"/>
  <c r="Q19" i="23"/>
  <c r="H35" i="22"/>
  <c r="R29" i="22"/>
  <c r="G33" i="22"/>
  <c r="J19" i="23"/>
  <c r="R19" i="23"/>
  <c r="G33" i="23"/>
  <c r="F29" i="22"/>
  <c r="E29" i="22"/>
  <c r="F19" i="23"/>
  <c r="P33" i="22"/>
  <c r="M19" i="23"/>
  <c r="N33" i="22"/>
  <c r="L19" i="22"/>
  <c r="L29" i="22"/>
  <c r="I19" i="23"/>
  <c r="N35" i="23"/>
  <c r="G35" i="22"/>
  <c r="J33" i="22"/>
  <c r="E19" i="23"/>
  <c r="I29" i="22"/>
  <c r="L33" i="22"/>
  <c r="F33" i="22"/>
  <c r="E35" i="22"/>
  <c r="R35" i="23"/>
  <c r="H33" i="23"/>
  <c r="O33" i="22"/>
  <c r="I35" i="22"/>
  <c r="E33" i="23"/>
  <c r="M33" i="22"/>
  <c r="H29" i="22"/>
  <c r="G19" i="23"/>
  <c r="R33" i="22"/>
  <c r="P29" i="22"/>
  <c r="Q33" i="22"/>
  <c r="Q29" i="22"/>
  <c r="P19" i="23"/>
  <c r="N29" i="22"/>
  <c r="H19" i="23"/>
  <c r="N27" i="24" l="1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J33" i="21"/>
  <c r="Q33" i="21"/>
  <c r="P33" i="21"/>
  <c r="L35" i="21"/>
  <c r="E19" i="21"/>
  <c r="I19" i="21"/>
  <c r="O19" i="21"/>
  <c r="N29" i="21"/>
  <c r="R19" i="21"/>
  <c r="J35" i="22"/>
  <c r="P19" i="22"/>
  <c r="I33" i="21"/>
  <c r="R33" i="21"/>
  <c r="F35" i="22"/>
  <c r="N19" i="22"/>
  <c r="I29" i="21"/>
  <c r="H29" i="21"/>
  <c r="G19" i="22"/>
  <c r="G35" i="21"/>
  <c r="M29" i="21"/>
  <c r="R35" i="22"/>
  <c r="J19" i="21"/>
  <c r="G33" i="21"/>
  <c r="J19" i="22"/>
  <c r="P29" i="21"/>
  <c r="F19" i="21"/>
  <c r="O29" i="21"/>
  <c r="L33" i="21"/>
  <c r="Q19" i="21"/>
  <c r="N19" i="21"/>
  <c r="Q29" i="21"/>
  <c r="F19" i="22"/>
  <c r="H19" i="21"/>
  <c r="M35" i="22"/>
  <c r="H33" i="21"/>
  <c r="H19" i="22"/>
  <c r="P35" i="21"/>
  <c r="G19" i="21"/>
  <c r="Q35" i="21"/>
  <c r="J35" i="21"/>
  <c r="O35" i="21"/>
  <c r="E29" i="21"/>
  <c r="G29" i="21"/>
  <c r="P19" i="21"/>
  <c r="F35" i="21"/>
  <c r="E35" i="21"/>
  <c r="F33" i="21"/>
  <c r="M19" i="22"/>
  <c r="L29" i="21"/>
  <c r="R19" i="22"/>
  <c r="I35" i="21"/>
  <c r="O19" i="22"/>
  <c r="H35" i="21"/>
  <c r="E33" i="22"/>
  <c r="R29" i="21"/>
  <c r="J29" i="21"/>
  <c r="E33" i="21"/>
  <c r="I19" i="22"/>
  <c r="H33" i="22"/>
  <c r="M33" i="21"/>
  <c r="N33" i="21"/>
  <c r="F29" i="21"/>
  <c r="I33" i="22"/>
  <c r="N35" i="21"/>
  <c r="O35" i="22"/>
  <c r="E19" i="22"/>
  <c r="M19" i="21"/>
  <c r="R35" i="21"/>
  <c r="Q19" i="22"/>
  <c r="O33" i="21"/>
  <c r="N35" i="22"/>
  <c r="M35" i="21"/>
  <c r="Q35" i="22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J15" i="19"/>
  <c r="F15" i="17"/>
  <c r="H15" i="20"/>
  <c r="F15" i="20"/>
  <c r="J15" i="17"/>
  <c r="H15" i="17"/>
  <c r="G15" i="18"/>
  <c r="G15" i="17"/>
  <c r="I15" i="17"/>
  <c r="H15" i="18"/>
  <c r="I15" i="18"/>
  <c r="J15" i="18"/>
  <c r="G15" i="20"/>
  <c r="F15" i="19"/>
  <c r="E15" i="19"/>
  <c r="G15" i="19"/>
  <c r="E15" i="18"/>
  <c r="L19" i="21"/>
  <c r="I15" i="19"/>
  <c r="F15" i="18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6" i="17"/>
  <c r="J18" i="17" s="1"/>
  <c r="J23" i="17" s="1"/>
  <c r="J26" i="17" s="1"/>
  <c r="I16" i="17"/>
  <c r="I18" i="17" s="1"/>
  <c r="I23" i="17" s="1"/>
  <c r="I26" i="17" s="1"/>
  <c r="H16" i="17"/>
  <c r="H18" i="17" s="1"/>
  <c r="H23" i="17" s="1"/>
  <c r="H26" i="17" s="1"/>
  <c r="F16" i="17"/>
  <c r="F18" i="17" s="1"/>
  <c r="F23" i="17" s="1"/>
  <c r="F26" i="17" s="1"/>
  <c r="G16" i="17"/>
  <c r="G18" i="17" s="1"/>
  <c r="G23" i="17" s="1"/>
  <c r="G26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F26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F26" i="18" s="1"/>
  <c r="G17" i="18"/>
  <c r="G16" i="18"/>
  <c r="G18" i="18" s="1"/>
  <c r="G23" i="18" s="1"/>
  <c r="G26" i="18" s="1"/>
  <c r="H16" i="18"/>
  <c r="H18" i="18" s="1"/>
  <c r="H23" i="18" s="1"/>
  <c r="H26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5" i="20"/>
  <c r="I15" i="20"/>
  <c r="E15" i="17"/>
  <c r="J15" i="20"/>
  <c r="H15" i="19"/>
  <c r="E16" i="17" l="1"/>
  <c r="E18" i="17" s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6" i="20"/>
  <c r="E18" i="20" s="1"/>
  <c r="E23" i="20" s="1"/>
  <c r="E26" i="20" s="1"/>
  <c r="J16" i="20"/>
  <c r="J18" i="20" s="1"/>
  <c r="J17" i="20"/>
  <c r="I16" i="20"/>
  <c r="I18" i="20" s="1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6" i="19"/>
  <c r="H18" i="19" s="1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H22" i="19"/>
  <c r="H25" i="19" s="1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0" i="19" l="1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2" i="6"/>
  <c r="B10" i="6"/>
  <c r="B14" i="6"/>
  <c r="B11" i="6"/>
  <c r="B18" i="6"/>
  <c r="B17" i="6"/>
  <c r="B22" i="6"/>
  <c r="B20" i="6"/>
  <c r="B21" i="6"/>
  <c r="B16" i="6"/>
  <c r="B13" i="6"/>
  <c r="B8" i="6"/>
  <c r="B9" i="6"/>
  <c r="B7" i="6"/>
  <c r="B19" i="6"/>
  <c r="B15" i="6"/>
  <c r="B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35" i="12"/>
  <c r="B6" i="4"/>
  <c r="E22" i="12"/>
  <c r="E9" i="12"/>
  <c r="E28" i="12"/>
  <c r="E12" i="12"/>
  <c r="E10" i="12"/>
  <c r="E23" i="12"/>
  <c r="E8" i="12"/>
  <c r="E21" i="12"/>
  <c r="E32" i="12"/>
  <c r="E29" i="12"/>
  <c r="E31" i="12"/>
  <c r="E6" i="12"/>
  <c r="E16" i="12"/>
  <c r="E15" i="12"/>
  <c r="E30" i="12"/>
  <c r="E17" i="12"/>
  <c r="E19" i="12"/>
  <c r="E7" i="12"/>
  <c r="E25" i="12"/>
  <c r="E14" i="12"/>
  <c r="E27" i="12"/>
  <c r="E5" i="12"/>
  <c r="E20" i="12"/>
  <c r="E24" i="12"/>
  <c r="E33" i="12"/>
  <c r="E18" i="12"/>
  <c r="E13" i="12"/>
  <c r="E36" i="12"/>
  <c r="E26" i="12"/>
  <c r="E34" i="12"/>
  <c r="E11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2" i="4"/>
  <c r="B16" i="7"/>
  <c r="B21" i="5"/>
  <c r="B7" i="9"/>
  <c r="B20" i="5"/>
  <c r="B14" i="7"/>
  <c r="B9" i="9"/>
  <c r="B15" i="8"/>
  <c r="B20" i="4"/>
  <c r="B12" i="7"/>
  <c r="B31" i="8"/>
  <c r="B7" i="4"/>
  <c r="B11" i="5"/>
  <c r="B16" i="5"/>
  <c r="B8" i="7"/>
  <c r="B11" i="7"/>
  <c r="B12" i="9"/>
  <c r="B22" i="8"/>
  <c r="B5" i="9"/>
  <c r="B24" i="5"/>
  <c r="B16" i="4"/>
  <c r="B8" i="8"/>
  <c r="B18" i="7"/>
  <c r="B12" i="8"/>
  <c r="B7" i="5"/>
  <c r="B19" i="7"/>
  <c r="B19" i="8"/>
  <c r="B19" i="5"/>
  <c r="B29" i="8"/>
  <c r="B10" i="9"/>
  <c r="B11" i="9"/>
  <c r="B9" i="8"/>
  <c r="B7" i="7"/>
  <c r="B14" i="8"/>
  <c r="B22" i="7"/>
  <c r="B24" i="8"/>
  <c r="B21" i="7"/>
  <c r="B19" i="9"/>
  <c r="B11" i="8"/>
  <c r="B13" i="8"/>
  <c r="B36" i="8"/>
  <c r="B9" i="4"/>
  <c r="B10" i="7"/>
  <c r="B28" i="8"/>
  <c r="B18" i="9"/>
  <c r="B6" i="8"/>
  <c r="B8" i="5"/>
  <c r="B15" i="5"/>
  <c r="B8" i="9"/>
  <c r="B14" i="4"/>
  <c r="B7" i="8"/>
  <c r="B18" i="8"/>
  <c r="B24" i="4"/>
  <c r="B20" i="7"/>
  <c r="B21" i="4"/>
  <c r="B6" i="9"/>
  <c r="B15" i="9"/>
  <c r="B8" i="4"/>
  <c r="B19" i="4"/>
  <c r="B10" i="8"/>
  <c r="B20" i="9"/>
  <c r="B17" i="4"/>
  <c r="B33" i="8"/>
  <c r="B26" i="8"/>
  <c r="B16" i="8"/>
  <c r="B22" i="5"/>
  <c r="B9" i="5"/>
  <c r="B17" i="5"/>
  <c r="B23" i="8"/>
  <c r="B17" i="9"/>
  <c r="B13" i="4"/>
  <c r="B20" i="8"/>
  <c r="B21" i="8"/>
  <c r="B35" i="8"/>
  <c r="B15" i="4"/>
  <c r="B6" i="5"/>
  <c r="B11" i="4"/>
  <c r="B18" i="5"/>
  <c r="B14" i="9"/>
  <c r="B25" i="4"/>
  <c r="B6" i="7"/>
  <c r="B10" i="5"/>
  <c r="B30" i="8"/>
  <c r="B10" i="4"/>
  <c r="B13" i="5"/>
  <c r="B13" i="7"/>
  <c r="B13" i="9"/>
  <c r="B34" i="8"/>
  <c r="B17" i="7"/>
  <c r="B27" i="8"/>
  <c r="B25" i="5"/>
  <c r="B15" i="7"/>
  <c r="B5" i="8"/>
  <c r="B14" i="5"/>
  <c r="B9" i="7"/>
  <c r="B12" i="4"/>
  <c r="B17" i="8"/>
  <c r="B12" i="5"/>
  <c r="B16" i="9"/>
  <c r="B23" i="4"/>
  <c r="B32" i="8"/>
  <c r="B18" i="4"/>
  <c r="B25" i="8"/>
  <c r="B23" i="5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I10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6" i="8" l="1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64" i="2"/>
  <c r="B10" i="1"/>
  <c r="B34" i="2"/>
  <c r="B7" i="2"/>
  <c r="B26" i="1"/>
  <c r="B23" i="2"/>
  <c r="B45" i="2"/>
  <c r="B16" i="1"/>
  <c r="B68" i="2"/>
  <c r="B42" i="2"/>
  <c r="B19" i="2"/>
  <c r="B72" i="2"/>
  <c r="B49" i="2"/>
  <c r="B57" i="2"/>
  <c r="B35" i="2"/>
  <c r="B5" i="1"/>
  <c r="B30" i="1"/>
  <c r="B69" i="2"/>
  <c r="B55" i="2"/>
  <c r="B54" i="2"/>
  <c r="B63" i="2"/>
  <c r="B8" i="1"/>
  <c r="B10" i="2"/>
  <c r="B9" i="2"/>
  <c r="B17" i="2"/>
  <c r="B28" i="1"/>
  <c r="B53" i="2"/>
  <c r="B15" i="2"/>
  <c r="B36" i="1"/>
  <c r="B7" i="1"/>
  <c r="B58" i="2"/>
  <c r="B71" i="2"/>
  <c r="B25" i="1"/>
  <c r="B32" i="2"/>
  <c r="B44" i="2"/>
  <c r="B6" i="1"/>
  <c r="B33" i="1"/>
  <c r="B66" i="2"/>
  <c r="B12" i="1"/>
  <c r="B47" i="2"/>
  <c r="B20" i="1"/>
  <c r="B29" i="1"/>
  <c r="B48" i="2"/>
  <c r="B18" i="2"/>
  <c r="B21" i="2"/>
  <c r="B62" i="2"/>
  <c r="B33" i="2"/>
  <c r="B36" i="2"/>
  <c r="B26" i="2"/>
  <c r="B29" i="2"/>
  <c r="B34" i="1"/>
  <c r="B20" i="2"/>
  <c r="B70" i="2"/>
  <c r="B56" i="2"/>
  <c r="B24" i="2"/>
  <c r="B41" i="2"/>
  <c r="B27" i="2"/>
  <c r="B24" i="1"/>
  <c r="B8" i="2"/>
  <c r="B43" i="2"/>
  <c r="B18" i="1"/>
  <c r="B25" i="2"/>
  <c r="B22" i="2"/>
  <c r="B15" i="1"/>
  <c r="B27" i="1"/>
  <c r="B60" i="2"/>
  <c r="B19" i="1"/>
  <c r="B11" i="1"/>
  <c r="B50" i="2"/>
  <c r="B6" i="2"/>
  <c r="B11" i="2"/>
  <c r="B67" i="2"/>
  <c r="B16" i="2"/>
  <c r="B51" i="2"/>
  <c r="B9" i="1"/>
  <c r="B14" i="1"/>
  <c r="B28" i="2"/>
  <c r="B31" i="1"/>
  <c r="B22" i="1"/>
  <c r="B59" i="2"/>
  <c r="B31" i="2"/>
  <c r="B13" i="1"/>
  <c r="B61" i="2"/>
  <c r="B17" i="1"/>
  <c r="B23" i="1"/>
  <c r="B35" i="1"/>
  <c r="B21" i="1"/>
  <c r="B30" i="2"/>
  <c r="B32" i="1"/>
  <c r="B13" i="2"/>
  <c r="B14" i="2"/>
  <c r="B46" i="2"/>
  <c r="B52" i="2"/>
  <c r="B12" i="2"/>
  <c r="B65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4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4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4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4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4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4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4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<sst xmlns="http://schemas.openxmlformats.org/spreadsheetml/2006/main" count="1183" uniqueCount="411">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</sst>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2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20</xdr:row>
      <xdr:rowOff>161924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500</a:t>
          </a:r>
          <a:r>
            <a:rPr lang="en-US" sz="1100" baseline="0"/>
            <a:t> danh thiếp: </a:t>
          </a:r>
        </a:p>
        <a:p>
          <a:r>
            <a:rPr lang="en-US" sz="1100" baseline="0"/>
            <a:t>1M: 199000</a:t>
          </a:r>
        </a:p>
        <a:p>
          <a:r>
            <a:rPr lang="en-US" sz="1100" baseline="0"/>
            <a:t>2M: 340000</a:t>
          </a:r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280000</a:t>
          </a:r>
        </a:p>
        <a:p>
          <a:r>
            <a:rPr lang="en-US" sz="1100" baseline="0"/>
            <a:t>2M: 450000</a:t>
          </a:r>
        </a:p>
        <a:p>
          <a:endParaRPr lang="en-US" sz="1100" baseline="0"/>
        </a:p>
        <a:p>
          <a:r>
            <a:rPr lang="en-US" sz="1100" baseline="0"/>
            <a:t>2000 danh thiếp</a:t>
          </a:r>
        </a:p>
        <a:p>
          <a:r>
            <a:rPr lang="en-US" sz="1100" baseline="0"/>
            <a:t>1M: 430000</a:t>
          </a:r>
        </a:p>
        <a:p>
          <a:r>
            <a:rPr lang="en-US" sz="1100" baseline="0"/>
            <a:t>2M: 680000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E$12/$D$6 +1</f>
        <v>76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>E$13*$E$6</f>
        <v>152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>PhiMayInToner4M(E$14)</f>
        <v>177941.3333</v>
      </c>
      <c r="F15" s="36">
        <f t="shared" ref="F15:J15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300</v>
      </c>
      <c r="E16" s="36">
        <f>E$15*2</f>
        <v>355882.6666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293</v>
      </c>
      <c r="E17" s="29">
        <f t="shared" ref="E17:J17" si="4">E$15*(1+$D$7)</f>
        <v>311397.33327499998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296</v>
      </c>
      <c r="E18" s="29">
        <f>E$16*(1+$D$7)</f>
        <v>622794.66654999997</v>
      </c>
      <c r="F18" s="29">
        <f t="shared" ref="F18:J18" si="5">F$16*(1+$D$7)</f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288</v>
      </c>
      <c r="E19" s="7">
        <f>E$17/E$13</f>
        <v>4097.3333325657895</v>
      </c>
      <c r="F19" s="7">
        <f t="shared" ref="F19:J19" si="6">F$17/F$13</f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290</v>
      </c>
      <c r="E20" s="7">
        <f>E$17/E$14</f>
        <v>2048.6666662828948</v>
      </c>
      <c r="F20" s="7">
        <f t="shared" ref="F20:J20" si="7">F$17/F$14</f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291</v>
      </c>
      <c r="E21" s="29">
        <f>$E$9*E$13</f>
        <v>68495</v>
      </c>
      <c r="F21" s="29">
        <f>$E$9*F$13</f>
        <v>45963.75</v>
      </c>
      <c r="G21" s="29">
        <f t="shared" ref="G21:J21" si="8">$E$9*G$13</f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>E$17+E$21</f>
        <v>379892.33327499998</v>
      </c>
      <c r="F22" s="29">
        <f t="shared" ref="F22:J22" si="9">F$17+F$21</f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295</v>
      </c>
      <c r="E23" s="29">
        <f>E$18+E$21</f>
        <v>691289.66654999997</v>
      </c>
      <c r="F23" s="29">
        <f t="shared" ref="F23:J23" si="10">F$18+F$21</f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379000</v>
      </c>
      <c r="F25" s="7">
        <f t="shared" ref="F25:J25" si="11">F$22-MOD(F$22,1000)</f>
        <v>291000</v>
      </c>
      <c r="G25" s="7">
        <f t="shared" si="11"/>
        <v>379000</v>
      </c>
      <c r="H25" s="7">
        <f t="shared" si="11"/>
        <v>468000</v>
      </c>
      <c r="I25" s="7">
        <f t="shared" si="11"/>
        <v>556000</v>
      </c>
      <c r="J25" s="7">
        <f t="shared" si="11"/>
        <v>645000</v>
      </c>
    </row>
    <row r="26" spans="1:10" x14ac:dyDescent="0.25">
      <c r="A26" s="2" t="s">
        <v>365</v>
      </c>
      <c r="E26" s="7">
        <f>E$23-MOD(E$23,1000)</f>
        <v>691000</v>
      </c>
      <c r="F26" s="7">
        <f t="shared" ref="F26:J26" si="12">F$23-MOD(F$23,1000)</f>
        <v>536000</v>
      </c>
      <c r="G26" s="7">
        <f t="shared" si="12"/>
        <v>691000</v>
      </c>
      <c r="H26" s="7">
        <f t="shared" si="12"/>
        <v>845000</v>
      </c>
      <c r="I26" s="7">
        <f t="shared" si="12"/>
        <v>1000000</v>
      </c>
      <c r="J26" s="7">
        <f t="shared" si="12"/>
        <v>1154000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291</v>
      </c>
      <c r="E21" s="29">
        <f>$E$9*E$13</f>
        <v>12617.5</v>
      </c>
      <c r="F21" s="29">
        <f>$E$9*F$13</f>
        <v>23432.5</v>
      </c>
      <c r="G21" s="29">
        <f t="shared" ref="G21:J21" si="8">$E$9*G$13</f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>E$17+E$21</f>
        <v>160396.83327499998</v>
      </c>
      <c r="F22" s="29">
        <f t="shared" ref="F22:J22" si="9">F$17+F$21</f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295</v>
      </c>
      <c r="E23" s="29">
        <f>E$18+E$21</f>
        <v>308176.16654999997</v>
      </c>
      <c r="F23" s="29">
        <f t="shared" ref="F23:J23" si="10">F$18+F$21</f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160000</v>
      </c>
      <c r="F25" s="7">
        <f t="shared" ref="F25:J25" si="11">F$22-MOD(F$22,1000)</f>
        <v>202000</v>
      </c>
      <c r="G25" s="7">
        <f t="shared" si="11"/>
        <v>248000</v>
      </c>
      <c r="H25" s="7">
        <f t="shared" si="11"/>
        <v>291000</v>
      </c>
      <c r="I25" s="7">
        <f t="shared" si="11"/>
        <v>337000</v>
      </c>
      <c r="J25" s="7">
        <f t="shared" si="11"/>
        <v>379000</v>
      </c>
    </row>
    <row r="26" spans="1:10" x14ac:dyDescent="0.25">
      <c r="A26" s="2" t="s">
        <v>365</v>
      </c>
      <c r="E26" s="7">
        <f>E$23-MOD(E$23,1000)</f>
        <v>308000</v>
      </c>
      <c r="F26" s="7">
        <f t="shared" ref="F26:J26" si="12">F$23-MOD(F$23,1000)</f>
        <v>382000</v>
      </c>
      <c r="G26" s="7">
        <f t="shared" si="12"/>
        <v>462000</v>
      </c>
      <c r="H26" s="7">
        <f t="shared" si="12"/>
        <v>536000</v>
      </c>
      <c r="I26" s="7">
        <f t="shared" si="12"/>
        <v>617000</v>
      </c>
      <c r="J26" s="7">
        <f t="shared" si="12"/>
        <v>691000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>PhiMayInToner4M(E$14)</f>
        <v>75397.333299999998</v>
      </c>
      <c r="F15" s="36">
        <f t="shared" ref="F15:J15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300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293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296</v>
      </c>
      <c r="E18" s="29">
        <f>E$16*(1+$D$7)</f>
        <v>263890.66654999997</v>
      </c>
      <c r="F18" s="29">
        <f t="shared" ref="F18:J18" si="5">F$16*(1+$D$7)</f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288</v>
      </c>
      <c r="E19" s="7">
        <f>E$17/E$13</f>
        <v>16493.166659374998</v>
      </c>
      <c r="F19" s="7">
        <f t="shared" ref="F19:J19" si="6">F$17/F$13</f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290</v>
      </c>
      <c r="E20" s="7">
        <f>E$17/E$14</f>
        <v>8246.5833296874989</v>
      </c>
      <c r="F20" s="7">
        <f t="shared" ref="F20:J20" si="7">F$17/F$14</f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291</v>
      </c>
      <c r="E21" s="29">
        <f>$E$9*E$13</f>
        <v>7210</v>
      </c>
      <c r="F21" s="29">
        <f>$E$9*F$13</f>
        <v>12617.5</v>
      </c>
      <c r="G21" s="29">
        <f t="shared" ref="G21:J21" si="8">$E$9*G$13</f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>E$17+E$21</f>
        <v>139155.33327499998</v>
      </c>
      <c r="F22" s="29">
        <f t="shared" ref="F22:J22" si="9">F$17+F$21</f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295</v>
      </c>
      <c r="E23" s="29">
        <f>E$18+E$21</f>
        <v>271100.66654999997</v>
      </c>
      <c r="F23" s="29">
        <f t="shared" ref="F23:J23" si="10">F$18+F$21</f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139000</v>
      </c>
      <c r="F25" s="7">
        <f t="shared" ref="F25:J25" si="11">F$22-MOD(F$22,1000)</f>
        <v>160000</v>
      </c>
      <c r="G25" s="7">
        <f t="shared" si="11"/>
        <v>181000</v>
      </c>
      <c r="H25" s="7">
        <f t="shared" si="11"/>
        <v>202000</v>
      </c>
      <c r="I25" s="7">
        <f t="shared" si="11"/>
        <v>227000</v>
      </c>
      <c r="J25" s="7">
        <f t="shared" si="11"/>
        <v>248000</v>
      </c>
    </row>
    <row r="26" spans="1:10" x14ac:dyDescent="0.25">
      <c r="A26" s="2" t="s">
        <v>365</v>
      </c>
      <c r="E26" s="7">
        <f>E$23-MOD(E$23,1000)</f>
        <v>271000</v>
      </c>
      <c r="F26" s="7">
        <f t="shared" ref="F26:J26" si="12">F$23-MOD(F$23,1000)</f>
        <v>308000</v>
      </c>
      <c r="G26" s="7">
        <f t="shared" si="12"/>
        <v>345000</v>
      </c>
      <c r="H26" s="7">
        <f t="shared" si="12"/>
        <v>382000</v>
      </c>
      <c r="I26" s="7">
        <f t="shared" si="12"/>
        <v>425000</v>
      </c>
      <c r="J26" s="7">
        <f t="shared" si="12"/>
        <v>462000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C13"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291</v>
      </c>
      <c r="E21" s="29">
        <f>$E$9*E$13</f>
        <v>9012.5</v>
      </c>
      <c r="F21" s="29">
        <f>$E$9*F$13</f>
        <v>16222.5</v>
      </c>
      <c r="G21" s="29">
        <f t="shared" ref="G21:J21" si="8">$E$9*G$13</f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>E$17+E$21</f>
        <v>146235.83327499998</v>
      </c>
      <c r="F22" s="29">
        <f t="shared" ref="F22:J22" si="9">F$17+F$21</f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295</v>
      </c>
      <c r="E23" s="29">
        <f>E$18+E$21</f>
        <v>283459.16654999997</v>
      </c>
      <c r="F23" s="29">
        <f t="shared" ref="F23:J23" si="10">F$18+F$21</f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146000</v>
      </c>
      <c r="F25" s="7">
        <f t="shared" ref="F25:J25" si="11">F$22-MOD(F$22,1000)</f>
        <v>174000</v>
      </c>
      <c r="G25" s="7">
        <f t="shared" si="11"/>
        <v>202000</v>
      </c>
      <c r="H25" s="7">
        <f t="shared" si="11"/>
        <v>234000</v>
      </c>
      <c r="I25" s="7">
        <f t="shared" si="11"/>
        <v>263000</v>
      </c>
      <c r="J25" s="7">
        <f t="shared" si="11"/>
        <v>291000</v>
      </c>
    </row>
    <row r="26" spans="1:10" x14ac:dyDescent="0.25">
      <c r="A26" s="2" t="s">
        <v>365</v>
      </c>
      <c r="E26" s="7">
        <f>E$23-MOD(E$23,1000)</f>
        <v>283000</v>
      </c>
      <c r="F26" s="7">
        <f t="shared" ref="F26:J26" si="12">F$23-MOD(F$23,1000)</f>
        <v>332000</v>
      </c>
      <c r="G26" s="7">
        <f t="shared" si="12"/>
        <v>382000</v>
      </c>
      <c r="H26" s="7">
        <f t="shared" si="12"/>
        <v>437000</v>
      </c>
      <c r="I26" s="7">
        <f t="shared" si="12"/>
        <v>487000</v>
      </c>
      <c r="J26" s="7">
        <f t="shared" si="12"/>
        <v>536000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E40" sqref="E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300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293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296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288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290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316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>PhiMayCanMang(E$17,$C$5/100, $D$5/100)*(1+$D$8)+ E$17*$E$14</f>
        <v>140828.64635</v>
      </c>
      <c r="F33" s="7">
        <f t="shared" ref="F33:J33" si="17">PhiMayCanMang(F$17,$C$5/100, $D$5/100)*(1+$D$8)+ F$17*$E$14</f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317</v>
      </c>
      <c r="E34" s="7">
        <f>E$33/E$16</f>
        <v>2816.5729269999997</v>
      </c>
      <c r="F34" s="7">
        <f t="shared" ref="F34:J34" si="19">F$33/F$16</f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>M$17*$E$14/M$16</f>
        <v>150.25919999999999</v>
      </c>
      <c r="N34" s="7">
        <f t="shared" ref="N34:R34" si="20">N$17*$E$14/N$16</f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309</v>
      </c>
      <c r="E35" s="7">
        <f>PhiMayCanMang(E$17*2,$C$5/100, $D$5/100)*(1+$D$8)+ E$17*$E$14*2</f>
        <v>153323.95925000001</v>
      </c>
      <c r="F35" s="7">
        <f t="shared" ref="F35:J35" si="21">PhiMayCanMang(F$17*2,$C$5/100, $D$5/100)*(1+$D$8)+ F$17*$E$14*2</f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318</v>
      </c>
      <c r="E36" s="7">
        <f>E$35/E$16</f>
        <v>3066.4791850000001</v>
      </c>
      <c r="F36" s="7">
        <f t="shared" ref="F36:J36" si="23">F$35/F$16</f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>M$17*2*$E$14/M$16</f>
        <v>300.51839999999999</v>
      </c>
      <c r="N36" s="7">
        <f t="shared" ref="N36:R36" si="24">N$17*2*$E$14/N$16</f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  <row r="39" spans="1:18" ht="30" x14ac:dyDescent="0.25">
      <c r="A39" s="2" t="s">
        <v>366</v>
      </c>
      <c r="E39" s="7">
        <f>E$26-MOD(E$26,1000)</f>
        <v>390000</v>
      </c>
      <c r="F39" s="7">
        <f t="shared" ref="F39:J39" si="25">F$26-MOD(F$26,1000)</f>
        <v>553000</v>
      </c>
      <c r="G39" s="7">
        <f t="shared" si="25"/>
        <v>715000</v>
      </c>
      <c r="H39" s="7">
        <f t="shared" si="25"/>
        <v>878000</v>
      </c>
      <c r="I39" s="7">
        <f t="shared" si="25"/>
        <v>1041000</v>
      </c>
      <c r="J39" s="7">
        <f t="shared" si="25"/>
        <v>1203000</v>
      </c>
    </row>
    <row r="40" spans="1:18" ht="30" x14ac:dyDescent="0.25">
      <c r="A40" s="2" t="s">
        <v>367</v>
      </c>
      <c r="E40" s="7">
        <f>E$27-MOD(E$27,1000)</f>
        <v>394000</v>
      </c>
      <c r="F40" s="7">
        <f t="shared" ref="F40:J40" si="26">F$27-MOD(F$27,1000)</f>
        <v>560000</v>
      </c>
      <c r="G40" s="7">
        <f t="shared" si="26"/>
        <v>727000</v>
      </c>
      <c r="H40" s="7">
        <f t="shared" si="26"/>
        <v>893000</v>
      </c>
      <c r="I40" s="7">
        <f t="shared" si="26"/>
        <v>1059000</v>
      </c>
      <c r="J40" s="7">
        <f t="shared" si="26"/>
        <v>1226000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16" workbookViewId="0">
      <selection activeCell="I42" sqref="I4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300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293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296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288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290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316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>PhiMayCanMang(E$17,$C$5/100, $D$5/100)*(1+$D$8)+ E$17*$E$14</f>
        <v>134951.94055</v>
      </c>
      <c r="F33" s="7">
        <f t="shared" ref="F33:J33" si="17">PhiMayCanMang(F$17,$C$5/100, $D$5/100)*(1+$D$8)+ F$17*$E$14</f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317</v>
      </c>
      <c r="E34" s="7">
        <f>E$33/E$16</f>
        <v>2699.0388109999999</v>
      </c>
      <c r="F34" s="7">
        <f t="shared" ref="F34:J34" si="19">F$33/F$16</f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>M$17*$E$14/M$16</f>
        <v>78.019199999999998</v>
      </c>
      <c r="N34" s="7">
        <f t="shared" ref="N34:R34" si="20">N$17*$E$14/N$16</f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309</v>
      </c>
      <c r="E35" s="7">
        <f>PhiMayCanMang(E$17*2,$C$5/100, $D$5/100)*(1+$D$8)+ E$17*$E$14*2</f>
        <v>141570.54765000002</v>
      </c>
      <c r="F35" s="7">
        <f t="shared" ref="F35:J35" si="21">PhiMayCanMang(F$17*2,$C$5/100, $D$5/100)*(1+$D$8)+ F$17*$E$14*2</f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318</v>
      </c>
      <c r="E36" s="7">
        <f>E$35/E$16</f>
        <v>2831.4109530000005</v>
      </c>
      <c r="F36" s="7">
        <f t="shared" ref="F36:J36" si="23">F$35/F$16</f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>M$17*2*$E$14/M$16</f>
        <v>156.0384</v>
      </c>
      <c r="N36" s="7">
        <f t="shared" ref="N36:R36" si="24">N$17*2*$E$14/N$16</f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  <row r="39" spans="1:18" ht="30" x14ac:dyDescent="0.25">
      <c r="A39" s="2" t="s">
        <v>366</v>
      </c>
      <c r="E39" s="7">
        <f>E$26-MOD(E$26,1000)</f>
        <v>309000</v>
      </c>
      <c r="F39" s="7">
        <f t="shared" ref="F39:J39" si="25">F$26-MOD(F$26,1000)</f>
        <v>390000</v>
      </c>
      <c r="G39" s="7">
        <f t="shared" si="25"/>
        <v>472000</v>
      </c>
      <c r="H39" s="7">
        <f t="shared" si="25"/>
        <v>553000</v>
      </c>
      <c r="I39" s="7">
        <f t="shared" si="25"/>
        <v>634000</v>
      </c>
      <c r="J39" s="7">
        <f t="shared" si="25"/>
        <v>715000</v>
      </c>
    </row>
    <row r="40" spans="1:18" ht="30" x14ac:dyDescent="0.25">
      <c r="A40" s="2" t="s">
        <v>367</v>
      </c>
      <c r="E40" s="7">
        <f>E$27-MOD(E$27,1000)</f>
        <v>311000</v>
      </c>
      <c r="F40" s="7">
        <f t="shared" ref="F40:J40" si="26">F$27-MOD(F$27,1000)</f>
        <v>394000</v>
      </c>
      <c r="G40" s="7">
        <f t="shared" si="26"/>
        <v>477000</v>
      </c>
      <c r="H40" s="7">
        <f t="shared" si="26"/>
        <v>560000</v>
      </c>
      <c r="I40" s="7">
        <f t="shared" si="26"/>
        <v>644000</v>
      </c>
      <c r="J40" s="7">
        <f t="shared" si="26"/>
        <v>727000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300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293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296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288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290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323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>PhiMayCanMang(E$17,$C$5/100, $D$5/100)*(1+$D$8)+ E$17*$E$14</f>
        <v>153034.99924999999</v>
      </c>
      <c r="F33" s="7">
        <f t="shared" ref="F33:J33" si="17">PhiMayCanMang(F$17,$C$5/100, $D$5/100)*(1+$D$8)+ F$17*$E$14</f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317</v>
      </c>
      <c r="E34" s="7">
        <f>E$33/E$16</f>
        <v>3060.6999849999997</v>
      </c>
      <c r="F34" s="7">
        <f t="shared" ref="F34:J34" si="19">F$33/F$16</f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>M$17*$E$14/M$16</f>
        <v>294.73919999999998</v>
      </c>
      <c r="N34" s="7">
        <f t="shared" ref="N34:R34" si="20">N$17*$E$14/N$16</f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309</v>
      </c>
      <c r="E35" s="7">
        <f>PhiMayCanMang(E$17*2,$C$5/100, $D$5/100)*(1+$D$8)+ E$17*$E$14*2</f>
        <v>177736.665225</v>
      </c>
      <c r="F35" s="7">
        <f t="shared" ref="F35:J35" si="21">PhiMayCanMang(F$17*2,$C$5/100, $D$5/100)*(1+$D$8)+ F$17*$E$14*2</f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318</v>
      </c>
      <c r="E36" s="7">
        <f>E$35/E$16</f>
        <v>3554.7333045</v>
      </c>
      <c r="F36" s="7">
        <f t="shared" ref="F36:J36" si="23">F$35/F$16</f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>M$17*2*$E$14/M$16</f>
        <v>589.47839999999997</v>
      </c>
      <c r="N36" s="7">
        <f t="shared" ref="N36:R36" si="24">N$17*2*$E$14/N$16</f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  <row r="39" spans="1:18" ht="30" x14ac:dyDescent="0.25">
      <c r="A39" s="2" t="s">
        <v>366</v>
      </c>
      <c r="E39" s="7">
        <f>E$26-MOD(E$26,1000)</f>
        <v>560000</v>
      </c>
      <c r="F39" s="7">
        <f t="shared" ref="F39:J39" si="25">F$26-MOD(F$26,1000)</f>
        <v>727000</v>
      </c>
      <c r="G39" s="7">
        <f t="shared" si="25"/>
        <v>893000</v>
      </c>
      <c r="H39" s="7">
        <f t="shared" si="25"/>
        <v>1059000</v>
      </c>
      <c r="I39" s="7">
        <f t="shared" si="25"/>
        <v>1226000</v>
      </c>
      <c r="J39" s="7">
        <f t="shared" si="25"/>
        <v>1558000</v>
      </c>
    </row>
    <row r="40" spans="1:18" ht="30" x14ac:dyDescent="0.25">
      <c r="A40" s="2" t="s">
        <v>367</v>
      </c>
      <c r="E40" s="7">
        <f>E$27-MOD(E$27,1000)</f>
        <v>582000</v>
      </c>
      <c r="F40" s="7">
        <f t="shared" ref="F40:J40" si="26">F$27-MOD(F$27,1000)</f>
        <v>759000</v>
      </c>
      <c r="G40" s="7">
        <f t="shared" si="26"/>
        <v>936000</v>
      </c>
      <c r="H40" s="7">
        <f t="shared" si="26"/>
        <v>1113000</v>
      </c>
      <c r="I40" s="7">
        <f t="shared" si="26"/>
        <v>1290000</v>
      </c>
      <c r="J40" s="7">
        <f t="shared" si="26"/>
        <v>1644000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22" workbookViewId="0">
      <selection activeCell="H46" sqref="H46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300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293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296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288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290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323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>PhiMayCanMang(E$17,$C$5/100, $D$5/100)*(1+$D$8)+ E$17*$E$14</f>
        <v>147390.13344999999</v>
      </c>
      <c r="F33" s="7">
        <f t="shared" ref="F33:J33" si="17">PhiMayCanMang(F$17,$C$5/100, $D$5/100)*(1+$D$8)+ F$17*$E$14</f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317</v>
      </c>
      <c r="E34" s="7">
        <f>E$33/E$16</f>
        <v>5895.6053379999994</v>
      </c>
      <c r="F34" s="7">
        <f t="shared" ref="F34:J34" si="19">F$33/F$16</f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>M$17*$E$14/M$16</f>
        <v>445.536</v>
      </c>
      <c r="N34" s="7">
        <f t="shared" ref="N34:R34" si="20">N$17*$E$14/N$16</f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309</v>
      </c>
      <c r="E35" s="7">
        <f>PhiMayCanMang(E$17*2,$C$5/100, $D$5/100)*(1+$D$8)+ E$17*$E$14*2</f>
        <v>166446.93345000001</v>
      </c>
      <c r="F35" s="7">
        <f t="shared" ref="F35:J35" si="21">PhiMayCanMang(F$17*2,$C$5/100, $D$5/100)*(1+$D$8)+ F$17*$E$14*2</f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318</v>
      </c>
      <c r="E36" s="7">
        <f>E$35/E$16</f>
        <v>6657.8773380000002</v>
      </c>
      <c r="F36" s="7">
        <f t="shared" ref="F36:J36" si="23">F$35/F$16</f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>M$17*2*$E$14/M$16</f>
        <v>891.072</v>
      </c>
      <c r="N36" s="7">
        <f t="shared" ref="N36:R36" si="24">N$17*2*$E$14/N$16</f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  <row r="39" spans="1:18" ht="30" x14ac:dyDescent="0.25">
      <c r="A39" s="2" t="s">
        <v>366</v>
      </c>
      <c r="E39" s="7">
        <f>E$26-MOD(E$26,1000)</f>
        <v>500000</v>
      </c>
      <c r="F39" s="7">
        <f t="shared" ref="F39:J39" si="25">F$26-MOD(F$26,1000)</f>
        <v>768000</v>
      </c>
      <c r="G39" s="7">
        <f t="shared" si="25"/>
        <v>1036000</v>
      </c>
      <c r="H39" s="7">
        <f t="shared" si="25"/>
        <v>1304000</v>
      </c>
      <c r="I39" s="7">
        <f t="shared" si="25"/>
        <v>1572000</v>
      </c>
      <c r="J39" s="7">
        <f t="shared" si="25"/>
        <v>1839000</v>
      </c>
    </row>
    <row r="40" spans="1:18" ht="30" x14ac:dyDescent="0.25">
      <c r="A40" s="2" t="s">
        <v>367</v>
      </c>
      <c r="E40" s="7">
        <f>E$27-MOD(E$27,1000)</f>
        <v>521000</v>
      </c>
      <c r="F40" s="7">
        <f t="shared" ref="F40:J40" si="26">F$27-MOD(F$27,1000)</f>
        <v>809000</v>
      </c>
      <c r="G40" s="7">
        <f t="shared" si="26"/>
        <v>1097000</v>
      </c>
      <c r="H40" s="7">
        <f t="shared" si="26"/>
        <v>1385000</v>
      </c>
      <c r="I40" s="7">
        <f t="shared" si="26"/>
        <v>1673000</v>
      </c>
      <c r="J40" s="7">
        <f t="shared" si="26"/>
        <v>1961000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workbookViewId="0">
      <selection activeCell="F10" sqref="F1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 t="shared" ref="E19:N19" si="3">PhiMayInToner4M(E$18)</f>
        <v>70873.333299999998</v>
      </c>
      <c r="F19" s="36">
        <f t="shared" si="3"/>
        <v>76905.333299999998</v>
      </c>
      <c r="G19" s="36">
        <f t="shared" si="3"/>
        <v>82937.333299999998</v>
      </c>
      <c r="H19" s="36">
        <f t="shared" si="3"/>
        <v>88969.333299999998</v>
      </c>
      <c r="I19" s="36">
        <f t="shared" si="3"/>
        <v>95001.333299999998</v>
      </c>
      <c r="J19" s="36">
        <f t="shared" si="3"/>
        <v>101033.3333</v>
      </c>
      <c r="K19" s="36">
        <f t="shared" si="3"/>
        <v>107065.3333</v>
      </c>
      <c r="L19" s="36">
        <f t="shared" si="3"/>
        <v>113097.3333</v>
      </c>
      <c r="M19" s="36">
        <f t="shared" si="3"/>
        <v>119129.3333</v>
      </c>
      <c r="N19" s="36">
        <f t="shared" si="3"/>
        <v>125161.3333</v>
      </c>
      <c r="O19" s="36"/>
    </row>
    <row r="20" spans="1:15" x14ac:dyDescent="0.25">
      <c r="A20" s="2" t="s">
        <v>300</v>
      </c>
      <c r="E20" s="36">
        <f t="shared" ref="E20:N20" si="4">E$19*2</f>
        <v>141746.6666</v>
      </c>
      <c r="F20" s="36">
        <f t="shared" si="4"/>
        <v>153810.6666</v>
      </c>
      <c r="G20" s="36">
        <f t="shared" si="4"/>
        <v>165874.6666</v>
      </c>
      <c r="H20" s="36">
        <f t="shared" si="4"/>
        <v>177938.6666</v>
      </c>
      <c r="I20" s="36">
        <f t="shared" si="4"/>
        <v>190002.6666</v>
      </c>
      <c r="J20" s="36">
        <f t="shared" si="4"/>
        <v>202066.6666</v>
      </c>
      <c r="K20" s="36">
        <f t="shared" si="4"/>
        <v>214130.6666</v>
      </c>
      <c r="L20" s="36">
        <f t="shared" si="4"/>
        <v>226194.6666</v>
      </c>
      <c r="M20" s="36">
        <f t="shared" si="4"/>
        <v>238258.6666</v>
      </c>
      <c r="N20" s="36">
        <f t="shared" si="4"/>
        <v>250322.6666</v>
      </c>
      <c r="O20" s="36"/>
    </row>
    <row r="21" spans="1:15" ht="30" x14ac:dyDescent="0.25">
      <c r="A21" s="20" t="s">
        <v>293</v>
      </c>
      <c r="E21" s="29">
        <f t="shared" ref="E21:N21" si="5">E$19*(1+$D$7)</f>
        <v>124028.333275</v>
      </c>
      <c r="F21" s="29">
        <f t="shared" si="5"/>
        <v>134584.33327499998</v>
      </c>
      <c r="G21" s="29">
        <f t="shared" si="5"/>
        <v>145140.33327499998</v>
      </c>
      <c r="H21" s="29">
        <f t="shared" si="5"/>
        <v>155696.33327499998</v>
      </c>
      <c r="I21" s="29">
        <f t="shared" si="5"/>
        <v>166252.33327499998</v>
      </c>
      <c r="J21" s="29">
        <f t="shared" si="5"/>
        <v>176808.33327499998</v>
      </c>
      <c r="K21" s="29">
        <f t="shared" si="5"/>
        <v>187364.33327499998</v>
      </c>
      <c r="L21" s="29">
        <f t="shared" si="5"/>
        <v>197920.33327499998</v>
      </c>
      <c r="M21" s="29">
        <f t="shared" si="5"/>
        <v>208476.33327499998</v>
      </c>
      <c r="N21" s="29">
        <f t="shared" si="5"/>
        <v>219032.33327499998</v>
      </c>
      <c r="O21" s="29"/>
    </row>
    <row r="22" spans="1:15" ht="30" x14ac:dyDescent="0.25">
      <c r="A22" s="20" t="s">
        <v>296</v>
      </c>
      <c r="E22" s="29">
        <f t="shared" ref="E22:N22" si="6">E$20*(1+$D$7)</f>
        <v>248056.66654999999</v>
      </c>
      <c r="F22" s="29">
        <f t="shared" si="6"/>
        <v>269168.66654999997</v>
      </c>
      <c r="G22" s="29">
        <f t="shared" si="6"/>
        <v>290280.66654999997</v>
      </c>
      <c r="H22" s="29">
        <f t="shared" si="6"/>
        <v>311392.66654999997</v>
      </c>
      <c r="I22" s="29">
        <f t="shared" si="6"/>
        <v>332504.66654999997</v>
      </c>
      <c r="J22" s="29">
        <f t="shared" si="6"/>
        <v>353616.66654999997</v>
      </c>
      <c r="K22" s="29">
        <f t="shared" si="6"/>
        <v>374728.66654999997</v>
      </c>
      <c r="L22" s="29">
        <f t="shared" si="6"/>
        <v>395840.66654999997</v>
      </c>
      <c r="M22" s="29">
        <f t="shared" si="6"/>
        <v>416952.66654999997</v>
      </c>
      <c r="N22" s="29">
        <f t="shared" si="6"/>
        <v>438064.66654999997</v>
      </c>
      <c r="O22" s="29"/>
    </row>
    <row r="23" spans="1:15" x14ac:dyDescent="0.25">
      <c r="A23" s="2" t="s">
        <v>288</v>
      </c>
      <c r="E23" s="7">
        <f t="shared" ref="E23:N23" si="7">E$21/E$17</f>
        <v>24805.666655000001</v>
      </c>
      <c r="F23" s="7">
        <f t="shared" si="7"/>
        <v>14953.814808333331</v>
      </c>
      <c r="G23" s="7">
        <f t="shared" si="7"/>
        <v>11164.641021153844</v>
      </c>
      <c r="H23" s="7">
        <f t="shared" si="7"/>
        <v>9158.6078397058809</v>
      </c>
      <c r="I23" s="7">
        <f t="shared" si="7"/>
        <v>7916.7777749999996</v>
      </c>
      <c r="J23" s="7">
        <f t="shared" si="7"/>
        <v>7072.3333309999989</v>
      </c>
      <c r="K23" s="7">
        <f t="shared" si="7"/>
        <v>6460.8390784482754</v>
      </c>
      <c r="L23" s="7">
        <f t="shared" si="7"/>
        <v>5997.5858568181811</v>
      </c>
      <c r="M23" s="7">
        <f t="shared" si="7"/>
        <v>5634.4954939189183</v>
      </c>
      <c r="N23" s="7">
        <f t="shared" si="7"/>
        <v>5342.2520310975606</v>
      </c>
      <c r="O23" s="7"/>
    </row>
    <row r="24" spans="1:15" x14ac:dyDescent="0.25">
      <c r="A24" s="2" t="s">
        <v>290</v>
      </c>
      <c r="E24" s="7">
        <f t="shared" ref="E24:N24" si="8">E$21/E$18</f>
        <v>12402.8333275</v>
      </c>
      <c r="F24" s="7">
        <f t="shared" si="8"/>
        <v>7476.9074041666654</v>
      </c>
      <c r="G24" s="7">
        <f t="shared" si="8"/>
        <v>5582.3205105769221</v>
      </c>
      <c r="H24" s="7">
        <f t="shared" si="8"/>
        <v>4579.3039198529405</v>
      </c>
      <c r="I24" s="7">
        <f t="shared" si="8"/>
        <v>3958.3888874999998</v>
      </c>
      <c r="J24" s="7">
        <f t="shared" si="8"/>
        <v>3536.1666654999995</v>
      </c>
      <c r="K24" s="7">
        <f t="shared" si="8"/>
        <v>3230.4195392241377</v>
      </c>
      <c r="L24" s="7">
        <f t="shared" si="8"/>
        <v>2998.7929284090906</v>
      </c>
      <c r="M24" s="7">
        <f t="shared" si="8"/>
        <v>2817.2477469594592</v>
      </c>
      <c r="N24" s="7">
        <f t="shared" si="8"/>
        <v>2671.1260155487803</v>
      </c>
      <c r="O24" s="7"/>
    </row>
    <row r="25" spans="1:15" x14ac:dyDescent="0.25">
      <c r="A25" s="20" t="s">
        <v>291</v>
      </c>
      <c r="E25" s="29">
        <f t="shared" ref="E25:N25" si="9">$E$9*E$17</f>
        <v>36750</v>
      </c>
      <c r="F25" s="29">
        <f t="shared" si="9"/>
        <v>66150</v>
      </c>
      <c r="G25" s="29">
        <f t="shared" si="9"/>
        <v>95550</v>
      </c>
      <c r="H25" s="29">
        <f t="shared" si="9"/>
        <v>124950</v>
      </c>
      <c r="I25" s="29">
        <f t="shared" si="9"/>
        <v>154350</v>
      </c>
      <c r="J25" s="29">
        <f t="shared" si="9"/>
        <v>183750</v>
      </c>
      <c r="K25" s="29">
        <f t="shared" si="9"/>
        <v>213150</v>
      </c>
      <c r="L25" s="29">
        <f t="shared" si="9"/>
        <v>242550</v>
      </c>
      <c r="M25" s="29">
        <f t="shared" si="9"/>
        <v>271950</v>
      </c>
      <c r="N25" s="29">
        <f t="shared" si="9"/>
        <v>301350</v>
      </c>
      <c r="O25" s="29"/>
    </row>
    <row r="26" spans="1:15" ht="30" x14ac:dyDescent="0.25">
      <c r="A26" s="2" t="s">
        <v>294</v>
      </c>
      <c r="E26" s="36">
        <f t="shared" ref="E26:N26" si="10">E$21+E$25</f>
        <v>160778.33327499998</v>
      </c>
      <c r="F26" s="36">
        <f t="shared" si="10"/>
        <v>200734.33327499998</v>
      </c>
      <c r="G26" s="36">
        <f t="shared" si="10"/>
        <v>240690.33327499998</v>
      </c>
      <c r="H26" s="36">
        <f t="shared" si="10"/>
        <v>280646.33327499998</v>
      </c>
      <c r="I26" s="36">
        <f t="shared" si="10"/>
        <v>320602.33327499998</v>
      </c>
      <c r="J26" s="36">
        <f t="shared" si="10"/>
        <v>360558.33327499998</v>
      </c>
      <c r="K26" s="36">
        <f t="shared" si="10"/>
        <v>400514.33327499998</v>
      </c>
      <c r="L26" s="36">
        <f t="shared" si="10"/>
        <v>440470.33327499998</v>
      </c>
      <c r="M26" s="36">
        <f t="shared" si="10"/>
        <v>480426.33327499998</v>
      </c>
      <c r="N26" s="36">
        <f t="shared" si="10"/>
        <v>520382.33327499998</v>
      </c>
      <c r="O26" s="29"/>
    </row>
    <row r="27" spans="1:15" ht="30" x14ac:dyDescent="0.25">
      <c r="A27" s="2" t="s">
        <v>295</v>
      </c>
      <c r="E27" s="36">
        <f t="shared" ref="E27:N27" si="11">E$22+E$25</f>
        <v>284806.66654999997</v>
      </c>
      <c r="F27" s="36">
        <f t="shared" si="11"/>
        <v>335318.66654999997</v>
      </c>
      <c r="G27" s="36">
        <f t="shared" si="11"/>
        <v>385830.66654999997</v>
      </c>
      <c r="H27" s="36">
        <f t="shared" si="11"/>
        <v>436342.66654999997</v>
      </c>
      <c r="I27" s="36">
        <f t="shared" si="11"/>
        <v>486854.66654999997</v>
      </c>
      <c r="J27" s="36">
        <f t="shared" si="11"/>
        <v>537366.66654999997</v>
      </c>
      <c r="K27" s="36">
        <f t="shared" si="11"/>
        <v>587878.66654999997</v>
      </c>
      <c r="L27" s="36">
        <f t="shared" si="11"/>
        <v>638390.66654999997</v>
      </c>
      <c r="M27" s="36">
        <f t="shared" si="11"/>
        <v>688902.66654999997</v>
      </c>
      <c r="N27" s="36">
        <f t="shared" si="11"/>
        <v>739414.66654999997</v>
      </c>
      <c r="O27" s="29"/>
    </row>
    <row r="28" spans="1:15" x14ac:dyDescent="0.25">
      <c r="A28" s="2"/>
    </row>
    <row r="29" spans="1:15" ht="30" x14ac:dyDescent="0.25">
      <c r="A29" s="2" t="s">
        <v>369</v>
      </c>
      <c r="E29" s="7">
        <f>E$26-MOD(E$26,1000)</f>
        <v>160000</v>
      </c>
      <c r="F29" s="7">
        <f t="shared" ref="F29:N29" si="12">F$26-MOD(F$26,1000)</f>
        <v>200000</v>
      </c>
      <c r="G29" s="7">
        <f t="shared" si="12"/>
        <v>240000</v>
      </c>
      <c r="H29" s="7">
        <f t="shared" si="12"/>
        <v>280000</v>
      </c>
      <c r="I29" s="7">
        <f t="shared" si="12"/>
        <v>320000</v>
      </c>
      <c r="J29" s="7">
        <f t="shared" si="12"/>
        <v>360000</v>
      </c>
      <c r="K29" s="7">
        <f t="shared" si="12"/>
        <v>400000</v>
      </c>
      <c r="L29" s="7">
        <f t="shared" si="12"/>
        <v>440000</v>
      </c>
      <c r="M29" s="7">
        <f t="shared" si="12"/>
        <v>480000</v>
      </c>
      <c r="N29" s="7">
        <f t="shared" si="12"/>
        <v>520000</v>
      </c>
    </row>
    <row r="30" spans="1:15" ht="30" x14ac:dyDescent="0.25">
      <c r="A30" s="2" t="s">
        <v>370</v>
      </c>
      <c r="E30" s="7">
        <f>E$27-MOD(E$27,1000)</f>
        <v>284000</v>
      </c>
      <c r="F30" s="7">
        <f t="shared" ref="F30:N30" si="13">F$27-MOD(F$27,1000)</f>
        <v>335000</v>
      </c>
      <c r="G30" s="7">
        <f t="shared" si="13"/>
        <v>385000</v>
      </c>
      <c r="H30" s="7">
        <f t="shared" si="13"/>
        <v>436000</v>
      </c>
      <c r="I30" s="7">
        <f t="shared" si="13"/>
        <v>486000</v>
      </c>
      <c r="J30" s="7">
        <f t="shared" si="13"/>
        <v>537000</v>
      </c>
      <c r="K30" s="7">
        <f t="shared" si="13"/>
        <v>587000</v>
      </c>
      <c r="L30" s="7">
        <f t="shared" si="13"/>
        <v>638000</v>
      </c>
      <c r="M30" s="7">
        <f t="shared" si="13"/>
        <v>688000</v>
      </c>
      <c r="N30" s="7">
        <f t="shared" si="13"/>
        <v>739000</v>
      </c>
    </row>
    <row r="37" spans="1:14" x14ac:dyDescent="0.25">
      <c r="A37" s="2" t="s">
        <v>333</v>
      </c>
      <c r="E37" s="7">
        <f>E$26/(E$15)</f>
        <v>160778.33327499998</v>
      </c>
      <c r="F37" s="7">
        <f t="shared" ref="F37:N37" si="14">F$26/(F$16/5)</f>
        <v>125458.95829687499</v>
      </c>
      <c r="G37" s="7">
        <f t="shared" si="14"/>
        <v>100287.63886458334</v>
      </c>
      <c r="H37" s="7">
        <f t="shared" si="14"/>
        <v>87701.979148437487</v>
      </c>
      <c r="I37" s="7">
        <f t="shared" si="14"/>
        <v>80150.583318749996</v>
      </c>
      <c r="J37" s="7">
        <f t="shared" si="14"/>
        <v>75116.319432291668</v>
      </c>
      <c r="K37" s="7">
        <f t="shared" si="14"/>
        <v>71520.416656250003</v>
      </c>
      <c r="L37" s="7">
        <f t="shared" si="14"/>
        <v>68823.489574218736</v>
      </c>
      <c r="M37" s="7">
        <f t="shared" si="14"/>
        <v>66725.879621527769</v>
      </c>
      <c r="N37" s="7">
        <f t="shared" si="14"/>
        <v>65047.791659374998</v>
      </c>
    </row>
    <row r="38" spans="1:14" x14ac:dyDescent="0.25">
      <c r="A38" s="2" t="s">
        <v>334</v>
      </c>
      <c r="E38" s="7">
        <f>E$27/(E$16/5)</f>
        <v>356008.33318749996</v>
      </c>
      <c r="F38" s="7">
        <f t="shared" ref="F38:N38" si="15">F$27/(F$16/5)</f>
        <v>209574.16659374998</v>
      </c>
      <c r="G38" s="7">
        <f t="shared" si="15"/>
        <v>160762.77772916667</v>
      </c>
      <c r="H38" s="7">
        <f t="shared" si="15"/>
        <v>136357.08329687497</v>
      </c>
      <c r="I38" s="7">
        <f t="shared" si="15"/>
        <v>121713.66663749999</v>
      </c>
      <c r="J38" s="7">
        <f t="shared" si="15"/>
        <v>111951.38886458334</v>
      </c>
      <c r="K38" s="7">
        <f t="shared" si="15"/>
        <v>104978.33331250001</v>
      </c>
      <c r="L38" s="7">
        <f t="shared" si="15"/>
        <v>99748.541648437487</v>
      </c>
      <c r="M38" s="7">
        <f t="shared" si="15"/>
        <v>95680.925909722209</v>
      </c>
      <c r="N38" s="7">
        <f t="shared" si="15"/>
        <v>92426.833318749996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G38"/>
  <sheetViews>
    <sheetView topLeftCell="A10" workbookViewId="0">
      <selection activeCell="E29" sqref="E29:E3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E15">
        <v>5</v>
      </c>
      <c r="F15">
        <v>10</v>
      </c>
      <c r="G15">
        <v>20</v>
      </c>
    </row>
    <row r="16" spans="1:7" x14ac:dyDescent="0.25">
      <c r="A16" s="1" t="s">
        <v>343</v>
      </c>
      <c r="E16">
        <f>E$15*$F$6</f>
        <v>25</v>
      </c>
      <c r="F16">
        <f t="shared" ref="F16:G16" si="0">F$15*$F$6</f>
        <v>50</v>
      </c>
      <c r="G16">
        <f t="shared" si="0"/>
        <v>100</v>
      </c>
    </row>
    <row r="17" spans="1:7" ht="30" x14ac:dyDescent="0.25">
      <c r="A17" s="2" t="s">
        <v>297</v>
      </c>
      <c r="E17">
        <f>E$16/$D$6 +1</f>
        <v>26</v>
      </c>
      <c r="F17">
        <f>F$16/$D$6 +1</f>
        <v>51</v>
      </c>
      <c r="G17">
        <f>G$16/$D$6 +1</f>
        <v>101</v>
      </c>
    </row>
    <row r="18" spans="1:7" ht="30" x14ac:dyDescent="0.25">
      <c r="A18" s="2" t="s">
        <v>298</v>
      </c>
      <c r="E18">
        <f>E$17*$E$6</f>
        <v>26</v>
      </c>
      <c r="F18">
        <f>F$17*$E$6</f>
        <v>51</v>
      </c>
      <c r="G18">
        <f>G$17*$E$6</f>
        <v>101</v>
      </c>
    </row>
    <row r="19" spans="1:7" x14ac:dyDescent="0.25">
      <c r="A19" s="2" t="s">
        <v>292</v>
      </c>
      <c r="E19" s="36">
        <f>PhiMayInToner4M(E$18)</f>
        <v>82937.333299999998</v>
      </c>
      <c r="F19" s="36">
        <f>PhiMayInToner4M(F$18)</f>
        <v>101787.3333</v>
      </c>
      <c r="G19" s="36">
        <f>PhiMayInToner4M(G$18)</f>
        <v>139487.3333</v>
      </c>
    </row>
    <row r="20" spans="1:7" x14ac:dyDescent="0.25">
      <c r="A20" s="2" t="s">
        <v>300</v>
      </c>
      <c r="E20" s="36">
        <f>E$19*2</f>
        <v>165874.6666</v>
      </c>
      <c r="F20" s="36">
        <f>F$19*2</f>
        <v>203574.6666</v>
      </c>
      <c r="G20" s="36">
        <f>G$19*2</f>
        <v>278974.6666</v>
      </c>
    </row>
    <row r="21" spans="1:7" ht="30" x14ac:dyDescent="0.25">
      <c r="A21" s="20" t="s">
        <v>293</v>
      </c>
      <c r="E21" s="29">
        <f>E$19*(1+$D$7)</f>
        <v>145140.33327499998</v>
      </c>
      <c r="F21" s="29">
        <f>F$19*(1+$D$7)</f>
        <v>178127.83327499998</v>
      </c>
      <c r="G21" s="29">
        <f>G$19*(1+$D$7)</f>
        <v>244102.83327499998</v>
      </c>
    </row>
    <row r="22" spans="1:7" ht="30" x14ac:dyDescent="0.25">
      <c r="A22" s="20" t="s">
        <v>296</v>
      </c>
      <c r="E22" s="29">
        <f>E$20*(1+$D$7)</f>
        <v>290280.66654999997</v>
      </c>
      <c r="F22" s="29">
        <f>F$20*(1+$D$7)</f>
        <v>356255.66654999997</v>
      </c>
      <c r="G22" s="29">
        <f>G$20*(1+$D$7)</f>
        <v>488205.66654999997</v>
      </c>
    </row>
    <row r="23" spans="1:7" x14ac:dyDescent="0.25">
      <c r="A23" s="2" t="s">
        <v>288</v>
      </c>
      <c r="E23" s="7">
        <f>E$21/E$17</f>
        <v>5582.3205105769221</v>
      </c>
      <c r="F23" s="7">
        <f>F$21/F$17</f>
        <v>3492.7026132352939</v>
      </c>
      <c r="G23" s="7">
        <f>G$21/G$17</f>
        <v>2416.8597353960395</v>
      </c>
    </row>
    <row r="24" spans="1:7" x14ac:dyDescent="0.25">
      <c r="A24" s="2" t="s">
        <v>290</v>
      </c>
      <c r="E24" s="7">
        <f>E$21/E$18</f>
        <v>5582.3205105769221</v>
      </c>
      <c r="F24" s="7">
        <f>F$21/F$18</f>
        <v>3492.7026132352939</v>
      </c>
      <c r="G24" s="7">
        <f>G$21/G$18</f>
        <v>2416.8597353960395</v>
      </c>
    </row>
    <row r="25" spans="1:7" x14ac:dyDescent="0.25">
      <c r="A25" s="20" t="s">
        <v>291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7" ht="30" x14ac:dyDescent="0.25">
      <c r="A26" s="2" t="s">
        <v>294</v>
      </c>
      <c r="E26" s="36">
        <f>E$21+E$25</f>
        <v>193370.33327499998</v>
      </c>
      <c r="F26" s="36">
        <f>F$21+F$25</f>
        <v>272732.83327499998</v>
      </c>
      <c r="G26" s="36">
        <f>G$21+G$25</f>
        <v>431457.83327499998</v>
      </c>
    </row>
    <row r="27" spans="1:7" ht="30" x14ac:dyDescent="0.25">
      <c r="A27" s="2" t="s">
        <v>295</v>
      </c>
      <c r="E27" s="36">
        <f>E$22+E$25</f>
        <v>338510.66654999997</v>
      </c>
      <c r="F27" s="36">
        <f>F$22+F$25</f>
        <v>450860.66654999997</v>
      </c>
      <c r="G27" s="36">
        <f>G$22+G$25</f>
        <v>675560.66654999997</v>
      </c>
    </row>
    <row r="28" spans="1:7" x14ac:dyDescent="0.25">
      <c r="A28" s="2"/>
    </row>
    <row r="29" spans="1:7" x14ac:dyDescent="0.25">
      <c r="A29" s="2" t="s">
        <v>364</v>
      </c>
      <c r="E29" s="7">
        <f>E$26-MOD(E$26,1000)</f>
        <v>193000</v>
      </c>
      <c r="F29" s="7">
        <f t="shared" ref="F29:G29" si="1">F$26-MOD(F$26,1000)</f>
        <v>272000</v>
      </c>
      <c r="G29" s="7">
        <f t="shared" si="1"/>
        <v>431000</v>
      </c>
    </row>
    <row r="30" spans="1:7" x14ac:dyDescent="0.25">
      <c r="A30" s="2" t="s">
        <v>365</v>
      </c>
      <c r="E30" s="7">
        <f>E$27-MOD(E$27,1000)</f>
        <v>338000</v>
      </c>
      <c r="F30" s="7">
        <f t="shared" ref="F30:G30" si="2">F$27-MOD(F$27,1000)</f>
        <v>450000</v>
      </c>
      <c r="G30" s="7">
        <f t="shared" si="2"/>
        <v>675000</v>
      </c>
    </row>
    <row r="37" spans="1:6" x14ac:dyDescent="0.25">
      <c r="A37" s="2" t="s">
        <v>333</v>
      </c>
      <c r="E37" s="7">
        <f>E$26/(E$16/E$15)</f>
        <v>38674.066654999995</v>
      </c>
      <c r="F37" s="7">
        <f t="shared" ref="F37" si="3">F$26/(F$16/F$15)</f>
        <v>54546.566654999995</v>
      </c>
    </row>
    <row r="38" spans="1:6" x14ac:dyDescent="0.25">
      <c r="A38" s="2" t="s">
        <v>334</v>
      </c>
      <c r="E38" s="7">
        <f>E$27/(E$16/E$15)</f>
        <v>67702.13330999999</v>
      </c>
      <c r="F38" s="7">
        <f t="shared" ref="F38" si="4">F$27/(F$16/F$15)</f>
        <v>90172.13330999999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1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9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64841.333299999998</v>
      </c>
      <c r="M23" s="36">
        <f t="shared" si="5"/>
        <v>140241.3333</v>
      </c>
      <c r="N23" s="36">
        <f t="shared" si="5"/>
        <v>177941.3333</v>
      </c>
      <c r="O23" s="36">
        <f t="shared" si="5"/>
        <v>215641.3333</v>
      </c>
      <c r="P23" s="36">
        <f t="shared" si="5"/>
        <v>253341.3333</v>
      </c>
      <c r="Q23" s="36">
        <f t="shared" si="5"/>
        <v>291041.3333</v>
      </c>
      <c r="R23" s="36">
        <f t="shared" si="5"/>
        <v>366441.3333</v>
      </c>
    </row>
    <row r="24" spans="1:18" x14ac:dyDescent="0.25">
      <c r="A24" s="2" t="s">
        <v>292</v>
      </c>
      <c r="C24" s="36">
        <f t="shared" ref="C23:H24" si="6">PhiMayInToner4M(C$21)</f>
        <v>140241.3333</v>
      </c>
      <c r="D24" s="36">
        <f t="shared" si="6"/>
        <v>177941.3333</v>
      </c>
      <c r="E24" s="36">
        <f t="shared" si="6"/>
        <v>215641.3333</v>
      </c>
      <c r="F24" s="36">
        <f t="shared" si="6"/>
        <v>253341.3333</v>
      </c>
      <c r="G24" s="36">
        <f t="shared" si="6"/>
        <v>291041.3333</v>
      </c>
      <c r="H24" s="36">
        <f t="shared" si="6"/>
        <v>366441.3333</v>
      </c>
      <c r="L24" s="36">
        <f t="shared" ref="L24:R24" si="7">L$23*2</f>
        <v>129682.6666</v>
      </c>
      <c r="M24" s="36">
        <f t="shared" si="7"/>
        <v>280482.6666</v>
      </c>
      <c r="N24" s="36">
        <f t="shared" si="7"/>
        <v>355882.6666</v>
      </c>
      <c r="O24" s="36">
        <f t="shared" si="7"/>
        <v>431282.6666</v>
      </c>
      <c r="P24" s="36">
        <f t="shared" si="7"/>
        <v>506682.6666</v>
      </c>
      <c r="Q24" s="36">
        <f t="shared" si="7"/>
        <v>582082.6666</v>
      </c>
      <c r="R24" s="36">
        <f t="shared" si="7"/>
        <v>732882.6666</v>
      </c>
    </row>
    <row r="25" spans="1:18" x14ac:dyDescent="0.25">
      <c r="A25" s="2" t="s">
        <v>300</v>
      </c>
      <c r="C25" s="36">
        <f>C$24*2</f>
        <v>280482.6666</v>
      </c>
      <c r="D25" s="36">
        <f>D$24*2</f>
        <v>355882.6666</v>
      </c>
      <c r="E25" s="36">
        <f>E$24*2</f>
        <v>431282.6666</v>
      </c>
      <c r="F25" s="36">
        <f>F$24*2</f>
        <v>506682.6666</v>
      </c>
      <c r="G25" s="36">
        <f>G$24*2</f>
        <v>582082.6666</v>
      </c>
      <c r="H25" s="36">
        <f>H$24*2</f>
        <v>732882.6666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5:H26" si="8">C$20*$D$10</f>
        <v>74256</v>
      </c>
      <c r="D26" s="36">
        <f t="shared" si="8"/>
        <v>110656</v>
      </c>
      <c r="E26" s="36">
        <f t="shared" si="8"/>
        <v>147056</v>
      </c>
      <c r="F26" s="36">
        <f t="shared" si="8"/>
        <v>183456</v>
      </c>
      <c r="G26" s="36">
        <f t="shared" si="8"/>
        <v>219856</v>
      </c>
      <c r="H26" s="36">
        <f t="shared" si="8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6:H27" si="9">PhiMayCanGap(C$19)</f>
        <v>64791.666700000002</v>
      </c>
      <c r="D27" s="7">
        <f t="shared" si="9"/>
        <v>66354.166700000002</v>
      </c>
      <c r="E27" s="7">
        <f t="shared" si="9"/>
        <v>67916.666700000002</v>
      </c>
      <c r="F27" s="7">
        <f t="shared" si="9"/>
        <v>69479.166700000002</v>
      </c>
      <c r="G27" s="7">
        <f t="shared" si="9"/>
        <v>71041.666700000002</v>
      </c>
      <c r="H27" s="7">
        <f t="shared" si="9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>PhiMayBeTruyenThong(C$22) + $E$16</f>
        <v>216250</v>
      </c>
      <c r="D28" s="7">
        <f t="shared" ref="D28:H28" si="10">PhiMayBeTruyenThong(D$22) + $E$16</f>
        <v>226666.6667</v>
      </c>
      <c r="E28" s="7">
        <f t="shared" si="10"/>
        <v>237083.3333</v>
      </c>
      <c r="F28" s="7">
        <f t="shared" si="10"/>
        <v>247500</v>
      </c>
      <c r="G28" s="7">
        <f t="shared" si="10"/>
        <v>257916.6667</v>
      </c>
      <c r="H28" s="7">
        <f t="shared" si="10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>PhiLDPT_DanFolder(C$23)</f>
        <v>2946.6668</v>
      </c>
      <c r="D29" s="7">
        <f>PhiLDPT_DanFolder(D$23)</f>
        <v>4391.1108999999997</v>
      </c>
      <c r="E29" s="7">
        <f>PhiLDPT_DanFolder(E$23)</f>
        <v>5835.5556999999999</v>
      </c>
      <c r="F29" s="7">
        <f>PhiLDPT_DanFolder(F$23)</f>
        <v>7280</v>
      </c>
      <c r="G29" s="7">
        <f>PhiLDPT_DanFolder(G$23)</f>
        <v>8724.4444000000003</v>
      </c>
      <c r="H29" s="7">
        <f>PhiLDPT_DanFolder(H$23)</f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113472.333275</v>
      </c>
      <c r="M30" s="29">
        <f t="shared" ref="M30:R30" si="11">M$23*(1+$D$8)</f>
        <v>245422.33327499998</v>
      </c>
      <c r="N30" s="29">
        <f t="shared" si="11"/>
        <v>311397.33327499998</v>
      </c>
      <c r="O30" s="29">
        <f t="shared" si="11"/>
        <v>377372.33327499998</v>
      </c>
      <c r="P30" s="29">
        <f t="shared" si="11"/>
        <v>443347.33327499998</v>
      </c>
      <c r="Q30" s="29">
        <f t="shared" si="11"/>
        <v>509322.33327499998</v>
      </c>
      <c r="R30" s="29">
        <f t="shared" si="11"/>
        <v>641272.33327499998</v>
      </c>
    </row>
    <row r="31" spans="1:18" ht="30" x14ac:dyDescent="0.25">
      <c r="A31" s="2" t="s">
        <v>352</v>
      </c>
      <c r="C31" s="29">
        <f>(C$24 + SUM(C$26:C$29))*(1+$D$8)</f>
        <v>872349.91690000007</v>
      </c>
      <c r="D31" s="29">
        <f t="shared" ref="D31:H31" si="12">(D$24 + SUM(D$26:D$29))*(1+$D$8)</f>
        <v>1025516.2357999999</v>
      </c>
      <c r="E31" s="29">
        <f t="shared" si="12"/>
        <v>1178682.5557499998</v>
      </c>
      <c r="F31" s="29">
        <f t="shared" si="12"/>
        <v>1331848.875</v>
      </c>
      <c r="G31" s="29">
        <f t="shared" si="12"/>
        <v>1485015.1944250001</v>
      </c>
      <c r="H31" s="29">
        <f t="shared" si="12"/>
        <v>1791347.8329249998</v>
      </c>
      <c r="L31" s="29">
        <f>L$24*(1+$D$8)</f>
        <v>226944.66654999999</v>
      </c>
      <c r="M31" s="29">
        <f t="shared" ref="M31:R31" si="13">M$24*(1+$D$8)</f>
        <v>490844.66654999997</v>
      </c>
      <c r="N31" s="29">
        <f t="shared" si="13"/>
        <v>622794.66654999997</v>
      </c>
      <c r="O31" s="29">
        <f t="shared" si="13"/>
        <v>754744.66654999997</v>
      </c>
      <c r="P31" s="29">
        <f t="shared" si="13"/>
        <v>886694.66654999997</v>
      </c>
      <c r="Q31" s="29">
        <f t="shared" si="13"/>
        <v>1018644.66655</v>
      </c>
      <c r="R31" s="29">
        <f t="shared" si="13"/>
        <v>1282544.66655</v>
      </c>
    </row>
    <row r="32" spans="1:18" ht="30" x14ac:dyDescent="0.25">
      <c r="A32" s="2" t="s">
        <v>353</v>
      </c>
      <c r="C32" s="29">
        <f>(C$25 + SUM(C$26:C$29))*(1+$D$8)</f>
        <v>1117772.2501750002</v>
      </c>
      <c r="D32" s="29">
        <f t="shared" ref="D32:H32" si="14">(D$25 + SUM(D$26:D$29))*(1+$D$8)</f>
        <v>1336913.569075</v>
      </c>
      <c r="E32" s="29">
        <f t="shared" si="14"/>
        <v>1556054.8890249999</v>
      </c>
      <c r="F32" s="29">
        <f t="shared" si="14"/>
        <v>1775196.2082750001</v>
      </c>
      <c r="G32" s="29">
        <f t="shared" si="14"/>
        <v>1994337.5277</v>
      </c>
      <c r="H32" s="29">
        <f t="shared" si="14"/>
        <v>2432620.1661999999</v>
      </c>
      <c r="L32" s="7">
        <f t="shared" ref="L32:R32" si="15">L$30/L$20</f>
        <v>113472.333275</v>
      </c>
      <c r="M32" s="7">
        <f t="shared" si="15"/>
        <v>4812.2026132352939</v>
      </c>
      <c r="N32" s="7">
        <f t="shared" si="15"/>
        <v>4097.3333325657895</v>
      </c>
      <c r="O32" s="7">
        <f t="shared" si="15"/>
        <v>3736.3597353960395</v>
      </c>
      <c r="P32" s="7">
        <f t="shared" si="15"/>
        <v>3518.6296291666667</v>
      </c>
      <c r="Q32" s="7">
        <f t="shared" si="15"/>
        <v>3372.9955846026487</v>
      </c>
      <c r="R32" s="7">
        <f t="shared" si="15"/>
        <v>3190.4096182835819</v>
      </c>
    </row>
    <row r="33" spans="1:18" x14ac:dyDescent="0.25">
      <c r="A33" s="2" t="s">
        <v>354</v>
      </c>
      <c r="C33" s="7">
        <f>C$31/C$19</f>
        <v>17446.998338000001</v>
      </c>
      <c r="D33" s="7">
        <f>D$31/D$19</f>
        <v>13673.549810666666</v>
      </c>
      <c r="E33" s="7">
        <f>E$31/E$19</f>
        <v>11786.825557499998</v>
      </c>
      <c r="F33" s="7">
        <f>F$31/F$19</f>
        <v>10654.790999999999</v>
      </c>
      <c r="G33" s="7">
        <f>G$31/G$19</f>
        <v>9900.1012961666675</v>
      </c>
      <c r="H33" s="7">
        <f>H$31/H$19</f>
        <v>8956.739164624998</v>
      </c>
      <c r="L33" s="7">
        <f t="shared" ref="L33:R33" si="16">L$30/L$21</f>
        <v>56736.166637499999</v>
      </c>
      <c r="M33" s="7">
        <f t="shared" si="16"/>
        <v>2406.101306617647</v>
      </c>
      <c r="N33" s="7">
        <f t="shared" si="16"/>
        <v>2048.6666662828948</v>
      </c>
      <c r="O33" s="7">
        <f t="shared" si="16"/>
        <v>1868.1798676980197</v>
      </c>
      <c r="P33" s="7">
        <f t="shared" si="16"/>
        <v>1759.3148145833334</v>
      </c>
      <c r="Q33" s="7">
        <f t="shared" si="16"/>
        <v>1686.4977923013244</v>
      </c>
      <c r="R33" s="7">
        <f t="shared" si="16"/>
        <v>1595.204809141791</v>
      </c>
    </row>
    <row r="34" spans="1:18" x14ac:dyDescent="0.25">
      <c r="A34" s="2" t="s">
        <v>355</v>
      </c>
      <c r="C34" s="7">
        <f>C$32/C$19</f>
        <v>22355.445003500005</v>
      </c>
      <c r="D34" s="7">
        <f>D$32/D$19</f>
        <v>17825.514254333335</v>
      </c>
      <c r="E34" s="7">
        <f>E$32/E$19</f>
        <v>15560.54889025</v>
      </c>
      <c r="F34" s="7">
        <f>F$32/F$19</f>
        <v>14201.569666200001</v>
      </c>
      <c r="G34" s="7">
        <f>G$32/G$19</f>
        <v>13295.583517999999</v>
      </c>
      <c r="H34" s="7">
        <f>H$32/H$19</f>
        <v>12163.100831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17">L$31+L$20*$E$10</f>
        <v>229492.66654999999</v>
      </c>
      <c r="M35" s="29">
        <f t="shared" si="17"/>
        <v>620792.66654999997</v>
      </c>
      <c r="N35" s="29">
        <f t="shared" si="17"/>
        <v>816442.66654999997</v>
      </c>
      <c r="O35" s="29">
        <f t="shared" si="17"/>
        <v>1012092.66655</v>
      </c>
      <c r="P35" s="29">
        <f t="shared" si="17"/>
        <v>1207742.66655</v>
      </c>
      <c r="Q35" s="29">
        <f t="shared" si="17"/>
        <v>1403392.66655</v>
      </c>
      <c r="R35" s="29">
        <f t="shared" si="17"/>
        <v>1794692.66655</v>
      </c>
    </row>
    <row r="36" spans="1:18" ht="30" x14ac:dyDescent="0.25">
      <c r="A36" s="2" t="s">
        <v>371</v>
      </c>
      <c r="C36" s="7">
        <f>C$31-MOD(C$31,1000)</f>
        <v>872000</v>
      </c>
      <c r="D36" s="7">
        <f>D$31-MOD(D$31,1000)</f>
        <v>1025000</v>
      </c>
      <c r="E36" s="7">
        <f>E$31-MOD(E$31,1000)</f>
        <v>1178000</v>
      </c>
      <c r="F36" s="7">
        <f>F$31-MOD(F$31,1000)</f>
        <v>1331000</v>
      </c>
      <c r="G36" s="7">
        <f>G$31-MOD(G$31,1000)</f>
        <v>1485000</v>
      </c>
      <c r="H36" s="7">
        <f>H$31-MOD(H$31,1000)</f>
        <v>1791000</v>
      </c>
      <c r="L36" s="29">
        <f t="shared" ref="L36:R36" si="18">L$31+L$20*$E$11</f>
        <v>226944.66654999999</v>
      </c>
      <c r="M36" s="29">
        <f t="shared" si="18"/>
        <v>490844.66654999997</v>
      </c>
      <c r="N36" s="29">
        <f t="shared" si="18"/>
        <v>622794.66654999997</v>
      </c>
      <c r="O36" s="29">
        <f t="shared" si="18"/>
        <v>754744.66654999997</v>
      </c>
      <c r="P36" s="29">
        <f t="shared" si="18"/>
        <v>886694.66654999997</v>
      </c>
      <c r="Q36" s="29">
        <f t="shared" si="18"/>
        <v>1018644.66655</v>
      </c>
      <c r="R36" s="29">
        <f t="shared" si="18"/>
        <v>1282544.66655</v>
      </c>
    </row>
    <row r="37" spans="1:18" ht="30" x14ac:dyDescent="0.25">
      <c r="A37" s="2" t="s">
        <v>372</v>
      </c>
      <c r="C37" s="7">
        <f>C$32-MOD(C$32,1000)</f>
        <v>1117000</v>
      </c>
      <c r="D37" s="7">
        <f>D$32-MOD(D$32,1000)</f>
        <v>1336000</v>
      </c>
      <c r="E37" s="7">
        <f>E$32-MOD(E$32,1000)</f>
        <v>1556000</v>
      </c>
      <c r="F37" s="7">
        <f>F$32-MOD(F$32,1000)</f>
        <v>1775000</v>
      </c>
      <c r="G37" s="7">
        <f>G$32-MOD(G$32,1000)</f>
        <v>1994000</v>
      </c>
      <c r="H37" s="7">
        <f>H$32-MOD(H$32,1000)</f>
        <v>2432000</v>
      </c>
    </row>
    <row r="38" spans="1:18" x14ac:dyDescent="0.25">
      <c r="L38" s="7">
        <f>PhiMayCanGap(L$19)*(1+$D$8)</f>
        <v>108026.041725</v>
      </c>
      <c r="M38" s="7">
        <f t="shared" ref="M38:R38" si="19">PhiMayCanGap(M$19)*(1+$D$8)</f>
        <v>113385.416725</v>
      </c>
      <c r="N38" s="7">
        <f t="shared" si="19"/>
        <v>116119.791725</v>
      </c>
      <c r="O38" s="7">
        <f t="shared" si="19"/>
        <v>118854.166725</v>
      </c>
      <c r="P38" s="7">
        <f t="shared" si="19"/>
        <v>121588.541725</v>
      </c>
      <c r="Q38" s="7">
        <f t="shared" si="19"/>
        <v>124322.916725</v>
      </c>
      <c r="R38" s="7">
        <f t="shared" si="19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0">L$38*1.2</f>
        <v>129631.25006999999</v>
      </c>
      <c r="M39" s="7">
        <f t="shared" si="20"/>
        <v>136062.50007000001</v>
      </c>
      <c r="N39" s="7">
        <f t="shared" si="20"/>
        <v>139343.75007000001</v>
      </c>
      <c r="O39" s="7">
        <f t="shared" si="20"/>
        <v>142625.00007000001</v>
      </c>
      <c r="P39" s="7">
        <f t="shared" si="20"/>
        <v>145906.25007000001</v>
      </c>
      <c r="Q39" s="7">
        <f t="shared" si="20"/>
        <v>149187.50007000001</v>
      </c>
      <c r="R39" s="7">
        <f t="shared" si="20"/>
        <v>155750.00007000001</v>
      </c>
    </row>
    <row r="40" spans="1:18" x14ac:dyDescent="0.25">
      <c r="L40" s="7">
        <f t="shared" si="20"/>
        <v>129631.25006999999</v>
      </c>
      <c r="M40" s="7">
        <f t="shared" si="20"/>
        <v>136062.50007000001</v>
      </c>
      <c r="N40" s="7">
        <f t="shared" si="20"/>
        <v>139343.75007000001</v>
      </c>
      <c r="O40" s="7">
        <f t="shared" si="20"/>
        <v>142625.00007000001</v>
      </c>
      <c r="P40" s="7">
        <f t="shared" si="20"/>
        <v>145906.25007000001</v>
      </c>
      <c r="Q40" s="7">
        <f t="shared" si="20"/>
        <v>149187.50007000001</v>
      </c>
      <c r="R40" s="7">
        <f t="shared" si="20"/>
        <v>155750.00007000001</v>
      </c>
    </row>
    <row r="42" spans="1:18" x14ac:dyDescent="0.25">
      <c r="A42" s="2" t="s">
        <v>356</v>
      </c>
      <c r="C42" s="29">
        <f t="shared" ref="C42:H42" si="21">PhiMayCanMang(C$20,$C$5/100, $D$5/100)*(1+$D$8)+ C$20*$E$14</f>
        <v>153034.99924999999</v>
      </c>
      <c r="D42" s="29">
        <f t="shared" si="21"/>
        <v>165241.35232500001</v>
      </c>
      <c r="E42" s="29">
        <f t="shared" si="21"/>
        <v>176994.7641</v>
      </c>
      <c r="F42" s="29">
        <f t="shared" si="21"/>
        <v>189201.117</v>
      </c>
      <c r="G42" s="29">
        <f t="shared" si="21"/>
        <v>201407.4699</v>
      </c>
      <c r="H42" s="29">
        <f t="shared" si="21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2">PhiMayCanMang(M$20,$C$5/100, $D$5/100)*(1+$D$8)</f>
        <v>138298.03925</v>
      </c>
      <c r="N42" s="7">
        <f t="shared" si="22"/>
        <v>143280.39232500002</v>
      </c>
      <c r="O42" s="7">
        <f t="shared" si="22"/>
        <v>147809.80410000001</v>
      </c>
      <c r="P42" s="7">
        <f t="shared" si="22"/>
        <v>152792.15700000001</v>
      </c>
      <c r="Q42" s="7">
        <f t="shared" si="22"/>
        <v>157774.5099</v>
      </c>
      <c r="R42" s="7">
        <f t="shared" si="22"/>
        <v>167286.27457499999</v>
      </c>
    </row>
    <row r="43" spans="1:18" x14ac:dyDescent="0.25">
      <c r="A43" s="2" t="s">
        <v>317</v>
      </c>
      <c r="C43" s="7">
        <f t="shared" ref="C43:H43" si="23">C$42/C$19</f>
        <v>3060.6999849999997</v>
      </c>
      <c r="D43" s="7">
        <f t="shared" si="23"/>
        <v>2203.2180310000003</v>
      </c>
      <c r="E43" s="7">
        <f t="shared" si="23"/>
        <v>1769.947641</v>
      </c>
      <c r="F43" s="7">
        <f t="shared" si="23"/>
        <v>1513.6089360000001</v>
      </c>
      <c r="G43" s="7">
        <f t="shared" si="23"/>
        <v>1342.7164660000001</v>
      </c>
      <c r="H43" s="7">
        <f t="shared" si="23"/>
        <v>1126.8361728749999</v>
      </c>
      <c r="L43" s="7"/>
      <c r="M43" s="7">
        <f>M$20*$E$14/M$19</f>
        <v>294.73919999999998</v>
      </c>
      <c r="N43" s="7">
        <f t="shared" ref="N43:R43" si="24">N$20*$E$14/N$19</f>
        <v>292.81279999999998</v>
      </c>
      <c r="O43" s="7">
        <f t="shared" si="24"/>
        <v>291.84960000000001</v>
      </c>
      <c r="P43" s="7">
        <f t="shared" si="24"/>
        <v>291.27168</v>
      </c>
      <c r="Q43" s="7">
        <f t="shared" si="24"/>
        <v>290.88639999999998</v>
      </c>
      <c r="R43" s="7">
        <f t="shared" si="24"/>
        <v>290.40480000000002</v>
      </c>
    </row>
    <row r="44" spans="1:18" x14ac:dyDescent="0.25">
      <c r="A44" s="2" t="s">
        <v>309</v>
      </c>
      <c r="C44" s="7">
        <f t="shared" ref="C44:H44" si="25">PhiMayCanMang(C$20*2,$C$5/100, $D$5/100)*(1+$D$8)+ C$20*$E$14*2</f>
        <v>177736.665225</v>
      </c>
      <c r="D44" s="7">
        <f t="shared" si="25"/>
        <v>201696.42989999999</v>
      </c>
      <c r="E44" s="7">
        <f t="shared" si="25"/>
        <v>226109.13587499998</v>
      </c>
      <c r="F44" s="7">
        <f t="shared" si="25"/>
        <v>250068.90055000002</v>
      </c>
      <c r="G44" s="7">
        <f t="shared" si="25"/>
        <v>274481.60635000002</v>
      </c>
      <c r="H44" s="7">
        <f t="shared" si="25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26">C$44/C$19</f>
        <v>3554.7333045</v>
      </c>
      <c r="D45" s="7">
        <f t="shared" si="26"/>
        <v>2689.2857319999998</v>
      </c>
      <c r="E45" s="7">
        <f t="shared" si="26"/>
        <v>2261.0913587499999</v>
      </c>
      <c r="F45" s="7">
        <f t="shared" si="26"/>
        <v>2000.5512044000002</v>
      </c>
      <c r="G45" s="7">
        <f t="shared" si="26"/>
        <v>1829.8773756666667</v>
      </c>
      <c r="H45" s="7">
        <f t="shared" si="26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I29" sqref="I29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 t="shared" ref="F13:H13" si="0">F$12/$D$6 +1</f>
        <v>51</v>
      </c>
      <c r="G13">
        <f t="shared" si="0"/>
        <v>101</v>
      </c>
      <c r="H13">
        <f t="shared" si="0"/>
        <v>201</v>
      </c>
    </row>
    <row r="14" spans="1:8" ht="30" x14ac:dyDescent="0.25">
      <c r="A14" s="2" t="s">
        <v>298</v>
      </c>
      <c r="E14">
        <f>E$13*$E$6</f>
        <v>52</v>
      </c>
      <c r="F14">
        <f t="shared" ref="F14:H14" si="1">F$13*$E$6</f>
        <v>102</v>
      </c>
      <c r="G14">
        <f t="shared" si="1"/>
        <v>202</v>
      </c>
      <c r="H14">
        <f t="shared" si="1"/>
        <v>402</v>
      </c>
    </row>
    <row r="15" spans="1:8" x14ac:dyDescent="0.25">
      <c r="A15" s="2" t="s">
        <v>292</v>
      </c>
      <c r="E15" s="36">
        <f>PhiMayInToner4M(E$14)</f>
        <v>102541.3333</v>
      </c>
      <c r="F15" s="36">
        <f t="shared" ref="F15:H15" si="2">PhiMayInToner4M(F$14)</f>
        <v>140241.3333</v>
      </c>
      <c r="G15" s="36">
        <f t="shared" si="2"/>
        <v>215641.3333</v>
      </c>
      <c r="H15" s="36">
        <f t="shared" si="2"/>
        <v>366441.3333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 t="shared" ref="H16" si="3">H$13*$D$9</f>
        <v>251250</v>
      </c>
    </row>
    <row r="17" spans="1:8" x14ac:dyDescent="0.25">
      <c r="A17" s="2" t="s">
        <v>360</v>
      </c>
      <c r="E17" s="36">
        <f>SUM(E$15:E$16)</f>
        <v>135041.3333</v>
      </c>
      <c r="F17" s="36">
        <f t="shared" ref="F17:H17" si="4">SUM(F$15:F$16)</f>
        <v>203991.3333</v>
      </c>
      <c r="G17" s="36">
        <f t="shared" si="4"/>
        <v>341891.3333</v>
      </c>
      <c r="H17" s="36">
        <f t="shared" si="4"/>
        <v>617691.33330000006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236322.33327499998</v>
      </c>
      <c r="F23" s="29">
        <f t="shared" ref="F23:H23" si="5">F$17*(1+$D$7)</f>
        <v>356984.83327499998</v>
      </c>
      <c r="G23" s="29">
        <f t="shared" si="5"/>
        <v>598309.83327499998</v>
      </c>
      <c r="H23" s="29">
        <f t="shared" si="5"/>
        <v>1080959.8332750001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236000</v>
      </c>
      <c r="F25" s="7">
        <f t="shared" ref="F25:H25" si="6">F$23 - MOD(F$23,1000)</f>
        <v>356000</v>
      </c>
      <c r="G25" s="7">
        <f t="shared" si="6"/>
        <v>598000</v>
      </c>
      <c r="H25" s="7">
        <f t="shared" si="6"/>
        <v>1080000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workbookViewId="0">
      <selection activeCell="M15" sqref="M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377</v>
      </c>
      <c r="E21" s="29">
        <f>$E$9*E$13</f>
        <v>10560</v>
      </c>
      <c r="F21" s="29">
        <f>$E$9*F$13</f>
        <v>19008</v>
      </c>
      <c r="G21" s="29">
        <f t="shared" ref="G21:J21" si="8">$E$9*G$13</f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>$E$10*E$13</f>
        <v>12720</v>
      </c>
      <c r="F22" s="29">
        <f t="shared" ref="F22:J22" si="9">$E$10*F$13</f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>E$18+E$21</f>
        <v>285006.66654999997</v>
      </c>
      <c r="F24" s="29">
        <f t="shared" ref="F24:J24" si="10">F$18+F$21</f>
        <v>335678.66654999997</v>
      </c>
      <c r="G24" s="29">
        <f t="shared" si="10"/>
        <v>386350.66654999997</v>
      </c>
      <c r="H24" s="29">
        <f t="shared" si="10"/>
        <v>443356.66654999997</v>
      </c>
      <c r="I24" s="29">
        <f t="shared" si="10"/>
        <v>494028.66654999997</v>
      </c>
      <c r="J24" s="29">
        <f t="shared" si="10"/>
        <v>544700.66654999997</v>
      </c>
    </row>
    <row r="25" spans="1:10" ht="30" x14ac:dyDescent="0.25">
      <c r="A25" s="2" t="s">
        <v>380</v>
      </c>
      <c r="E25" s="29">
        <f>E$18+E$22</f>
        <v>287166.66654999997</v>
      </c>
      <c r="F25" s="29">
        <f t="shared" ref="F25:J25" si="11">F$18+F$22</f>
        <v>339566.66654999997</v>
      </c>
      <c r="G25" s="29">
        <f t="shared" si="11"/>
        <v>391966.66654999997</v>
      </c>
      <c r="H25" s="29">
        <f t="shared" si="11"/>
        <v>450916.66654999997</v>
      </c>
      <c r="I25" s="29">
        <f t="shared" si="11"/>
        <v>503316.66654999997</v>
      </c>
      <c r="J25" s="29">
        <f t="shared" si="11"/>
        <v>555716.66654999997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>E$24-MOD(E$24,1000)</f>
        <v>285000</v>
      </c>
      <c r="F27" s="7">
        <f t="shared" ref="F27:J27" si="12">F$24-MOD(F$24,1000)</f>
        <v>335000</v>
      </c>
      <c r="G27" s="7">
        <f t="shared" si="12"/>
        <v>386000</v>
      </c>
      <c r="H27" s="7">
        <f t="shared" si="12"/>
        <v>443000</v>
      </c>
      <c r="I27" s="7">
        <f t="shared" si="12"/>
        <v>494000</v>
      </c>
      <c r="J27" s="7">
        <f t="shared" si="12"/>
        <v>544000</v>
      </c>
    </row>
    <row r="28" spans="1:10" x14ac:dyDescent="0.25">
      <c r="A28" s="2" t="s">
        <v>382</v>
      </c>
      <c r="E28" s="7">
        <f>E$25-MOD(E$25,1000)</f>
        <v>287000</v>
      </c>
      <c r="F28" s="7">
        <f t="shared" ref="F28:J28" si="13">F$25-MOD(F$25,1000)</f>
        <v>339000</v>
      </c>
      <c r="G28" s="7">
        <f t="shared" si="13"/>
        <v>391000</v>
      </c>
      <c r="H28" s="7">
        <f t="shared" si="13"/>
        <v>450000</v>
      </c>
      <c r="I28" s="7">
        <f t="shared" si="13"/>
        <v>503000</v>
      </c>
      <c r="J28" s="7">
        <f t="shared" si="13"/>
        <v>555000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M24" sqref="M24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377</v>
      </c>
      <c r="E21" s="29">
        <f>$E$9*E$13</f>
        <v>14784</v>
      </c>
      <c r="F21" s="29">
        <f>$E$9*F$13</f>
        <v>27456</v>
      </c>
      <c r="G21" s="29">
        <f t="shared" ref="G21:J21" si="8">$E$9*G$13</f>
        <v>41184</v>
      </c>
      <c r="H21" s="29">
        <f t="shared" si="8"/>
        <v>53856</v>
      </c>
      <c r="I21" s="29">
        <f t="shared" si="8"/>
        <v>67584</v>
      </c>
      <c r="J21" s="29">
        <f t="shared" si="8"/>
        <v>80256</v>
      </c>
    </row>
    <row r="22" spans="1:10" x14ac:dyDescent="0.25">
      <c r="A22" s="2" t="s">
        <v>378</v>
      </c>
      <c r="E22" s="29">
        <f>$E$10*E$13</f>
        <v>17808</v>
      </c>
      <c r="F22" s="29">
        <f t="shared" ref="F22:J22" si="9">$E$10*F$13</f>
        <v>33072</v>
      </c>
      <c r="G22" s="29">
        <f t="shared" si="9"/>
        <v>49608</v>
      </c>
      <c r="H22" s="29">
        <f t="shared" si="9"/>
        <v>64872</v>
      </c>
      <c r="I22" s="29">
        <f t="shared" si="9"/>
        <v>81408</v>
      </c>
      <c r="J22" s="29">
        <f t="shared" si="9"/>
        <v>96672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>E$18+E$21</f>
        <v>310342.66654999997</v>
      </c>
      <c r="F24" s="29">
        <f t="shared" ref="F24:J24" si="10">F$18+F$21</f>
        <v>386350.66654999997</v>
      </c>
      <c r="G24" s="29">
        <f t="shared" si="10"/>
        <v>468692.66654999997</v>
      </c>
      <c r="H24" s="29">
        <f t="shared" si="10"/>
        <v>544700.66654999997</v>
      </c>
      <c r="I24" s="29">
        <f t="shared" si="10"/>
        <v>627042.66654999997</v>
      </c>
      <c r="J24" s="29">
        <f t="shared" si="10"/>
        <v>703050.66654999997</v>
      </c>
    </row>
    <row r="25" spans="1:10" ht="30" x14ac:dyDescent="0.25">
      <c r="A25" s="2" t="s">
        <v>380</v>
      </c>
      <c r="E25" s="29">
        <f>E$18+E$22</f>
        <v>313366.66654999997</v>
      </c>
      <c r="F25" s="29">
        <f t="shared" ref="F25:J25" si="11">F$18+F$22</f>
        <v>391966.66654999997</v>
      </c>
      <c r="G25" s="29">
        <f t="shared" si="11"/>
        <v>477116.66654999997</v>
      </c>
      <c r="H25" s="29">
        <f t="shared" si="11"/>
        <v>555716.66654999997</v>
      </c>
      <c r="I25" s="29">
        <f t="shared" si="11"/>
        <v>640866.66654999997</v>
      </c>
      <c r="J25" s="29">
        <f t="shared" si="11"/>
        <v>719466.66654999997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>E$24-MOD(E$24,1000)</f>
        <v>310000</v>
      </c>
      <c r="F27" s="7">
        <f t="shared" ref="F27:J27" si="12">F$24-MOD(F$24,1000)</f>
        <v>386000</v>
      </c>
      <c r="G27" s="7">
        <f t="shared" si="12"/>
        <v>468000</v>
      </c>
      <c r="H27" s="7">
        <f t="shared" si="12"/>
        <v>544000</v>
      </c>
      <c r="I27" s="7">
        <f t="shared" si="12"/>
        <v>627000</v>
      </c>
      <c r="J27" s="7">
        <f t="shared" si="12"/>
        <v>703000</v>
      </c>
    </row>
    <row r="28" spans="1:10" x14ac:dyDescent="0.25">
      <c r="A28" s="2" t="s">
        <v>382</v>
      </c>
      <c r="E28" s="7">
        <f>E$25-MOD(E$25,1000)</f>
        <v>313000</v>
      </c>
      <c r="F28" s="7">
        <f t="shared" ref="F28:J28" si="13">F$25-MOD(F$25,1000)</f>
        <v>391000</v>
      </c>
      <c r="G28" s="7">
        <f t="shared" si="13"/>
        <v>477000</v>
      </c>
      <c r="H28" s="7">
        <f t="shared" si="13"/>
        <v>555000</v>
      </c>
      <c r="I28" s="7">
        <f t="shared" si="13"/>
        <v>640000</v>
      </c>
      <c r="J28" s="7">
        <f t="shared" si="13"/>
        <v>719000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7" workbookViewId="0">
      <selection activeCell="I31" sqref="I31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>C$18*$E$7</f>
        <v>53</v>
      </c>
      <c r="D19">
        <f>D$18*$E$7</f>
        <v>103</v>
      </c>
      <c r="E19">
        <f>E$18*$E$7</f>
        <v>153</v>
      </c>
      <c r="F19">
        <f>F$18*$E$7</f>
        <v>203</v>
      </c>
      <c r="G19">
        <f>G$18*$E$7</f>
        <v>253</v>
      </c>
      <c r="H19">
        <f>H$18*$E$7</f>
        <v>303</v>
      </c>
      <c r="I19">
        <f>I$18*$E$7</f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1">D$18/3</f>
        <v>34.333333333333336</v>
      </c>
      <c r="E20" s="25">
        <f t="shared" si="1"/>
        <v>51</v>
      </c>
      <c r="F20" s="25">
        <f t="shared" si="1"/>
        <v>67.666666666666671</v>
      </c>
      <c r="G20" s="25">
        <f t="shared" si="1"/>
        <v>84.333333333333329</v>
      </c>
      <c r="H20" s="25">
        <f t="shared" si="1"/>
        <v>101</v>
      </c>
      <c r="I20" s="25">
        <f t="shared" si="1"/>
        <v>167.66666666666666</v>
      </c>
    </row>
    <row r="21" spans="1:9" x14ac:dyDescent="0.25">
      <c r="A21" s="2" t="s">
        <v>292</v>
      </c>
      <c r="C21" s="36">
        <f t="shared" ref="C21:I21" si="2">PhiMayInToner4M(C$19)</f>
        <v>103295.3333</v>
      </c>
      <c r="D21" s="36">
        <f t="shared" si="2"/>
        <v>140995.3333</v>
      </c>
      <c r="E21" s="36">
        <f t="shared" si="2"/>
        <v>178695.3333</v>
      </c>
      <c r="F21" s="36">
        <f t="shared" si="2"/>
        <v>216395.3333</v>
      </c>
      <c r="G21" s="36">
        <f t="shared" si="2"/>
        <v>254095.3333</v>
      </c>
      <c r="H21" s="36">
        <f t="shared" si="2"/>
        <v>291795.3333</v>
      </c>
      <c r="I21" s="36">
        <f t="shared" si="2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ht="30" x14ac:dyDescent="0.25">
      <c r="A23" s="2" t="s">
        <v>351</v>
      </c>
      <c r="C23" s="36">
        <f>C$18*$D$10/$F$10</f>
        <v>19345</v>
      </c>
      <c r="D23" s="36">
        <f t="shared" ref="D23:I25" si="3">D$18*$D$10/$F$10</f>
        <v>37595</v>
      </c>
      <c r="E23" s="36">
        <f t="shared" si="3"/>
        <v>55845</v>
      </c>
      <c r="F23" s="36">
        <f t="shared" si="3"/>
        <v>74095</v>
      </c>
      <c r="G23" s="36">
        <f t="shared" si="3"/>
        <v>92345</v>
      </c>
      <c r="H23" s="36">
        <f t="shared" si="3"/>
        <v>110595</v>
      </c>
      <c r="I23" s="36">
        <f t="shared" si="3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4">PhiMayBeTruyenThong(E$20) + $E$14</f>
        <v>286250</v>
      </c>
      <c r="F25" s="7">
        <f t="shared" si="4"/>
        <v>293333.3333</v>
      </c>
      <c r="G25" s="7">
        <f t="shared" si="4"/>
        <v>300000</v>
      </c>
      <c r="H25" s="7">
        <f t="shared" si="4"/>
        <v>307083.3333</v>
      </c>
      <c r="I25" s="7">
        <f t="shared" si="4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5">PhiLDPT_QuetKeoDanBaoThu(D$18)</f>
        <v>4463.3333000000002</v>
      </c>
      <c r="E26" s="7">
        <f t="shared" si="5"/>
        <v>6629.9998999999998</v>
      </c>
      <c r="F26" s="7">
        <f t="shared" si="5"/>
        <v>8796.6668000000009</v>
      </c>
      <c r="G26" s="7">
        <f t="shared" si="5"/>
        <v>10963.333000000001</v>
      </c>
      <c r="H26" s="7">
        <f t="shared" si="5"/>
        <v>13129.999900000001</v>
      </c>
      <c r="I26" s="7">
        <f t="shared" si="5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6">SUM(D$21:D$26)</f>
        <v>462220.3333</v>
      </c>
      <c r="E27" s="29">
        <f t="shared" si="6"/>
        <v>527420.33319999999</v>
      </c>
      <c r="F27" s="29">
        <f t="shared" si="6"/>
        <v>592620.3334</v>
      </c>
      <c r="G27" s="29">
        <f t="shared" si="6"/>
        <v>657403.66630000004</v>
      </c>
      <c r="H27" s="29">
        <f t="shared" si="6"/>
        <v>722603.66650000005</v>
      </c>
      <c r="I27" s="29">
        <f t="shared" si="6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7">D$27*(1+$D$8)</f>
        <v>808885.58327499998</v>
      </c>
      <c r="E28" s="29">
        <f t="shared" si="7"/>
        <v>922985.58309999993</v>
      </c>
      <c r="F28" s="29">
        <f t="shared" si="7"/>
        <v>1037085.58345</v>
      </c>
      <c r="G28" s="29">
        <f t="shared" si="7"/>
        <v>1150456.4160250002</v>
      </c>
      <c r="H28" s="29">
        <f t="shared" si="7"/>
        <v>1264556.416375</v>
      </c>
      <c r="I28" s="29">
        <f t="shared" si="7"/>
        <v>1720227.248775</v>
      </c>
    </row>
    <row r="29" spans="1:9" x14ac:dyDescent="0.25">
      <c r="A29" s="2" t="s">
        <v>395</v>
      </c>
      <c r="C29" s="7">
        <f t="shared" ref="C29:I29" si="8">C$27/C$17</f>
        <v>7948.739998</v>
      </c>
      <c r="D29" s="7">
        <f t="shared" si="8"/>
        <v>4622.2033330000004</v>
      </c>
      <c r="E29" s="7">
        <f t="shared" si="8"/>
        <v>3516.1355546666668</v>
      </c>
      <c r="F29" s="7">
        <f t="shared" si="8"/>
        <v>2963.1016669999999</v>
      </c>
      <c r="G29" s="7">
        <f t="shared" si="8"/>
        <v>2629.6146652000002</v>
      </c>
      <c r="H29" s="7">
        <f t="shared" si="8"/>
        <v>2408.6788883333334</v>
      </c>
      <c r="I29" s="7">
        <f t="shared" si="8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9">D$28-MOD(D$28,1000)</f>
        <v>808000</v>
      </c>
      <c r="E31" s="7">
        <f t="shared" si="9"/>
        <v>922000</v>
      </c>
      <c r="F31" s="7">
        <f t="shared" si="9"/>
        <v>1037000</v>
      </c>
      <c r="G31" s="7">
        <f t="shared" si="9"/>
        <v>1150000</v>
      </c>
      <c r="H31" s="7">
        <f t="shared" si="9"/>
        <v>1264000</v>
      </c>
      <c r="I31" s="7">
        <f t="shared" si="9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dimension ref="A1:I31"/>
  <sheetViews>
    <sheetView topLeftCell="A13" workbookViewId="0">
      <selection activeCell="I19" sqref="I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>C$18*$E$7</f>
        <v>53</v>
      </c>
      <c r="D19">
        <f>D$18*$E$7</f>
        <v>103</v>
      </c>
      <c r="E19">
        <f>E$18*$E$7</f>
        <v>153</v>
      </c>
      <c r="F19">
        <f>F$18*$E$7</f>
        <v>203</v>
      </c>
      <c r="G19">
        <f>G$18*$E$7</f>
        <v>253</v>
      </c>
      <c r="H19">
        <f>H$18*$E$7</f>
        <v>303</v>
      </c>
      <c r="I19">
        <f>I$18*$E$7</f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1">D$18/3</f>
        <v>34.333333333333336</v>
      </c>
      <c r="E20" s="25">
        <f t="shared" si="1"/>
        <v>51</v>
      </c>
      <c r="F20" s="25">
        <f t="shared" si="1"/>
        <v>67.666666666666671</v>
      </c>
      <c r="G20" s="25">
        <f t="shared" si="1"/>
        <v>84.333333333333329</v>
      </c>
      <c r="H20" s="25">
        <f t="shared" si="1"/>
        <v>101</v>
      </c>
      <c r="I20" s="25">
        <f t="shared" si="1"/>
        <v>167.66666666666666</v>
      </c>
    </row>
    <row r="21" spans="1:9" x14ac:dyDescent="0.25">
      <c r="A21" s="2" t="s">
        <v>292</v>
      </c>
      <c r="C21" s="36">
        <f t="shared" ref="C21:I21" si="2">PhiMayInToner4M(C$19)</f>
        <v>103295.3333</v>
      </c>
      <c r="D21" s="36">
        <f t="shared" si="2"/>
        <v>140995.3333</v>
      </c>
      <c r="E21" s="36">
        <f t="shared" si="2"/>
        <v>178695.3333</v>
      </c>
      <c r="F21" s="36">
        <f t="shared" si="2"/>
        <v>216395.3333</v>
      </c>
      <c r="G21" s="36">
        <f t="shared" si="2"/>
        <v>254095.3333</v>
      </c>
      <c r="H21" s="36">
        <f t="shared" si="2"/>
        <v>291795.3333</v>
      </c>
      <c r="I21" s="36">
        <f t="shared" si="2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3">D$18*$D$10/$F$10</f>
        <v>37595</v>
      </c>
      <c r="E23" s="36">
        <f t="shared" si="3"/>
        <v>55845</v>
      </c>
      <c r="F23" s="36">
        <f t="shared" si="3"/>
        <v>74095</v>
      </c>
      <c r="G23" s="36">
        <f t="shared" si="3"/>
        <v>92345</v>
      </c>
      <c r="H23" s="36">
        <f t="shared" si="3"/>
        <v>110595</v>
      </c>
      <c r="I23" s="36">
        <f t="shared" si="3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4">PhiMayBeTruyenThong(E$20) + $E$14</f>
        <v>286250</v>
      </c>
      <c r="F25" s="7">
        <f t="shared" si="4"/>
        <v>293333.3333</v>
      </c>
      <c r="G25" s="7">
        <f t="shared" si="4"/>
        <v>300000</v>
      </c>
      <c r="H25" s="7">
        <f t="shared" si="4"/>
        <v>307083.3333</v>
      </c>
      <c r="I25" s="7">
        <f t="shared" si="4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5">PhiLDPT_QuetKeoDanBaoThu(D$18)</f>
        <v>4463.3333000000002</v>
      </c>
      <c r="E26" s="7">
        <f t="shared" si="5"/>
        <v>6629.9998999999998</v>
      </c>
      <c r="F26" s="7">
        <f t="shared" si="5"/>
        <v>8796.6668000000009</v>
      </c>
      <c r="G26" s="7">
        <f t="shared" si="5"/>
        <v>10963.333000000001</v>
      </c>
      <c r="H26" s="7">
        <f t="shared" si="5"/>
        <v>13129.999900000001</v>
      </c>
      <c r="I26" s="7">
        <f t="shared" si="5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6">SUM(D$21:D$26)</f>
        <v>462220.3333</v>
      </c>
      <c r="E27" s="29">
        <f t="shared" si="6"/>
        <v>527420.33319999999</v>
      </c>
      <c r="F27" s="29">
        <f t="shared" si="6"/>
        <v>592620.3334</v>
      </c>
      <c r="G27" s="29">
        <f t="shared" si="6"/>
        <v>657403.66630000004</v>
      </c>
      <c r="H27" s="29">
        <f t="shared" si="6"/>
        <v>722603.66650000005</v>
      </c>
      <c r="I27" s="29">
        <f t="shared" si="6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7">D$27*(1+$D$8)</f>
        <v>808885.58327499998</v>
      </c>
      <c r="E28" s="29">
        <f t="shared" si="7"/>
        <v>922985.58309999993</v>
      </c>
      <c r="F28" s="29">
        <f t="shared" si="7"/>
        <v>1037085.58345</v>
      </c>
      <c r="G28" s="29">
        <f t="shared" si="7"/>
        <v>1150456.4160250002</v>
      </c>
      <c r="H28" s="29">
        <f t="shared" si="7"/>
        <v>1264556.416375</v>
      </c>
      <c r="I28" s="29">
        <f t="shared" si="7"/>
        <v>1720227.248775</v>
      </c>
    </row>
    <row r="29" spans="1:9" x14ac:dyDescent="0.25">
      <c r="A29" s="2" t="s">
        <v>395</v>
      </c>
      <c r="C29" s="7">
        <f t="shared" ref="C29:I29" si="8">C$27/C$17</f>
        <v>7948.739998</v>
      </c>
      <c r="D29" s="7">
        <f t="shared" si="8"/>
        <v>4622.2033330000004</v>
      </c>
      <c r="E29" s="7">
        <f t="shared" si="8"/>
        <v>3516.1355546666668</v>
      </c>
      <c r="F29" s="7">
        <f t="shared" si="8"/>
        <v>2963.1016669999999</v>
      </c>
      <c r="G29" s="7">
        <f t="shared" si="8"/>
        <v>2629.6146652000002</v>
      </c>
      <c r="H29" s="7">
        <f t="shared" si="8"/>
        <v>2408.6788883333334</v>
      </c>
      <c r="I29" s="7">
        <f t="shared" si="8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9">D$28-MOD(D$28,1000)</f>
        <v>808000</v>
      </c>
      <c r="E31" s="7">
        <f t="shared" si="9"/>
        <v>922000</v>
      </c>
      <c r="F31" s="7">
        <f t="shared" si="9"/>
        <v>1037000</v>
      </c>
      <c r="G31" s="7">
        <f t="shared" si="9"/>
        <v>1150000</v>
      </c>
      <c r="H31" s="7">
        <f t="shared" si="9"/>
        <v>1264000</v>
      </c>
      <c r="I31" s="7">
        <f t="shared" si="9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>C$18*$E$7</f>
        <v>53</v>
      </c>
      <c r="D19">
        <f>D$18*$E$7</f>
        <v>103</v>
      </c>
      <c r="E19">
        <f>E$18*$E$7</f>
        <v>153</v>
      </c>
      <c r="F19">
        <f>F$18*$E$7</f>
        <v>203</v>
      </c>
      <c r="G19">
        <f>G$18*$E$7</f>
        <v>253</v>
      </c>
      <c r="H19">
        <f>H$18*$E$7</f>
        <v>303</v>
      </c>
      <c r="I19">
        <f>I$18*$E$7</f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1">D$18/3</f>
        <v>34.333333333333336</v>
      </c>
      <c r="E20" s="25">
        <f t="shared" si="1"/>
        <v>51</v>
      </c>
      <c r="F20" s="25">
        <f t="shared" si="1"/>
        <v>67.666666666666671</v>
      </c>
      <c r="G20" s="25">
        <f t="shared" si="1"/>
        <v>84.333333333333329</v>
      </c>
      <c r="H20" s="25">
        <f t="shared" si="1"/>
        <v>101</v>
      </c>
      <c r="I20" s="25">
        <f t="shared" si="1"/>
        <v>167.66666666666666</v>
      </c>
    </row>
    <row r="21" spans="1:9" x14ac:dyDescent="0.25">
      <c r="A21" s="2" t="s">
        <v>292</v>
      </c>
      <c r="C21" s="36">
        <f t="shared" ref="C21:I21" si="2">PhiMayInToner4M(C$19)</f>
        <v>103295.3333</v>
      </c>
      <c r="D21" s="36">
        <f t="shared" si="2"/>
        <v>140995.3333</v>
      </c>
      <c r="E21" s="36">
        <f t="shared" si="2"/>
        <v>178695.3333</v>
      </c>
      <c r="F21" s="36">
        <f t="shared" si="2"/>
        <v>216395.3333</v>
      </c>
      <c r="G21" s="36">
        <f t="shared" si="2"/>
        <v>254095.3333</v>
      </c>
      <c r="H21" s="36">
        <f t="shared" si="2"/>
        <v>291795.3333</v>
      </c>
      <c r="I21" s="36">
        <f t="shared" si="2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3">D$18*$D$10/$F$10</f>
        <v>50126.666666666664</v>
      </c>
      <c r="E23" s="36">
        <f t="shared" si="3"/>
        <v>74460</v>
      </c>
      <c r="F23" s="36">
        <f t="shared" si="3"/>
        <v>98793.333333333328</v>
      </c>
      <c r="G23" s="36">
        <f t="shared" si="3"/>
        <v>123126.66666666667</v>
      </c>
      <c r="H23" s="36">
        <f t="shared" si="3"/>
        <v>147460</v>
      </c>
      <c r="I23" s="36">
        <f t="shared" si="3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4">PhiMayBeTruyenThong(E$20) + $E$14</f>
        <v>286250</v>
      </c>
      <c r="F25" s="7">
        <f t="shared" si="4"/>
        <v>293333.3333</v>
      </c>
      <c r="G25" s="7">
        <f t="shared" si="4"/>
        <v>300000</v>
      </c>
      <c r="H25" s="7">
        <f t="shared" si="4"/>
        <v>307083.3333</v>
      </c>
      <c r="I25" s="7">
        <f t="shared" si="4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5">PhiLDPT_QuetKeoDanBaoThu(D$18)</f>
        <v>4463.3333000000002</v>
      </c>
      <c r="E26" s="7">
        <f t="shared" si="5"/>
        <v>6629.9998999999998</v>
      </c>
      <c r="F26" s="7">
        <f t="shared" si="5"/>
        <v>8796.6668000000009</v>
      </c>
      <c r="G26" s="7">
        <f t="shared" si="5"/>
        <v>10963.333000000001</v>
      </c>
      <c r="H26" s="7">
        <f t="shared" si="5"/>
        <v>13129.999900000001</v>
      </c>
      <c r="I26" s="7">
        <f t="shared" si="5"/>
        <v>21796.666000000001</v>
      </c>
    </row>
    <row r="27" spans="1:9" x14ac:dyDescent="0.25">
      <c r="A27" s="2" t="s">
        <v>397</v>
      </c>
      <c r="C27" s="29">
        <f>SUM(C$21:C$26)</f>
        <v>403885.33323333331</v>
      </c>
      <c r="D27" s="29">
        <f t="shared" ref="D27:I27" si="6">SUM(D$21:D$26)</f>
        <v>474751.99996666663</v>
      </c>
      <c r="E27" s="29">
        <f t="shared" si="6"/>
        <v>546035.33320000011</v>
      </c>
      <c r="F27" s="29">
        <f t="shared" si="6"/>
        <v>617318.66673333338</v>
      </c>
      <c r="G27" s="29">
        <f t="shared" si="6"/>
        <v>688185.33296666667</v>
      </c>
      <c r="H27" s="29">
        <f t="shared" si="6"/>
        <v>759468.66650000005</v>
      </c>
      <c r="I27" s="29">
        <f t="shared" si="6"/>
        <v>1044185.3326333333</v>
      </c>
    </row>
    <row r="28" spans="1:9" ht="30" x14ac:dyDescent="0.25">
      <c r="A28" s="2" t="s">
        <v>398</v>
      </c>
      <c r="C28" s="29">
        <f>C$27*(1+$D$8)</f>
        <v>706799.33315833332</v>
      </c>
      <c r="D28" s="29">
        <f t="shared" ref="D28:I28" si="7">D$27*(1+$D$8)</f>
        <v>830815.99994166661</v>
      </c>
      <c r="E28" s="29">
        <f t="shared" si="7"/>
        <v>955561.83310000016</v>
      </c>
      <c r="F28" s="29">
        <f t="shared" si="7"/>
        <v>1080307.6667833333</v>
      </c>
      <c r="G28" s="29">
        <f t="shared" si="7"/>
        <v>1204324.3326916667</v>
      </c>
      <c r="H28" s="29">
        <f t="shared" si="7"/>
        <v>1329070.166375</v>
      </c>
      <c r="I28" s="29">
        <f t="shared" si="7"/>
        <v>1827324.3321083332</v>
      </c>
    </row>
    <row r="29" spans="1:9" x14ac:dyDescent="0.25">
      <c r="A29" s="2" t="s">
        <v>395</v>
      </c>
      <c r="C29" s="7">
        <f t="shared" ref="C29:I29" si="8">C$27/C$17</f>
        <v>8077.7066646666663</v>
      </c>
      <c r="D29" s="7">
        <f t="shared" si="8"/>
        <v>4747.5199996666661</v>
      </c>
      <c r="E29" s="7">
        <f t="shared" si="8"/>
        <v>3640.2355546666672</v>
      </c>
      <c r="F29" s="7">
        <f t="shared" si="8"/>
        <v>3086.5933336666667</v>
      </c>
      <c r="G29" s="7">
        <f t="shared" si="8"/>
        <v>2752.7413318666668</v>
      </c>
      <c r="H29" s="7">
        <f t="shared" si="8"/>
        <v>2531.562221666667</v>
      </c>
      <c r="I29" s="7">
        <f t="shared" si="8"/>
        <v>2088.3706652666665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706000</v>
      </c>
      <c r="D31" s="7">
        <f t="shared" ref="D31:I31" si="9">D$28-MOD(D$28,1000)</f>
        <v>830000</v>
      </c>
      <c r="E31" s="7">
        <f t="shared" si="9"/>
        <v>955000</v>
      </c>
      <c r="F31" s="7">
        <f t="shared" si="9"/>
        <v>1080000</v>
      </c>
      <c r="G31" s="7">
        <f t="shared" si="9"/>
        <v>1204000</v>
      </c>
      <c r="H31" s="7">
        <f t="shared" si="9"/>
        <v>1329000</v>
      </c>
      <c r="I31" s="7">
        <f t="shared" si="9"/>
        <v>1827000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dimension ref="A1:I31"/>
  <sheetViews>
    <sheetView tabSelected="1" topLeftCell="A10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>C$18*$E$7</f>
        <v>212</v>
      </c>
      <c r="D19">
        <f>D$18*$E$7</f>
        <v>412</v>
      </c>
      <c r="E19">
        <f>E$18*$E$7</f>
        <v>612</v>
      </c>
      <c r="F19">
        <f>F$18*$E$7</f>
        <v>812</v>
      </c>
      <c r="G19">
        <f>G$18*$E$7</f>
        <v>1012</v>
      </c>
      <c r="H19">
        <f>H$18*$E$7</f>
        <v>1212</v>
      </c>
      <c r="I19">
        <f>I$18*$E$7</f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1">D$18/3</f>
        <v>34.333333333333336</v>
      </c>
      <c r="E20" s="25">
        <f t="shared" si="1"/>
        <v>51</v>
      </c>
      <c r="F20" s="25">
        <f t="shared" si="1"/>
        <v>67.666666666666671</v>
      </c>
      <c r="G20" s="25">
        <f t="shared" si="1"/>
        <v>84.333333333333329</v>
      </c>
      <c r="H20" s="25">
        <f t="shared" si="1"/>
        <v>101</v>
      </c>
      <c r="I20" s="25">
        <f t="shared" si="1"/>
        <v>167.66666666666666</v>
      </c>
    </row>
    <row r="21" spans="1:9" x14ac:dyDescent="0.25">
      <c r="A21" s="2" t="s">
        <v>292</v>
      </c>
      <c r="C21" s="36">
        <f t="shared" ref="C21:I21" si="2">PhiMayInToner4M(C$19)</f>
        <v>223181.3333</v>
      </c>
      <c r="D21" s="36">
        <f t="shared" si="2"/>
        <v>373981.3333</v>
      </c>
      <c r="E21" s="36">
        <f t="shared" si="2"/>
        <v>524781.33330000006</v>
      </c>
      <c r="F21" s="36">
        <f t="shared" si="2"/>
        <v>675581.33330000006</v>
      </c>
      <c r="G21" s="36">
        <f t="shared" si="2"/>
        <v>826381.33330000006</v>
      </c>
      <c r="H21" s="36">
        <f t="shared" si="2"/>
        <v>977181.33330000006</v>
      </c>
      <c r="I21" s="36">
        <f t="shared" si="2"/>
        <v>1580381.3333000001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3">D$18*$D$10/$F$10</f>
        <v>120166.66666666667</v>
      </c>
      <c r="E23" s="36">
        <f t="shared" si="3"/>
        <v>178500</v>
      </c>
      <c r="F23" s="36">
        <f t="shared" si="3"/>
        <v>236833.33333333334</v>
      </c>
      <c r="G23" s="36">
        <f t="shared" si="3"/>
        <v>295166.66666666669</v>
      </c>
      <c r="H23" s="36">
        <f t="shared" si="3"/>
        <v>353500</v>
      </c>
      <c r="I23" s="36">
        <f t="shared" si="3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4">PhiMayBeTruyenThong(E$20) + $E$14</f>
        <v>286250</v>
      </c>
      <c r="F25" s="7">
        <f t="shared" si="4"/>
        <v>293333.3333</v>
      </c>
      <c r="G25" s="7">
        <f t="shared" si="4"/>
        <v>300000</v>
      </c>
      <c r="H25" s="7">
        <f t="shared" si="4"/>
        <v>307083.3333</v>
      </c>
      <c r="I25" s="7">
        <f t="shared" si="4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5">PhiLDPT_QuetKeoDanBaoThu(D$18)</f>
        <v>4463.3333000000002</v>
      </c>
      <c r="E26" s="7">
        <f t="shared" si="5"/>
        <v>6629.9998999999998</v>
      </c>
      <c r="F26" s="7">
        <f t="shared" si="5"/>
        <v>8796.6668000000009</v>
      </c>
      <c r="G26" s="7">
        <f t="shared" si="5"/>
        <v>10963.333000000001</v>
      </c>
      <c r="H26" s="7">
        <f t="shared" si="5"/>
        <v>13129.999900000001</v>
      </c>
      <c r="I26" s="7">
        <f t="shared" si="5"/>
        <v>21796.666000000001</v>
      </c>
    </row>
    <row r="27" spans="1:9" x14ac:dyDescent="0.25">
      <c r="A27" s="2" t="s">
        <v>397</v>
      </c>
      <c r="C27" s="29">
        <f>SUM(C$21:C$26)</f>
        <v>559811.33323333331</v>
      </c>
      <c r="D27" s="29">
        <f t="shared" ref="D27:I27" si="6">SUM(D$21:D$26)</f>
        <v>777777.9999666668</v>
      </c>
      <c r="E27" s="29">
        <f t="shared" si="6"/>
        <v>996161.33320000011</v>
      </c>
      <c r="F27" s="29">
        <f t="shared" si="6"/>
        <v>1214544.6667333334</v>
      </c>
      <c r="G27" s="29">
        <f t="shared" si="6"/>
        <v>1432511.3329666669</v>
      </c>
      <c r="H27" s="29">
        <f t="shared" si="6"/>
        <v>1650894.6665000001</v>
      </c>
      <c r="I27" s="29">
        <f t="shared" si="6"/>
        <v>2524011.3326333337</v>
      </c>
    </row>
    <row r="28" spans="1:9" ht="30" x14ac:dyDescent="0.25">
      <c r="A28" s="2" t="s">
        <v>398</v>
      </c>
      <c r="C28" s="29">
        <f>C$27*(1+$D$8)</f>
        <v>979669.83315833332</v>
      </c>
      <c r="D28" s="29">
        <f t="shared" ref="D28:I28" si="7">D$27*(1+$D$8)</f>
        <v>1361111.4999416668</v>
      </c>
      <c r="E28" s="29">
        <f t="shared" si="7"/>
        <v>1743282.3331000002</v>
      </c>
      <c r="F28" s="29">
        <f t="shared" si="7"/>
        <v>2125453.1667833333</v>
      </c>
      <c r="G28" s="29">
        <f t="shared" si="7"/>
        <v>2506894.8326916671</v>
      </c>
      <c r="H28" s="29">
        <f t="shared" si="7"/>
        <v>2889065.666375</v>
      </c>
      <c r="I28" s="29">
        <f t="shared" si="7"/>
        <v>4417019.8321083337</v>
      </c>
    </row>
    <row r="29" spans="1:9" x14ac:dyDescent="0.25">
      <c r="A29" s="2" t="s">
        <v>395</v>
      </c>
      <c r="C29" s="7">
        <f t="shared" ref="C29:I29" si="8">C$27/C$17</f>
        <v>11196.226664666667</v>
      </c>
      <c r="D29" s="7">
        <f t="shared" si="8"/>
        <v>7777.7799996666681</v>
      </c>
      <c r="E29" s="7">
        <f t="shared" si="8"/>
        <v>6641.0755546666678</v>
      </c>
      <c r="F29" s="7">
        <f t="shared" si="8"/>
        <v>6072.7233336666668</v>
      </c>
      <c r="G29" s="7">
        <f t="shared" si="8"/>
        <v>5730.0453318666678</v>
      </c>
      <c r="H29" s="7">
        <f t="shared" si="8"/>
        <v>5502.9822216666671</v>
      </c>
      <c r="I29" s="7">
        <f t="shared" si="8"/>
        <v>5048.0226652666679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979000</v>
      </c>
      <c r="D31" s="7">
        <f t="shared" ref="D31:I31" si="9">D$28-MOD(D$28,1000)</f>
        <v>1361000</v>
      </c>
      <c r="E31" s="7">
        <f t="shared" si="9"/>
        <v>1743000</v>
      </c>
      <c r="F31" s="7">
        <f t="shared" si="9"/>
        <v>2125000</v>
      </c>
      <c r="G31" s="7">
        <f t="shared" si="9"/>
        <v>2506000</v>
      </c>
      <c r="H31" s="7">
        <f t="shared" si="9"/>
        <v>2889000</v>
      </c>
      <c r="I31" s="7">
        <f t="shared" si="9"/>
        <v>4417000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30" xr:uid="{1374E92D-194C-4AEC-A5AC-789FFD6158B2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0" xr:uid="{1C689527-D305-444E-B995-A60C2768F473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G29" sqref="G2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0"/>
  <sheetViews>
    <sheetView topLeftCell="D7" workbookViewId="0">
      <selection activeCell="P26" sqref="P26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33</vt:i4>
      </vt:variant>
      <vt:variant>
        <vt:lpstr>Phạm vi Có tên</vt:lpstr>
      </vt:variant>
      <vt:variant>
        <vt:i4>7</vt:i4>
      </vt:variant>
    </vt:vector>
  </HeadingPairs>
  <TitlesOfParts>
    <vt:vector size="40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SP-Folder</vt:lpstr>
      <vt:lpstr>SP-GiayTieuDe</vt:lpstr>
      <vt:lpstr>SP-ThiepDon</vt:lpstr>
      <vt:lpstr>SP-ThiepDoi</vt:lpstr>
      <vt:lpstr>SP-BaoThu-22x12</vt:lpstr>
      <vt:lpstr>SP-BaoThu-21x11</vt:lpstr>
      <vt:lpstr>SP-BaoThu-22x16</vt:lpstr>
      <vt:lpstr>SP-BaoThu-22x31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2019-06-01T09:45:55Z</dcterms:modified>
</cp:coreProperties>
</file>