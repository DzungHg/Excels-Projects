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DF7FA0B3-BA2D-48D4-813C-D60DDCE49245}" xr6:coauthVersionLast="43" xr6:coauthVersionMax="43" xr10:uidLastSave="{00000000-0000-0000-0000-000000000000}"/>
  <bookViews>
    <workbookView xWindow="-120" yWindow="-120" windowWidth="29040" windowHeight="15990" firstSheet="17" activeTab="25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Base-MayIn" sheetId="10" r:id="rId25"/>
    <sheet name="NguyenVatLieu" sheetId="13" r:id="rId26"/>
    <sheet name="Base-Margin" sheetId="15" r:id="rId27"/>
  </sheets>
  <functionGroups builtInGroupCount="19"/>
  <definedNames>
    <definedName name="atools_list_filter_1" localSheetId="11" hidden="1">BaiCMYK!$E$8:$F$9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3" i="27" l="1"/>
  <c r="G23" i="27"/>
  <c r="F23" i="27"/>
  <c r="E23" i="27"/>
  <c r="G16" i="27"/>
  <c r="F16" i="27"/>
  <c r="H13" i="27"/>
  <c r="H14" i="27" s="1"/>
  <c r="G13" i="27"/>
  <c r="G14" i="27" s="1"/>
  <c r="F13" i="27"/>
  <c r="F14" i="27" s="1"/>
  <c r="E13" i="27"/>
  <c r="E14" i="27" s="1"/>
  <c r="E9" i="27"/>
  <c r="F15" i="27"/>
  <c r="E15" i="27"/>
  <c r="G15" i="27"/>
  <c r="H15" i="27"/>
  <c r="H16" i="27" l="1"/>
  <c r="H17" i="27" s="1"/>
  <c r="G17" i="27"/>
  <c r="F17" i="27"/>
  <c r="E16" i="27"/>
  <c r="E17" i="27" s="1"/>
  <c r="H29" i="26"/>
  <c r="E16" i="26"/>
  <c r="G8" i="11" a="1"/>
  <c r="B2" i="11" a="1"/>
  <c r="J8" i="11" l="1"/>
  <c r="I9" i="11"/>
  <c r="K11" i="11"/>
  <c r="G8" i="11"/>
  <c r="K8" i="11"/>
  <c r="J9" i="11"/>
  <c r="I10" i="11"/>
  <c r="H11" i="11"/>
  <c r="G10" i="11"/>
  <c r="K10" i="11"/>
  <c r="G11" i="11"/>
  <c r="H8" i="11"/>
  <c r="G9" i="11"/>
  <c r="K9" i="11"/>
  <c r="J10" i="11"/>
  <c r="I11" i="11"/>
  <c r="H9" i="11"/>
  <c r="J11" i="11"/>
  <c r="H10" i="11"/>
  <c r="I8" i="11"/>
  <c r="B2" i="11"/>
  <c r="F2" i="11"/>
  <c r="E3" i="11"/>
  <c r="D4" i="11"/>
  <c r="C5" i="11"/>
  <c r="F4" i="11"/>
  <c r="E2" i="11"/>
  <c r="B5" i="11"/>
  <c r="C2" i="11"/>
  <c r="B3" i="11"/>
  <c r="F3" i="11"/>
  <c r="E4" i="11"/>
  <c r="D5" i="11"/>
  <c r="D2" i="11"/>
  <c r="C3" i="11"/>
  <c r="B4" i="11"/>
  <c r="E5" i="11"/>
  <c r="D3" i="11"/>
  <c r="C4" i="11"/>
  <c r="F5" i="11"/>
  <c r="R21" i="26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E26" i="26"/>
  <c r="H26" i="26"/>
  <c r="D26" i="26"/>
  <c r="D25" i="26"/>
  <c r="G26" i="26"/>
  <c r="F26" i="26"/>
  <c r="C26" i="26"/>
  <c r="C25" i="26"/>
  <c r="R22" i="26"/>
  <c r="R40" i="26"/>
  <c r="P36" i="26"/>
  <c r="P40" i="26"/>
  <c r="C42" i="26"/>
  <c r="C24" i="26" l="1"/>
  <c r="F24" i="26"/>
  <c r="G24" i="26"/>
  <c r="D24" i="26"/>
  <c r="H24" i="26"/>
  <c r="E24" i="26"/>
  <c r="G25" i="26"/>
  <c r="O40" i="26"/>
  <c r="N22" i="26"/>
  <c r="L36" i="26"/>
  <c r="L40" i="26"/>
  <c r="R36" i="26"/>
  <c r="N40" i="26"/>
  <c r="L22" i="26"/>
  <c r="O36" i="26"/>
  <c r="E25" i="26"/>
  <c r="Q36" i="26"/>
  <c r="F42" i="26"/>
  <c r="G42" i="26"/>
  <c r="H25" i="26"/>
  <c r="M40" i="26"/>
  <c r="F25" i="26"/>
  <c r="Q40" i="26"/>
  <c r="N36" i="26"/>
  <c r="M36" i="26"/>
  <c r="G43" i="26" l="1"/>
  <c r="C43" i="26"/>
  <c r="F43" i="26"/>
  <c r="O37" i="26"/>
  <c r="O38" i="26"/>
  <c r="M37" i="26"/>
  <c r="M38" i="26"/>
  <c r="L28" i="26"/>
  <c r="L23" i="26"/>
  <c r="L29" i="26" s="1"/>
  <c r="L38" i="26"/>
  <c r="L37" i="26"/>
  <c r="P38" i="26"/>
  <c r="P37" i="26"/>
  <c r="Q37" i="26"/>
  <c r="Q38" i="26"/>
  <c r="N28" i="26"/>
  <c r="N23" i="26"/>
  <c r="N29" i="26" s="1"/>
  <c r="R28" i="26"/>
  <c r="R23" i="26"/>
  <c r="R29" i="26" s="1"/>
  <c r="N38" i="26"/>
  <c r="N37" i="26"/>
  <c r="R38" i="26"/>
  <c r="R37" i="26"/>
  <c r="O41" i="26"/>
  <c r="E21" i="26"/>
  <c r="P21" i="26"/>
  <c r="P41" i="26"/>
  <c r="F21" i="26"/>
  <c r="M21" i="26"/>
  <c r="Q21" i="26"/>
  <c r="M41" i="26"/>
  <c r="Q41" i="26"/>
  <c r="N41" i="26"/>
  <c r="R41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G22" i="26"/>
  <c r="H40" i="26"/>
  <c r="D40" i="26"/>
  <c r="Q22" i="26"/>
  <c r="O22" i="26"/>
  <c r="C22" i="26"/>
  <c r="C28" i="26" l="1"/>
  <c r="C30" i="26" s="1"/>
  <c r="G28" i="26"/>
  <c r="G30" i="26" s="1"/>
  <c r="F22" i="26"/>
  <c r="H22" i="26"/>
  <c r="D42" i="26"/>
  <c r="M22" i="26"/>
  <c r="H28" i="26" l="1"/>
  <c r="H30" i="26" s="1"/>
  <c r="F28" i="26"/>
  <c r="F30" i="26" s="1"/>
  <c r="G40" i="26"/>
  <c r="C40" i="26"/>
  <c r="P22" i="26"/>
  <c r="C23" i="26" l="1"/>
  <c r="C29" i="26" s="1"/>
  <c r="C31" i="26" s="1"/>
  <c r="C41" i="26"/>
  <c r="O28" i="26"/>
  <c r="O23" i="26"/>
  <c r="O29" i="26" s="1"/>
  <c r="D43" i="26"/>
  <c r="Q23" i="26"/>
  <c r="Q29" i="26" s="1"/>
  <c r="Q28" i="26"/>
  <c r="G41" i="26"/>
  <c r="M23" i="26"/>
  <c r="M29" i="26" s="1"/>
  <c r="M28" i="26"/>
  <c r="D41" i="26"/>
  <c r="H23" i="26"/>
  <c r="H31" i="26" s="1"/>
  <c r="G23" i="26"/>
  <c r="G29" i="26" s="1"/>
  <c r="G31" i="26" s="1"/>
  <c r="F23" i="26"/>
  <c r="F29" i="26" s="1"/>
  <c r="F31" i="26" s="1"/>
  <c r="P28" i="26"/>
  <c r="P23" i="26"/>
  <c r="P29" i="26" s="1"/>
  <c r="H41" i="26"/>
  <c r="R34" i="26"/>
  <c r="R33" i="26"/>
  <c r="L33" i="26"/>
  <c r="L34" i="26"/>
  <c r="R30" i="26"/>
  <c r="R31" i="26"/>
  <c r="L30" i="26"/>
  <c r="L31" i="26"/>
  <c r="N30" i="26"/>
  <c r="N31" i="26"/>
  <c r="N33" i="26"/>
  <c r="N34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40" i="26"/>
  <c r="E42" i="26"/>
  <c r="D22" i="26"/>
  <c r="F40" i="26"/>
  <c r="H42" i="26"/>
  <c r="E22" i="26"/>
  <c r="J19" i="16"/>
  <c r="I19" i="16"/>
  <c r="G19" i="25"/>
  <c r="M19" i="16"/>
  <c r="L19" i="16"/>
  <c r="F19" i="25"/>
  <c r="F19" i="16"/>
  <c r="E19" i="16"/>
  <c r="E19" i="25"/>
  <c r="N19" i="16"/>
  <c r="E28" i="26" l="1"/>
  <c r="E30" i="26" s="1"/>
  <c r="E23" i="26"/>
  <c r="E29" i="26" s="1"/>
  <c r="E31" i="26" s="1"/>
  <c r="H43" i="26"/>
  <c r="F41" i="26"/>
  <c r="D28" i="26"/>
  <c r="D30" i="26" s="1"/>
  <c r="D23" i="26"/>
  <c r="D29" i="26" s="1"/>
  <c r="D31" i="26" s="1"/>
  <c r="E43" i="26"/>
  <c r="E41" i="26"/>
  <c r="P33" i="26"/>
  <c r="P34" i="26"/>
  <c r="M31" i="26"/>
  <c r="M30" i="26"/>
  <c r="P31" i="26"/>
  <c r="P30" i="26"/>
  <c r="M34" i="26"/>
  <c r="M33" i="26"/>
  <c r="Q31" i="26"/>
  <c r="Q30" i="26"/>
  <c r="O34" i="26"/>
  <c r="O33" i="26"/>
  <c r="Q34" i="26"/>
  <c r="Q33" i="26"/>
  <c r="O31" i="26"/>
  <c r="O30" i="26"/>
  <c r="G21" i="25"/>
  <c r="G20" i="25"/>
  <c r="G22" i="25" s="1"/>
  <c r="G27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P19" i="24"/>
  <c r="G19" i="24"/>
  <c r="L19" i="24"/>
  <c r="L35" i="24"/>
  <c r="O29" i="24"/>
  <c r="Q33" i="24"/>
  <c r="P33" i="24"/>
  <c r="R29" i="24"/>
  <c r="N29" i="24"/>
  <c r="G19" i="16"/>
  <c r="F29" i="24"/>
  <c r="O33" i="24"/>
  <c r="L29" i="24"/>
  <c r="K19" i="16"/>
  <c r="L33" i="24"/>
  <c r="Q29" i="24"/>
  <c r="G29" i="24"/>
  <c r="Q19" i="24"/>
  <c r="I29" i="24"/>
  <c r="H19" i="16"/>
  <c r="E29" i="24"/>
  <c r="F19" i="24"/>
  <c r="R33" i="24"/>
  <c r="N33" i="24"/>
  <c r="P29" i="24"/>
  <c r="J19" i="24"/>
  <c r="M33" i="24"/>
  <c r="M19" i="24"/>
  <c r="M29" i="24"/>
  <c r="H29" i="24"/>
  <c r="J29" i="24"/>
  <c r="O35" i="24"/>
  <c r="O19" i="24"/>
  <c r="G23" i="25" l="1"/>
  <c r="G26" i="25"/>
  <c r="G24" i="25"/>
  <c r="E27" i="25"/>
  <c r="E38" i="25" s="1"/>
  <c r="F27" i="25"/>
  <c r="F38" i="25" s="1"/>
  <c r="E26" i="25"/>
  <c r="E37" i="25" s="1"/>
  <c r="E23" i="25"/>
  <c r="E24" i="25"/>
  <c r="F23" i="25"/>
  <c r="F26" i="25"/>
  <c r="F37" i="25" s="1"/>
  <c r="F24" i="25"/>
  <c r="H21" i="16"/>
  <c r="H24" i="16" s="1"/>
  <c r="H20" i="16"/>
  <c r="H22" i="16" s="1"/>
  <c r="H27" i="16" s="1"/>
  <c r="H38" i="16" s="1"/>
  <c r="G21" i="16"/>
  <c r="G26" i="16" s="1"/>
  <c r="G37" i="16" s="1"/>
  <c r="G20" i="16"/>
  <c r="G22" i="16" s="1"/>
  <c r="G27" i="16" s="1"/>
  <c r="G38" i="16" s="1"/>
  <c r="K20" i="16"/>
  <c r="K22" i="16" s="1"/>
  <c r="K27" i="16" s="1"/>
  <c r="K38" i="16" s="1"/>
  <c r="K21" i="16"/>
  <c r="M23" i="16"/>
  <c r="M26" i="16"/>
  <c r="M37" i="16" s="1"/>
  <c r="M24" i="16"/>
  <c r="L24" i="16"/>
  <c r="L23" i="16"/>
  <c r="L26" i="16"/>
  <c r="L37" i="16" s="1"/>
  <c r="L27" i="16"/>
  <c r="L38" i="16" s="1"/>
  <c r="K24" i="16"/>
  <c r="K23" i="16"/>
  <c r="K26" i="16"/>
  <c r="K37" i="16" s="1"/>
  <c r="M27" i="16"/>
  <c r="M38" i="16" s="1"/>
  <c r="N27" i="16"/>
  <c r="N38" i="16" s="1"/>
  <c r="N26" i="16"/>
  <c r="N37" i="16" s="1"/>
  <c r="N24" i="16"/>
  <c r="N23" i="16"/>
  <c r="J27" i="16"/>
  <c r="J38" i="16" s="1"/>
  <c r="F27" i="16"/>
  <c r="F38" i="16" s="1"/>
  <c r="E27" i="16"/>
  <c r="E38" i="16" s="1"/>
  <c r="H26" i="16"/>
  <c r="H37" i="16" s="1"/>
  <c r="I27" i="16"/>
  <c r="I38" i="16" s="1"/>
  <c r="G24" i="16"/>
  <c r="G23" i="16"/>
  <c r="J23" i="16"/>
  <c r="J26" i="16"/>
  <c r="J37" i="16" s="1"/>
  <c r="J24" i="16"/>
  <c r="I23" i="16"/>
  <c r="I26" i="16"/>
  <c r="I37" i="16" s="1"/>
  <c r="I24" i="16"/>
  <c r="F23" i="16"/>
  <c r="F26" i="16"/>
  <c r="F37" i="16" s="1"/>
  <c r="F24" i="16"/>
  <c r="E23" i="16"/>
  <c r="E26" i="16"/>
  <c r="E37" i="16" s="1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J33" i="24"/>
  <c r="G35" i="23"/>
  <c r="P33" i="23"/>
  <c r="I35" i="24"/>
  <c r="M29" i="23"/>
  <c r="N19" i="24"/>
  <c r="E35" i="23"/>
  <c r="H19" i="24"/>
  <c r="N35" i="24"/>
  <c r="O33" i="23"/>
  <c r="E33" i="24"/>
  <c r="E29" i="23"/>
  <c r="P29" i="23"/>
  <c r="Q35" i="24"/>
  <c r="J29" i="23"/>
  <c r="H33" i="24"/>
  <c r="F33" i="24"/>
  <c r="F33" i="23"/>
  <c r="G29" i="23"/>
  <c r="N33" i="23"/>
  <c r="Q29" i="23"/>
  <c r="E35" i="24"/>
  <c r="R33" i="23"/>
  <c r="Q33" i="23"/>
  <c r="O35" i="23"/>
  <c r="J35" i="23"/>
  <c r="I19" i="24"/>
  <c r="F29" i="23"/>
  <c r="L29" i="23"/>
  <c r="I33" i="24"/>
  <c r="H29" i="23"/>
  <c r="G33" i="24"/>
  <c r="I35" i="23"/>
  <c r="J35" i="24"/>
  <c r="P35" i="23"/>
  <c r="M33" i="23"/>
  <c r="R35" i="24"/>
  <c r="L35" i="23"/>
  <c r="L33" i="23"/>
  <c r="P35" i="24"/>
  <c r="L19" i="23"/>
  <c r="F35" i="23"/>
  <c r="O29" i="23"/>
  <c r="R29" i="23"/>
  <c r="I29" i="23"/>
  <c r="H35" i="24"/>
  <c r="G35" i="24"/>
  <c r="H35" i="23"/>
  <c r="N29" i="23"/>
  <c r="M35" i="24"/>
  <c r="R19" i="24"/>
  <c r="J33" i="23"/>
  <c r="F35" i="24"/>
  <c r="E19" i="24"/>
  <c r="H23" i="16" l="1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26" i="24"/>
  <c r="O27" i="24"/>
  <c r="O26" i="24"/>
  <c r="G24" i="24"/>
  <c r="G23" i="24"/>
  <c r="Q27" i="24"/>
  <c r="Q26" i="24"/>
  <c r="J27" i="24"/>
  <c r="J26" i="24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27" i="24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P33" i="22"/>
  <c r="Q35" i="23"/>
  <c r="N35" i="23"/>
  <c r="I35" i="22"/>
  <c r="R33" i="22"/>
  <c r="M35" i="23"/>
  <c r="G35" i="22"/>
  <c r="G33" i="22"/>
  <c r="M19" i="23"/>
  <c r="M29" i="22"/>
  <c r="J33" i="22"/>
  <c r="J19" i="23"/>
  <c r="P29" i="22"/>
  <c r="L35" i="22"/>
  <c r="E19" i="23"/>
  <c r="E33" i="23"/>
  <c r="N33" i="22"/>
  <c r="O19" i="23"/>
  <c r="I29" i="22"/>
  <c r="R19" i="23"/>
  <c r="Q33" i="22"/>
  <c r="O29" i="22"/>
  <c r="L33" i="22"/>
  <c r="G33" i="23"/>
  <c r="L19" i="22"/>
  <c r="N19" i="23"/>
  <c r="F33" i="22"/>
  <c r="M33" i="22"/>
  <c r="Q29" i="22"/>
  <c r="I33" i="23"/>
  <c r="E35" i="22"/>
  <c r="F29" i="22"/>
  <c r="P19" i="23"/>
  <c r="J29" i="22"/>
  <c r="R35" i="23"/>
  <c r="H29" i="22"/>
  <c r="L29" i="22"/>
  <c r="G29" i="22"/>
  <c r="H33" i="23"/>
  <c r="E29" i="22"/>
  <c r="H19" i="23"/>
  <c r="P35" i="22"/>
  <c r="O33" i="22"/>
  <c r="G19" i="23"/>
  <c r="N29" i="22"/>
  <c r="Q19" i="23"/>
  <c r="R29" i="22"/>
  <c r="F19" i="23"/>
  <c r="I19" i="23"/>
  <c r="H35" i="22"/>
  <c r="N27" i="24" l="1"/>
  <c r="N26" i="24"/>
  <c r="H27" i="24"/>
  <c r="H26" i="24"/>
  <c r="I24" i="24"/>
  <c r="I23" i="24"/>
  <c r="E27" i="24"/>
  <c r="E26" i="24"/>
  <c r="I27" i="24"/>
  <c r="I26" i="24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Q29" i="21"/>
  <c r="J33" i="21"/>
  <c r="O35" i="21"/>
  <c r="J19" i="21"/>
  <c r="N35" i="21"/>
  <c r="Q33" i="21"/>
  <c r="E29" i="21"/>
  <c r="J29" i="21"/>
  <c r="F19" i="22"/>
  <c r="P33" i="21"/>
  <c r="G29" i="21"/>
  <c r="G33" i="21"/>
  <c r="O35" i="22"/>
  <c r="L35" i="21"/>
  <c r="P19" i="21"/>
  <c r="E33" i="21"/>
  <c r="H19" i="21"/>
  <c r="E19" i="21"/>
  <c r="F35" i="21"/>
  <c r="J19" i="22"/>
  <c r="M35" i="22"/>
  <c r="I19" i="21"/>
  <c r="E35" i="21"/>
  <c r="I19" i="22"/>
  <c r="E19" i="22"/>
  <c r="O19" i="21"/>
  <c r="F33" i="21"/>
  <c r="P29" i="21"/>
  <c r="H33" i="21"/>
  <c r="N29" i="21"/>
  <c r="M19" i="22"/>
  <c r="H33" i="22"/>
  <c r="M19" i="21"/>
  <c r="R19" i="21"/>
  <c r="L29" i="21"/>
  <c r="Q35" i="22"/>
  <c r="R35" i="21"/>
  <c r="J35" i="22"/>
  <c r="R19" i="22"/>
  <c r="F19" i="21"/>
  <c r="H19" i="22"/>
  <c r="P19" i="22"/>
  <c r="I35" i="21"/>
  <c r="M33" i="21"/>
  <c r="Q19" i="22"/>
  <c r="I33" i="21"/>
  <c r="O19" i="22"/>
  <c r="O29" i="21"/>
  <c r="P35" i="21"/>
  <c r="R33" i="21"/>
  <c r="H35" i="21"/>
  <c r="L33" i="21"/>
  <c r="O33" i="21"/>
  <c r="F35" i="22"/>
  <c r="G35" i="21"/>
  <c r="N33" i="21"/>
  <c r="G19" i="21"/>
  <c r="N19" i="22"/>
  <c r="E33" i="22"/>
  <c r="Q19" i="21"/>
  <c r="N35" i="22"/>
  <c r="I29" i="21"/>
  <c r="M29" i="21"/>
  <c r="F29" i="21"/>
  <c r="Q35" i="21"/>
  <c r="H29" i="21"/>
  <c r="R35" i="22"/>
  <c r="N19" i="21"/>
  <c r="M35" i="21"/>
  <c r="G19" i="22"/>
  <c r="R29" i="21"/>
  <c r="I33" i="22"/>
  <c r="J35" i="21"/>
  <c r="P27" i="23" l="1"/>
  <c r="N27" i="23"/>
  <c r="N26" i="23"/>
  <c r="Q24" i="23"/>
  <c r="Q23" i="23"/>
  <c r="G24" i="23"/>
  <c r="G23" i="23"/>
  <c r="J24" i="23"/>
  <c r="J23" i="23"/>
  <c r="E27" i="23"/>
  <c r="E26" i="23"/>
  <c r="N23" i="23"/>
  <c r="N24" i="23"/>
  <c r="Q27" i="23"/>
  <c r="Q26" i="23"/>
  <c r="F27" i="23"/>
  <c r="F26" i="23"/>
  <c r="I27" i="23"/>
  <c r="I26" i="23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26" i="23"/>
  <c r="O27" i="23"/>
  <c r="O26" i="23"/>
  <c r="R23" i="23"/>
  <c r="R24" i="23"/>
  <c r="G26" i="23"/>
  <c r="G27" i="23"/>
  <c r="J27" i="23"/>
  <c r="J26" i="23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J15" i="18"/>
  <c r="J15" i="19"/>
  <c r="E15" i="18"/>
  <c r="I15" i="17"/>
  <c r="G15" i="20"/>
  <c r="F15" i="17"/>
  <c r="H15" i="17"/>
  <c r="I15" i="19"/>
  <c r="F15" i="19"/>
  <c r="H15" i="20"/>
  <c r="G15" i="18"/>
  <c r="H15" i="18"/>
  <c r="E15" i="19"/>
  <c r="F15" i="20"/>
  <c r="L19" i="21"/>
  <c r="F15" i="18"/>
  <c r="G15" i="19"/>
  <c r="J15" i="17"/>
  <c r="G15" i="17"/>
  <c r="I15" i="18"/>
  <c r="Q27" i="22" l="1"/>
  <c r="Q23" i="22"/>
  <c r="E14" i="17"/>
  <c r="M27" i="22"/>
  <c r="H26" i="21"/>
  <c r="H27" i="21"/>
  <c r="F27" i="21"/>
  <c r="F26" i="21"/>
  <c r="E26" i="21"/>
  <c r="E27" i="21"/>
  <c r="G27" i="21"/>
  <c r="G26" i="21"/>
  <c r="J27" i="21"/>
  <c r="J26" i="21"/>
  <c r="I26" i="21"/>
  <c r="I27" i="21"/>
  <c r="M23" i="22"/>
  <c r="N26" i="22"/>
  <c r="N27" i="22"/>
  <c r="E27" i="22"/>
  <c r="E26" i="22"/>
  <c r="G26" i="22"/>
  <c r="G27" i="22"/>
  <c r="F27" i="22"/>
  <c r="F26" i="22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26" i="22"/>
  <c r="I27" i="22"/>
  <c r="I26" i="22"/>
  <c r="F24" i="22"/>
  <c r="F23" i="22"/>
  <c r="H26" i="22"/>
  <c r="H27" i="22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I16" i="17"/>
  <c r="I18" i="17" s="1"/>
  <c r="I23" i="17" s="1"/>
  <c r="H16" i="17"/>
  <c r="H18" i="17" s="1"/>
  <c r="H23" i="17" s="1"/>
  <c r="F16" i="17"/>
  <c r="F18" i="17" s="1"/>
  <c r="F23" i="17" s="1"/>
  <c r="G16" i="17"/>
  <c r="G18" i="17" s="1"/>
  <c r="G23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G17" i="18"/>
  <c r="G16" i="18"/>
  <c r="G18" i="18" s="1"/>
  <c r="G23" i="18" s="1"/>
  <c r="H16" i="18"/>
  <c r="H18" i="18" s="1"/>
  <c r="H23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H15" i="19"/>
  <c r="E15" i="17"/>
  <c r="J15" i="20"/>
  <c r="I15" i="20"/>
  <c r="E16" i="17" l="1"/>
  <c r="E18" i="17" s="1"/>
  <c r="E23" i="17" s="1"/>
  <c r="E17" i="17"/>
  <c r="E20" i="17" s="1"/>
  <c r="L27" i="21"/>
  <c r="L26" i="21"/>
  <c r="L23" i="21"/>
  <c r="L24" i="21"/>
  <c r="J22" i="17"/>
  <c r="J20" i="17"/>
  <c r="J19" i="17"/>
  <c r="G22" i="17"/>
  <c r="G19" i="17"/>
  <c r="G20" i="17"/>
  <c r="I22" i="17"/>
  <c r="I20" i="17"/>
  <c r="I19" i="17"/>
  <c r="H22" i="17"/>
  <c r="H19" i="17"/>
  <c r="H20" i="17"/>
  <c r="F22" i="17"/>
  <c r="F20" i="17"/>
  <c r="F19" i="17"/>
  <c r="E22" i="17"/>
  <c r="E21" i="20"/>
  <c r="E17" i="20"/>
  <c r="E16" i="20"/>
  <c r="E18" i="20" s="1"/>
  <c r="E23" i="20" s="1"/>
  <c r="J16" i="20"/>
  <c r="J18" i="20" s="1"/>
  <c r="J17" i="20"/>
  <c r="I16" i="20"/>
  <c r="I18" i="20" s="1"/>
  <c r="I17" i="20"/>
  <c r="H23" i="20"/>
  <c r="H22" i="20"/>
  <c r="H19" i="20"/>
  <c r="H20" i="20"/>
  <c r="J21" i="20"/>
  <c r="G23" i="20"/>
  <c r="G22" i="20"/>
  <c r="G19" i="20"/>
  <c r="G20" i="20"/>
  <c r="I21" i="20"/>
  <c r="F23" i="20"/>
  <c r="F22" i="20"/>
  <c r="F19" i="20"/>
  <c r="F20" i="20"/>
  <c r="H16" i="19"/>
  <c r="H18" i="19" s="1"/>
  <c r="H23" i="19" s="1"/>
  <c r="H17" i="19"/>
  <c r="H19" i="19" s="1"/>
  <c r="G22" i="19"/>
  <c r="G19" i="19"/>
  <c r="G20" i="19"/>
  <c r="G23" i="19"/>
  <c r="J19" i="19"/>
  <c r="J20" i="19"/>
  <c r="J22" i="19"/>
  <c r="J23" i="19"/>
  <c r="F22" i="19"/>
  <c r="F19" i="19"/>
  <c r="F20" i="19"/>
  <c r="H22" i="19"/>
  <c r="I19" i="19"/>
  <c r="I22" i="19"/>
  <c r="I20" i="19"/>
  <c r="E23" i="19"/>
  <c r="I23" i="19"/>
  <c r="E20" i="19"/>
  <c r="E22" i="19"/>
  <c r="E19" i="19"/>
  <c r="G22" i="18"/>
  <c r="G19" i="18"/>
  <c r="G20" i="18"/>
  <c r="J19" i="18"/>
  <c r="J20" i="18"/>
  <c r="J22" i="18"/>
  <c r="J23" i="18"/>
  <c r="F22" i="18"/>
  <c r="F19" i="18"/>
  <c r="F20" i="18"/>
  <c r="H22" i="18"/>
  <c r="H19" i="18"/>
  <c r="H20" i="18"/>
  <c r="I19" i="18"/>
  <c r="I20" i="18"/>
  <c r="I22" i="18"/>
  <c r="E22" i="18"/>
  <c r="E20" i="18"/>
  <c r="E19" i="18"/>
  <c r="I23" i="18"/>
  <c r="E23" i="18"/>
  <c r="E3" i="14"/>
  <c r="R4" i="2" a="1"/>
  <c r="B5" i="2"/>
  <c r="H20" i="19" l="1"/>
  <c r="E19" i="17"/>
  <c r="I23" i="20"/>
  <c r="J19" i="20"/>
  <c r="J20" i="20"/>
  <c r="J22" i="20"/>
  <c r="I19" i="20"/>
  <c r="I22" i="20"/>
  <c r="I20" i="20"/>
  <c r="J23" i="20"/>
  <c r="E20" i="20"/>
  <c r="E22" i="20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9" i="6"/>
  <c r="B12" i="6"/>
  <c r="B16" i="6"/>
  <c r="B13" i="6"/>
  <c r="B15" i="6"/>
  <c r="B10" i="6"/>
  <c r="B18" i="6"/>
  <c r="B8" i="6"/>
  <c r="B6" i="6"/>
  <c r="B14" i="6"/>
  <c r="B17" i="6"/>
  <c r="B9" i="6"/>
  <c r="B20" i="6"/>
  <c r="B11" i="6"/>
  <c r="B22" i="6"/>
  <c r="B7" i="6"/>
  <c r="B21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8" i="12"/>
  <c r="E17" i="12"/>
  <c r="E24" i="12"/>
  <c r="E35" i="12"/>
  <c r="E21" i="12"/>
  <c r="E19" i="12"/>
  <c r="E11" i="12"/>
  <c r="B6" i="4"/>
  <c r="E32" i="12"/>
  <c r="E7" i="12"/>
  <c r="E33" i="12"/>
  <c r="E22" i="12"/>
  <c r="E29" i="12"/>
  <c r="E25" i="12"/>
  <c r="E18" i="12"/>
  <c r="E9" i="12"/>
  <c r="E31" i="12"/>
  <c r="E14" i="12"/>
  <c r="E13" i="12"/>
  <c r="E28" i="12"/>
  <c r="E6" i="12"/>
  <c r="E27" i="12"/>
  <c r="E36" i="12"/>
  <c r="E12" i="12"/>
  <c r="E16" i="12"/>
  <c r="E5" i="12"/>
  <c r="E26" i="12"/>
  <c r="E10" i="12"/>
  <c r="E15" i="12"/>
  <c r="E20" i="12"/>
  <c r="E34" i="12"/>
  <c r="E23" i="12"/>
  <c r="E30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0" i="8"/>
  <c r="B22" i="4"/>
  <c r="B9" i="4"/>
  <c r="B10" i="5"/>
  <c r="B11" i="9"/>
  <c r="B16" i="7"/>
  <c r="B10" i="7"/>
  <c r="B30" i="8"/>
  <c r="B21" i="8"/>
  <c r="B21" i="5"/>
  <c r="B28" i="8"/>
  <c r="B10" i="4"/>
  <c r="B23" i="4"/>
  <c r="B7" i="9"/>
  <c r="B18" i="9"/>
  <c r="B13" i="5"/>
  <c r="B9" i="8"/>
  <c r="B20" i="5"/>
  <c r="B6" i="8"/>
  <c r="B13" i="7"/>
  <c r="B35" i="8"/>
  <c r="B14" i="7"/>
  <c r="B8" i="5"/>
  <c r="B13" i="9"/>
  <c r="B7" i="7"/>
  <c r="B9" i="9"/>
  <c r="B15" i="5"/>
  <c r="B34" i="8"/>
  <c r="B15" i="4"/>
  <c r="B15" i="8"/>
  <c r="B8" i="9"/>
  <c r="B17" i="7"/>
  <c r="B14" i="8"/>
  <c r="B20" i="4"/>
  <c r="B14" i="4"/>
  <c r="B27" i="8"/>
  <c r="B32" i="8"/>
  <c r="B12" i="7"/>
  <c r="B7" i="8"/>
  <c r="B25" i="5"/>
  <c r="B6" i="5"/>
  <c r="B31" i="8"/>
  <c r="B18" i="8"/>
  <c r="B15" i="7"/>
  <c r="B22" i="7"/>
  <c r="B7" i="4"/>
  <c r="B24" i="4"/>
  <c r="B5" i="8"/>
  <c r="B24" i="8"/>
  <c r="B11" i="5"/>
  <c r="B20" i="7"/>
  <c r="B14" i="5"/>
  <c r="B11" i="4"/>
  <c r="B16" i="5"/>
  <c r="B21" i="4"/>
  <c r="B9" i="7"/>
  <c r="B18" i="4"/>
  <c r="B8" i="7"/>
  <c r="B6" i="9"/>
  <c r="B12" i="4"/>
  <c r="B21" i="7"/>
  <c r="B11" i="7"/>
  <c r="B15" i="9"/>
  <c r="B17" i="8"/>
  <c r="B18" i="5"/>
  <c r="B12" i="9"/>
  <c r="B8" i="4"/>
  <c r="B17" i="5"/>
  <c r="B19" i="9"/>
  <c r="B22" i="8"/>
  <c r="B19" i="4"/>
  <c r="B19" i="8"/>
  <c r="B14" i="9"/>
  <c r="B5" i="9"/>
  <c r="B10" i="8"/>
  <c r="B12" i="5"/>
  <c r="B25" i="8"/>
  <c r="B24" i="5"/>
  <c r="B20" i="9"/>
  <c r="B23" i="8"/>
  <c r="B11" i="8"/>
  <c r="B16" i="4"/>
  <c r="B17" i="4"/>
  <c r="B19" i="5"/>
  <c r="B25" i="4"/>
  <c r="B8" i="8"/>
  <c r="B33" i="8"/>
  <c r="B16" i="9"/>
  <c r="B13" i="8"/>
  <c r="B18" i="7"/>
  <c r="B26" i="8"/>
  <c r="B17" i="9"/>
  <c r="B23" i="5"/>
  <c r="B12" i="8"/>
  <c r="B16" i="8"/>
  <c r="B29" i="8"/>
  <c r="B6" i="7"/>
  <c r="B7" i="5"/>
  <c r="B22" i="5"/>
  <c r="B13" i="4"/>
  <c r="B36" i="8"/>
  <c r="B19" i="7"/>
  <c r="B9" i="5"/>
  <c r="B10" i="9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F10" i="8"/>
  <c r="G10" i="8" s="1"/>
  <c r="I10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6" i="8" l="1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33" i="2"/>
  <c r="B11" i="2"/>
  <c r="B64" i="2"/>
  <c r="B9" i="2"/>
  <c r="B36" i="2"/>
  <c r="B67" i="2"/>
  <c r="B10" i="1"/>
  <c r="B17" i="2"/>
  <c r="B26" i="2"/>
  <c r="B16" i="2"/>
  <c r="B34" i="2"/>
  <c r="B28" i="1"/>
  <c r="B29" i="2"/>
  <c r="B51" i="2"/>
  <c r="B7" i="2"/>
  <c r="B53" i="2"/>
  <c r="B34" i="1"/>
  <c r="B9" i="1"/>
  <c r="B26" i="1"/>
  <c r="B15" i="2"/>
  <c r="B20" i="2"/>
  <c r="B14" i="1"/>
  <c r="B23" i="2"/>
  <c r="B36" i="1"/>
  <c r="B70" i="2"/>
  <c r="B28" i="2"/>
  <c r="B45" i="2"/>
  <c r="B7" i="1"/>
  <c r="B56" i="2"/>
  <c r="B31" i="1"/>
  <c r="B16" i="1"/>
  <c r="B58" i="2"/>
  <c r="B24" i="2"/>
  <c r="B22" i="1"/>
  <c r="B68" i="2"/>
  <c r="B71" i="2"/>
  <c r="B41" i="2"/>
  <c r="B59" i="2"/>
  <c r="B42" i="2"/>
  <c r="B25" i="1"/>
  <c r="B27" i="2"/>
  <c r="B31" i="2"/>
  <c r="B19" i="2"/>
  <c r="B32" i="2"/>
  <c r="B24" i="1"/>
  <c r="B13" i="1"/>
  <c r="B72" i="2"/>
  <c r="B44" i="2"/>
  <c r="B8" i="2"/>
  <c r="B61" i="2"/>
  <c r="B49" i="2"/>
  <c r="B6" i="1"/>
  <c r="B43" i="2"/>
  <c r="B17" i="1"/>
  <c r="B57" i="2"/>
  <c r="B33" i="1"/>
  <c r="B18" i="1"/>
  <c r="B23" i="1"/>
  <c r="B35" i="2"/>
  <c r="B66" i="2"/>
  <c r="B25" i="2"/>
  <c r="B35" i="1"/>
  <c r="B5" i="1"/>
  <c r="B12" i="1"/>
  <c r="B22" i="2"/>
  <c r="B21" i="1"/>
  <c r="B30" i="1"/>
  <c r="B47" i="2"/>
  <c r="B15" i="1"/>
  <c r="B30" i="2"/>
  <c r="B69" i="2"/>
  <c r="B20" i="1"/>
  <c r="B27" i="1"/>
  <c r="B32" i="1"/>
  <c r="B55" i="2"/>
  <c r="B29" i="1"/>
  <c r="B60" i="2"/>
  <c r="B13" i="2"/>
  <c r="B54" i="2"/>
  <c r="B48" i="2"/>
  <c r="B19" i="1"/>
  <c r="B14" i="2"/>
  <c r="B63" i="2"/>
  <c r="B18" i="2"/>
  <c r="B11" i="1"/>
  <c r="B46" i="2"/>
  <c r="B8" i="1"/>
  <c r="B21" i="2"/>
  <c r="B50" i="2"/>
  <c r="B52" i="2"/>
  <c r="B10" i="2"/>
  <c r="B62" i="2"/>
  <c r="B6" i="2"/>
  <c r="B12" i="2"/>
  <c r="B65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0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2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2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2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2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2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2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2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<sst xmlns="http://schemas.openxmlformats.org/spreadsheetml/2006/main" count="941" uniqueCount="365">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</sst>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44</xdr:row>
      <xdr:rowOff>28574</xdr:rowOff>
    </xdr:from>
    <xdr:to>
      <xdr:col>16</xdr:col>
      <xdr:colOff>142874</xdr:colOff>
      <xdr:row>47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0" dT="2019-05-25T04:36:23.51" personId="{00000000-0000-0000-0000-000000000000}" id="{980F471C-601A-4AFB-9BFD-4C36EC80FBF3}">
    <text>Chỉ máy chạy chưa tiền màng</text>
  </threadedComment>
  <threadedComment ref="L42" dT="2019-05-25T04:25:33.29" personId="{00000000-0000-0000-0000-000000000000}" id="{F6D48DF7-A1A7-45D3-ABAE-2991508C7198}">
    <text>Giá chưa gồm màng</text>
  </threadedComment>
  <threadedComment ref="M42" dT="2019-05-25T04:25:33.29" personId="{00000000-0000-0000-0000-000000000000}" id="{0CA8EFEE-5221-41BF-A6B1-8536A7B41268}">
    <text>Giá chưa gồm màng</text>
  </threadedComment>
  <threadedComment ref="N42" dT="2019-05-25T04:25:33.29" personId="{00000000-0000-0000-0000-000000000000}" id="{D0EABE00-5001-4D89-A261-641347E7CDB8}">
    <text>Giá chưa gồm màng</text>
  </threadedComment>
  <threadedComment ref="O42" dT="2019-05-25T04:25:33.29" personId="{00000000-0000-0000-0000-000000000000}" id="{E8960FD6-43D8-4A4D-BCF8-E239FAC97A6B}">
    <text>Giá chưa gồm màng</text>
  </threadedComment>
  <threadedComment ref="P42" dT="2019-05-25T04:25:33.29" personId="{00000000-0000-0000-0000-000000000000}" id="{FBF590CE-98C6-456F-BBCA-7C67A88A4A35}">
    <text>Giá chưa gồm màng</text>
  </threadedComment>
  <threadedComment ref="Q42" dT="2019-05-25T04:25:33.29" personId="{00000000-0000-0000-0000-000000000000}" id="{EB70AD47-F6F1-48D2-91D9-7D2A1FE4113A}">
    <text>Giá chưa gồm màng</text>
  </threadedComment>
  <threadedComment ref="R42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325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4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E$12/$D$6 +1</f>
        <v>76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299</v>
      </c>
      <c r="E14">
        <f>E$13*$E$6</f>
        <v>152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293</v>
      </c>
      <c r="E15" s="36">
        <f>PhiMayInToner4M(E$14)</f>
        <v>177941.3333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301</v>
      </c>
      <c r="E16" s="36">
        <f>E$15*2</f>
        <v>355882.6666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294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297</v>
      </c>
      <c r="E18" s="29">
        <f>E$16*(1+$D$7)</f>
        <v>622794.66654999997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289</v>
      </c>
      <c r="E19" s="7">
        <f>E$17/E$13</f>
        <v>4097.3333325657895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291</v>
      </c>
      <c r="E20" s="7">
        <f>E$17/E$14</f>
        <v>2048.6666662828948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292</v>
      </c>
      <c r="E21" s="29">
        <f>$E$9*E$13</f>
        <v>68495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295</v>
      </c>
      <c r="E22" s="29">
        <f>E$17+E$21</f>
        <v>379892.33327499998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296</v>
      </c>
      <c r="E23" s="29">
        <f>E$18+E$21</f>
        <v>691289.66654999997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4"/>
  <sheetViews>
    <sheetView workbookViewId="0">
      <selection activeCell="C28" sqref="C28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299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293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301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294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297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289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291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292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295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296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4"/>
  <sheetViews>
    <sheetView workbookViewId="0">
      <selection activeCell="G5" sqref="G5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299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293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301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294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297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289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291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292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295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296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4"/>
  <sheetViews>
    <sheetView workbookViewId="0">
      <selection activeCell="H7" sqref="H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305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292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295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296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36"/>
  <sheetViews>
    <sheetView topLeftCell="A10" workbookViewId="0">
      <selection activeCell="D37" sqref="D3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314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29.7</v>
      </c>
      <c r="C4">
        <v>21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299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293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301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294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297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289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291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317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318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310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319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36"/>
  <sheetViews>
    <sheetView topLeftCell="A10" workbookViewId="0">
      <selection activeCell="M34" sqref="M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321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15</v>
      </c>
      <c r="C4">
        <v>20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322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299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293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301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294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297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289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291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317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318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310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319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36"/>
  <sheetViews>
    <sheetView topLeftCell="A10" workbookViewId="0">
      <selection activeCell="A10"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21</v>
      </c>
      <c r="C4">
        <v>42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270</v>
      </c>
      <c r="C10" t="s">
        <v>271</v>
      </c>
      <c r="D10">
        <v>785</v>
      </c>
      <c r="E10" s="7">
        <f>D10*(1+$D$8)</f>
        <v>1373.75</v>
      </c>
    </row>
    <row r="11" spans="1:18" x14ac:dyDescent="0.25">
      <c r="B11" t="s">
        <v>272</v>
      </c>
      <c r="C11" t="s">
        <v>273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293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301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294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297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289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291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324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318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310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319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36"/>
  <sheetViews>
    <sheetView topLeftCell="A13" workbookViewId="0">
      <selection activeCell="E27" sqref="E27:J27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32</v>
      </c>
      <c r="C4">
        <v>63</v>
      </c>
    </row>
    <row r="5" spans="1:18" ht="30" x14ac:dyDescent="0.25">
      <c r="A5" t="s">
        <v>275</v>
      </c>
      <c r="B5" s="1" t="s">
        <v>145</v>
      </c>
      <c r="C5">
        <v>32</v>
      </c>
      <c r="D5">
        <v>65</v>
      </c>
      <c r="E5" s="2" t="s">
        <v>300</v>
      </c>
    </row>
    <row r="6" spans="1:18" x14ac:dyDescent="0.25">
      <c r="B6" s="1"/>
      <c r="C6" t="s">
        <v>313</v>
      </c>
      <c r="D6">
        <f>$C$5/100*$D$5/100</f>
        <v>0.20800000000000002</v>
      </c>
      <c r="E6" s="2"/>
    </row>
    <row r="7" spans="1:18" x14ac:dyDescent="0.25">
      <c r="A7" t="s">
        <v>288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326</v>
      </c>
      <c r="C10" t="s">
        <v>329</v>
      </c>
      <c r="D10">
        <v>1600</v>
      </c>
      <c r="E10" s="7">
        <f>D10*(1+$D$8)</f>
        <v>2800</v>
      </c>
    </row>
    <row r="11" spans="1:18" x14ac:dyDescent="0.25">
      <c r="B11" t="s">
        <v>327</v>
      </c>
      <c r="C11" t="s">
        <v>328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293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301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294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297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289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291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324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318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310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319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topLeftCell="A7" workbookViewId="0">
      <selection activeCell="D15" sqref="D15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338</v>
      </c>
    </row>
    <row r="2" spans="1:14" x14ac:dyDescent="0.25">
      <c r="A2" t="s">
        <v>290</v>
      </c>
      <c r="B2" s="35">
        <v>43609</v>
      </c>
    </row>
    <row r="3" spans="1:14" x14ac:dyDescent="0.25">
      <c r="B3" t="s">
        <v>206</v>
      </c>
      <c r="C3" t="s">
        <v>278</v>
      </c>
    </row>
    <row r="4" spans="1:14" x14ac:dyDescent="0.25">
      <c r="A4" t="s">
        <v>277</v>
      </c>
      <c r="B4">
        <v>32</v>
      </c>
      <c r="C4">
        <v>47</v>
      </c>
    </row>
    <row r="5" spans="1:14" ht="30" x14ac:dyDescent="0.25">
      <c r="A5" t="s">
        <v>275</v>
      </c>
      <c r="B5" s="1" t="s">
        <v>141</v>
      </c>
      <c r="E5" s="2" t="s">
        <v>300</v>
      </c>
      <c r="F5" t="s">
        <v>343</v>
      </c>
    </row>
    <row r="6" spans="1:14" x14ac:dyDescent="0.25">
      <c r="A6" t="s">
        <v>288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302</v>
      </c>
    </row>
    <row r="8" spans="1:14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14" x14ac:dyDescent="0.25">
      <c r="A9" t="s">
        <v>283</v>
      </c>
      <c r="B9" t="s">
        <v>330</v>
      </c>
      <c r="C9" t="s">
        <v>331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336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279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298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299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293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301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294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297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289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291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292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295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296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37" spans="1:14" x14ac:dyDescent="0.25">
      <c r="A37" s="2" t="s">
        <v>334</v>
      </c>
      <c r="E37" s="7">
        <f>E$26/(E$16/5)</f>
        <v>200972.91659374998</v>
      </c>
      <c r="F37" s="7">
        <f t="shared" ref="F37:N37" si="12">F$26/(F$16/5)</f>
        <v>125458.95829687499</v>
      </c>
      <c r="G37" s="7">
        <f t="shared" si="12"/>
        <v>100287.63886458334</v>
      </c>
      <c r="H37" s="7">
        <f t="shared" si="12"/>
        <v>87701.979148437487</v>
      </c>
      <c r="I37" s="7">
        <f t="shared" si="12"/>
        <v>80150.583318749996</v>
      </c>
      <c r="J37" s="7">
        <f t="shared" si="12"/>
        <v>75116.319432291668</v>
      </c>
      <c r="K37" s="7">
        <f t="shared" si="12"/>
        <v>71520.416656250003</v>
      </c>
      <c r="L37" s="7">
        <f t="shared" si="12"/>
        <v>68823.489574218736</v>
      </c>
      <c r="M37" s="7">
        <f t="shared" si="12"/>
        <v>66725.879621527769</v>
      </c>
      <c r="N37" s="7">
        <f t="shared" si="12"/>
        <v>65047.791659374998</v>
      </c>
    </row>
    <row r="38" spans="1:14" x14ac:dyDescent="0.25">
      <c r="A38" s="2" t="s">
        <v>335</v>
      </c>
      <c r="E38" s="7">
        <f>E$27/(E$16/5)</f>
        <v>356008.33318749996</v>
      </c>
      <c r="F38" s="7">
        <f t="shared" ref="F38:N38" si="13">F$27/(F$16/5)</f>
        <v>209574.16659374998</v>
      </c>
      <c r="G38" s="7">
        <f t="shared" si="13"/>
        <v>160762.77772916667</v>
      </c>
      <c r="H38" s="7">
        <f t="shared" si="13"/>
        <v>136357.08329687497</v>
      </c>
      <c r="I38" s="7">
        <f t="shared" si="13"/>
        <v>121713.66663749999</v>
      </c>
      <c r="J38" s="7">
        <f t="shared" si="13"/>
        <v>111951.38886458334</v>
      </c>
      <c r="K38" s="7">
        <f t="shared" si="13"/>
        <v>104978.33331250001</v>
      </c>
      <c r="L38" s="7">
        <f t="shared" si="13"/>
        <v>99748.541648437487</v>
      </c>
      <c r="M38" s="7">
        <f t="shared" si="13"/>
        <v>95680.925909722209</v>
      </c>
      <c r="N38" s="7">
        <f t="shared" si="13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7" workbookViewId="0">
      <selection activeCell="C30" sqref="C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339</v>
      </c>
    </row>
    <row r="2" spans="1:7" x14ac:dyDescent="0.25">
      <c r="A2" t="s">
        <v>290</v>
      </c>
      <c r="B2" s="35">
        <v>43609</v>
      </c>
    </row>
    <row r="3" spans="1:7" x14ac:dyDescent="0.25">
      <c r="B3" t="s">
        <v>206</v>
      </c>
      <c r="C3" t="s">
        <v>278</v>
      </c>
    </row>
    <row r="4" spans="1:7" x14ac:dyDescent="0.25">
      <c r="A4" t="s">
        <v>277</v>
      </c>
      <c r="B4">
        <v>32</v>
      </c>
      <c r="C4">
        <v>39</v>
      </c>
    </row>
    <row r="5" spans="1:7" ht="30" x14ac:dyDescent="0.25">
      <c r="A5" t="s">
        <v>275</v>
      </c>
      <c r="B5" s="1" t="s">
        <v>137</v>
      </c>
      <c r="E5" s="2" t="s">
        <v>300</v>
      </c>
      <c r="F5" t="s">
        <v>342</v>
      </c>
    </row>
    <row r="6" spans="1:7" x14ac:dyDescent="0.25">
      <c r="A6" t="s">
        <v>288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302</v>
      </c>
    </row>
    <row r="8" spans="1:7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7" x14ac:dyDescent="0.25">
      <c r="A9" t="s">
        <v>283</v>
      </c>
      <c r="B9" t="s">
        <v>340</v>
      </c>
      <c r="C9" t="s">
        <v>341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336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344</v>
      </c>
      <c r="E16">
        <f>E$15*$F$6</f>
        <v>25</v>
      </c>
      <c r="F16">
        <f t="shared" ref="F16:G16" si="0">F$15*$F$6</f>
        <v>50</v>
      </c>
      <c r="G16">
        <f t="shared" si="0"/>
        <v>100</v>
      </c>
    </row>
    <row r="17" spans="1:7" ht="30" x14ac:dyDescent="0.25">
      <c r="A17" s="2" t="s">
        <v>298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299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293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301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294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297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289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291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292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295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296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37" spans="1:6" x14ac:dyDescent="0.25">
      <c r="A37" s="2" t="s">
        <v>334</v>
      </c>
      <c r="E37" s="7">
        <f>E$26/(E$16/E$15)</f>
        <v>38674.066654999995</v>
      </c>
      <c r="F37" s="7">
        <f t="shared" ref="F37" si="1">F$26/(F$16/F$15)</f>
        <v>54546.566654999995</v>
      </c>
    </row>
    <row r="38" spans="1:6" x14ac:dyDescent="0.25">
      <c r="A38" s="2" t="s">
        <v>335</v>
      </c>
      <c r="E38" s="7">
        <f>E$27/(E$16/E$15)</f>
        <v>67702.13330999999</v>
      </c>
      <c r="F38" s="7">
        <f t="shared" ref="F38" si="2"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3"/>
  <sheetViews>
    <sheetView topLeftCell="A6" workbookViewId="0">
      <selection activeCell="H12" sqref="H12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345</v>
      </c>
    </row>
    <row r="2" spans="1:5" x14ac:dyDescent="0.25">
      <c r="A2" t="s">
        <v>290</v>
      </c>
      <c r="B2" s="35">
        <v>43609</v>
      </c>
      <c r="D2" t="s">
        <v>347</v>
      </c>
    </row>
    <row r="3" spans="1:5" x14ac:dyDescent="0.25">
      <c r="B3" t="s">
        <v>206</v>
      </c>
      <c r="C3" t="s">
        <v>278</v>
      </c>
    </row>
    <row r="4" spans="1:5" x14ac:dyDescent="0.25">
      <c r="A4" t="s">
        <v>277</v>
      </c>
      <c r="B4">
        <v>32</v>
      </c>
      <c r="C4">
        <v>47</v>
      </c>
    </row>
    <row r="5" spans="1:5" ht="30" x14ac:dyDescent="0.25">
      <c r="A5" t="s">
        <v>275</v>
      </c>
      <c r="B5" s="1" t="s">
        <v>346</v>
      </c>
      <c r="C5">
        <v>32</v>
      </c>
      <c r="D5">
        <v>43</v>
      </c>
      <c r="E5" s="2" t="s">
        <v>300</v>
      </c>
    </row>
    <row r="6" spans="1:5" x14ac:dyDescent="0.25">
      <c r="B6" s="1"/>
      <c r="C6" t="s">
        <v>313</v>
      </c>
      <c r="D6">
        <f>$C$5/100*$D$5/100</f>
        <v>0.1376</v>
      </c>
      <c r="E6" s="2"/>
    </row>
    <row r="7" spans="1:5" x14ac:dyDescent="0.25">
      <c r="A7" t="s">
        <v>288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302</v>
      </c>
    </row>
    <row r="9" spans="1:5" x14ac:dyDescent="0.25">
      <c r="B9" t="s">
        <v>284</v>
      </c>
      <c r="C9" t="s">
        <v>285</v>
      </c>
      <c r="D9" t="s">
        <v>287</v>
      </c>
      <c r="E9" t="s">
        <v>286</v>
      </c>
    </row>
    <row r="10" spans="1:5" x14ac:dyDescent="0.25">
      <c r="A10" t="s">
        <v>283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312</v>
      </c>
      <c r="E13" s="39" t="s">
        <v>315</v>
      </c>
    </row>
    <row r="14" spans="1:5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350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320</v>
      </c>
    </row>
    <row r="19" spans="1:18" x14ac:dyDescent="0.25">
      <c r="A19" s="1" t="s">
        <v>279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298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299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x14ac:dyDescent="0.25">
      <c r="A22" s="2" t="s">
        <v>293</v>
      </c>
      <c r="C22" s="36">
        <f t="shared" ref="C22:H22" si="4">PhiMayInToner4M(C$21)</f>
        <v>140241.3333</v>
      </c>
      <c r="D22" s="36">
        <f t="shared" si="4"/>
        <v>177941.3333</v>
      </c>
      <c r="E22" s="36">
        <f t="shared" si="4"/>
        <v>215641.3333</v>
      </c>
      <c r="F22" s="36">
        <f t="shared" si="4"/>
        <v>253341.3333</v>
      </c>
      <c r="G22" s="36">
        <f t="shared" si="4"/>
        <v>291041.3333</v>
      </c>
      <c r="H22" s="36">
        <f t="shared" si="4"/>
        <v>366441.3333</v>
      </c>
      <c r="L22" s="36">
        <f t="shared" ref="L22:R22" si="5">PhiMayInToner4M(L$21)</f>
        <v>64841.333299999998</v>
      </c>
      <c r="M22" s="36">
        <f t="shared" si="5"/>
        <v>140241.3333</v>
      </c>
      <c r="N22" s="36">
        <f t="shared" si="5"/>
        <v>177941.3333</v>
      </c>
      <c r="O22" s="36">
        <f t="shared" si="5"/>
        <v>215641.3333</v>
      </c>
      <c r="P22" s="36">
        <f t="shared" si="5"/>
        <v>253341.3333</v>
      </c>
      <c r="Q22" s="36">
        <f t="shared" si="5"/>
        <v>291041.3333</v>
      </c>
      <c r="R22" s="36">
        <f t="shared" si="5"/>
        <v>366441.3333</v>
      </c>
    </row>
    <row r="23" spans="1:18" x14ac:dyDescent="0.25">
      <c r="A23" s="2" t="s">
        <v>301</v>
      </c>
      <c r="C23" s="36">
        <f t="shared" ref="C23:H23" si="6">C$22*2</f>
        <v>280482.6666</v>
      </c>
      <c r="D23" s="36">
        <f t="shared" si="6"/>
        <v>355882.6666</v>
      </c>
      <c r="E23" s="36">
        <f t="shared" si="6"/>
        <v>431282.6666</v>
      </c>
      <c r="F23" s="36">
        <f t="shared" si="6"/>
        <v>506682.6666</v>
      </c>
      <c r="G23" s="36">
        <f t="shared" si="6"/>
        <v>582082.6666</v>
      </c>
      <c r="H23" s="36">
        <f t="shared" si="6"/>
        <v>732882.6666</v>
      </c>
      <c r="L23" s="36">
        <f t="shared" ref="L23:R23" si="7">L$22*2</f>
        <v>129682.6666</v>
      </c>
      <c r="M23" s="36">
        <f t="shared" si="7"/>
        <v>280482.6666</v>
      </c>
      <c r="N23" s="36">
        <f t="shared" si="7"/>
        <v>355882.6666</v>
      </c>
      <c r="O23" s="36">
        <f t="shared" si="7"/>
        <v>431282.6666</v>
      </c>
      <c r="P23" s="36">
        <f t="shared" si="7"/>
        <v>506682.6666</v>
      </c>
      <c r="Q23" s="36">
        <f t="shared" si="7"/>
        <v>582082.6666</v>
      </c>
      <c r="R23" s="36">
        <f t="shared" si="7"/>
        <v>732882.6666</v>
      </c>
    </row>
    <row r="24" spans="1:18" x14ac:dyDescent="0.25">
      <c r="A24" s="2" t="s">
        <v>352</v>
      </c>
      <c r="C24" s="36">
        <f t="shared" ref="C24:H24" si="8">C$20*$D$10</f>
        <v>74256</v>
      </c>
      <c r="D24" s="36">
        <f t="shared" si="8"/>
        <v>110656</v>
      </c>
      <c r="E24" s="36">
        <f t="shared" si="8"/>
        <v>147056</v>
      </c>
      <c r="F24" s="36">
        <f t="shared" si="8"/>
        <v>183456</v>
      </c>
      <c r="G24" s="36">
        <f t="shared" si="8"/>
        <v>219856</v>
      </c>
      <c r="H24" s="36">
        <f t="shared" si="8"/>
        <v>292656</v>
      </c>
      <c r="L24" s="36"/>
      <c r="M24" s="36"/>
      <c r="N24" s="36"/>
      <c r="O24" s="36"/>
      <c r="P24" s="36"/>
      <c r="Q24" s="36"/>
      <c r="R24" s="36"/>
    </row>
    <row r="25" spans="1:18" x14ac:dyDescent="0.25">
      <c r="A25" s="2" t="s">
        <v>349</v>
      </c>
      <c r="C25" s="7">
        <f t="shared" ref="C25:H25" si="9">PhiMayCanGap(C$19)</f>
        <v>64791.666700000002</v>
      </c>
      <c r="D25" s="7">
        <f t="shared" si="9"/>
        <v>66354.166700000002</v>
      </c>
      <c r="E25" s="7">
        <f t="shared" si="9"/>
        <v>67916.666700000002</v>
      </c>
      <c r="F25" s="7">
        <f t="shared" si="9"/>
        <v>69479.166700000002</v>
      </c>
      <c r="G25" s="7">
        <f t="shared" si="9"/>
        <v>71041.666700000002</v>
      </c>
      <c r="H25" s="7">
        <f t="shared" si="9"/>
        <v>74166.666700000002</v>
      </c>
      <c r="L25" s="36"/>
      <c r="M25" s="36"/>
      <c r="N25" s="36"/>
      <c r="O25" s="36"/>
      <c r="P25" s="36"/>
      <c r="Q25" s="36"/>
      <c r="R25" s="36"/>
    </row>
    <row r="26" spans="1:18" ht="30" x14ac:dyDescent="0.25">
      <c r="A26" s="2" t="s">
        <v>348</v>
      </c>
      <c r="C26" s="7">
        <f t="shared" ref="C26:H26" si="10">PhiMayBeTruyenThong(C$20) + $E$16</f>
        <v>216250</v>
      </c>
      <c r="D26" s="7">
        <f t="shared" si="10"/>
        <v>226666.6667</v>
      </c>
      <c r="E26" s="7">
        <f t="shared" si="10"/>
        <v>237083.3333</v>
      </c>
      <c r="F26" s="7">
        <f t="shared" si="10"/>
        <v>247500</v>
      </c>
      <c r="G26" s="7">
        <f t="shared" si="10"/>
        <v>257916.6667</v>
      </c>
      <c r="H26" s="7">
        <f t="shared" si="10"/>
        <v>278750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/>
      <c r="C27" s="7"/>
      <c r="D27" s="7"/>
      <c r="E27" s="7"/>
      <c r="F27" s="7"/>
      <c r="G27" s="7"/>
      <c r="H27" s="7"/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353</v>
      </c>
      <c r="C28" s="29">
        <f t="shared" ref="C28:H28" si="11">(C$22 + SUM(C$24:C$26))*(1+$D$8)</f>
        <v>867193.25</v>
      </c>
      <c r="D28" s="29">
        <f t="shared" si="11"/>
        <v>1017831.7917249999</v>
      </c>
      <c r="E28" s="29">
        <f t="shared" si="11"/>
        <v>1168470.3332750001</v>
      </c>
      <c r="F28" s="29">
        <f t="shared" si="11"/>
        <v>1319108.875</v>
      </c>
      <c r="G28" s="29">
        <f t="shared" si="11"/>
        <v>1469747.4167249999</v>
      </c>
      <c r="H28" s="29">
        <f t="shared" si="11"/>
        <v>1771024.5</v>
      </c>
      <c r="L28" s="29">
        <f>L$22*(1+$D$8)</f>
        <v>113472.333275</v>
      </c>
      <c r="M28" s="29">
        <f t="shared" ref="M28:R28" si="12">M$22*(1+$D$8)</f>
        <v>245422.33327499998</v>
      </c>
      <c r="N28" s="29">
        <f t="shared" si="12"/>
        <v>311397.33327499998</v>
      </c>
      <c r="O28" s="29">
        <f t="shared" si="12"/>
        <v>377372.33327499998</v>
      </c>
      <c r="P28" s="29">
        <f t="shared" si="12"/>
        <v>443347.33327499998</v>
      </c>
      <c r="Q28" s="29">
        <f t="shared" si="12"/>
        <v>509322.33327499998</v>
      </c>
      <c r="R28" s="29">
        <f t="shared" si="12"/>
        <v>641272.33327499998</v>
      </c>
    </row>
    <row r="29" spans="1:18" ht="30" x14ac:dyDescent="0.25">
      <c r="A29" s="2" t="s">
        <v>354</v>
      </c>
      <c r="C29" s="29">
        <f t="shared" ref="C29:H29" si="13">(C$23 + SUM(C$24:C$26))*(1+$D$8)</f>
        <v>1112615.5832750001</v>
      </c>
      <c r="D29" s="29">
        <f t="shared" si="13"/>
        <v>1329229.125</v>
      </c>
      <c r="E29" s="29">
        <f t="shared" si="13"/>
        <v>1545842.66655</v>
      </c>
      <c r="F29" s="29">
        <f t="shared" si="13"/>
        <v>1762456.2082750001</v>
      </c>
      <c r="G29" s="29">
        <f t="shared" si="13"/>
        <v>1979069.75</v>
      </c>
      <c r="H29" s="29">
        <f t="shared" si="13"/>
        <v>2412296.8332750001</v>
      </c>
      <c r="L29" s="29">
        <f>L$23*(1+$D$8)</f>
        <v>226944.66654999999</v>
      </c>
      <c r="M29" s="29">
        <f t="shared" ref="M29:R29" si="14">M$23*(1+$D$8)</f>
        <v>490844.66654999997</v>
      </c>
      <c r="N29" s="29">
        <f t="shared" si="14"/>
        <v>622794.66654999997</v>
      </c>
      <c r="O29" s="29">
        <f t="shared" si="14"/>
        <v>754744.66654999997</v>
      </c>
      <c r="P29" s="29">
        <f t="shared" si="14"/>
        <v>886694.66654999997</v>
      </c>
      <c r="Q29" s="29">
        <f t="shared" si="14"/>
        <v>1018644.66655</v>
      </c>
      <c r="R29" s="29">
        <f t="shared" si="14"/>
        <v>1282544.66655</v>
      </c>
    </row>
    <row r="30" spans="1:18" x14ac:dyDescent="0.25">
      <c r="A30" s="2" t="s">
        <v>355</v>
      </c>
      <c r="C30" s="7">
        <f t="shared" ref="C30:H30" si="15">C$28/C$19</f>
        <v>17343.865000000002</v>
      </c>
      <c r="D30" s="7">
        <f t="shared" si="15"/>
        <v>13571.090556333333</v>
      </c>
      <c r="E30" s="7">
        <f t="shared" si="15"/>
        <v>11684.703332750001</v>
      </c>
      <c r="F30" s="7">
        <f t="shared" si="15"/>
        <v>10552.870999999999</v>
      </c>
      <c r="G30" s="7">
        <f t="shared" si="15"/>
        <v>9798.3161114999984</v>
      </c>
      <c r="H30" s="7">
        <f t="shared" si="15"/>
        <v>8855.1224999999995</v>
      </c>
      <c r="L30" s="7">
        <f t="shared" ref="L30:R30" si="16">L$28/L$20</f>
        <v>113472.333275</v>
      </c>
      <c r="M30" s="7">
        <f t="shared" si="16"/>
        <v>4812.2026132352939</v>
      </c>
      <c r="N30" s="7">
        <f t="shared" si="16"/>
        <v>4097.3333325657895</v>
      </c>
      <c r="O30" s="7">
        <f t="shared" si="16"/>
        <v>3736.3597353960395</v>
      </c>
      <c r="P30" s="7">
        <f t="shared" si="16"/>
        <v>3518.6296291666667</v>
      </c>
      <c r="Q30" s="7">
        <f t="shared" si="16"/>
        <v>3372.9955846026487</v>
      </c>
      <c r="R30" s="7">
        <f t="shared" si="16"/>
        <v>3190.4096182835819</v>
      </c>
    </row>
    <row r="31" spans="1:18" x14ac:dyDescent="0.25">
      <c r="A31" s="2" t="s">
        <v>356</v>
      </c>
      <c r="C31" s="7">
        <f t="shared" ref="C31:H31" si="17">C$29/C$19</f>
        <v>22252.311665500001</v>
      </c>
      <c r="D31" s="7">
        <f t="shared" si="17"/>
        <v>17723.055</v>
      </c>
      <c r="E31" s="7">
        <f t="shared" si="17"/>
        <v>15458.426665499999</v>
      </c>
      <c r="F31" s="7">
        <f t="shared" si="17"/>
        <v>14099.649666200001</v>
      </c>
      <c r="G31" s="7">
        <f t="shared" si="17"/>
        <v>13193.798333333334</v>
      </c>
      <c r="H31" s="7">
        <f t="shared" si="17"/>
        <v>12061.484166375001</v>
      </c>
      <c r="L31" s="7">
        <f t="shared" ref="L31:R31" si="18">L$28/L$21</f>
        <v>56736.166637499999</v>
      </c>
      <c r="M31" s="7">
        <f t="shared" si="18"/>
        <v>2406.101306617647</v>
      </c>
      <c r="N31" s="7">
        <f t="shared" si="18"/>
        <v>2048.6666662828948</v>
      </c>
      <c r="O31" s="7">
        <f t="shared" si="18"/>
        <v>1868.1798676980197</v>
      </c>
      <c r="P31" s="7">
        <f t="shared" si="18"/>
        <v>1759.3148145833334</v>
      </c>
      <c r="Q31" s="7">
        <f t="shared" si="18"/>
        <v>1686.4977923013244</v>
      </c>
      <c r="R31" s="7">
        <f t="shared" si="18"/>
        <v>1595.204809141791</v>
      </c>
    </row>
    <row r="32" spans="1:18" x14ac:dyDescent="0.25">
      <c r="A32" s="2"/>
      <c r="C32" s="29"/>
      <c r="D32" s="29"/>
      <c r="E32" s="29"/>
      <c r="F32" s="29"/>
      <c r="G32" s="29"/>
      <c r="H32" s="29"/>
      <c r="L32" s="29"/>
      <c r="M32" s="29"/>
      <c r="N32" s="29"/>
      <c r="O32" s="29"/>
      <c r="P32" s="29"/>
      <c r="Q32" s="29"/>
      <c r="R32" s="29"/>
    </row>
    <row r="33" spans="1:18" x14ac:dyDescent="0.25">
      <c r="A33" s="2"/>
      <c r="C33" s="29"/>
      <c r="D33" s="29"/>
      <c r="E33" s="29"/>
      <c r="F33" s="29"/>
      <c r="G33" s="29"/>
      <c r="H33" s="29"/>
      <c r="L33" s="29">
        <f t="shared" ref="L33:R33" si="19">L$29+L$20*$E$10</f>
        <v>229492.66654999999</v>
      </c>
      <c r="M33" s="29">
        <f t="shared" si="19"/>
        <v>620792.66654999997</v>
      </c>
      <c r="N33" s="29">
        <f t="shared" si="19"/>
        <v>816442.66654999997</v>
      </c>
      <c r="O33" s="29">
        <f t="shared" si="19"/>
        <v>1012092.66655</v>
      </c>
      <c r="P33" s="29">
        <f t="shared" si="19"/>
        <v>1207742.66655</v>
      </c>
      <c r="Q33" s="29">
        <f t="shared" si="19"/>
        <v>1403392.66655</v>
      </c>
      <c r="R33" s="29">
        <f t="shared" si="19"/>
        <v>1794692.66655</v>
      </c>
    </row>
    <row r="34" spans="1:18" x14ac:dyDescent="0.25">
      <c r="A34" s="2"/>
      <c r="C34" s="29"/>
      <c r="D34" s="29"/>
      <c r="E34" s="29"/>
      <c r="F34" s="29"/>
      <c r="G34" s="29"/>
      <c r="H34" s="29"/>
      <c r="L34" s="29">
        <f t="shared" ref="L34:R34" si="20">L$29+L$20*$E$11</f>
        <v>226944.66654999999</v>
      </c>
      <c r="M34" s="29">
        <f t="shared" si="20"/>
        <v>490844.66654999997</v>
      </c>
      <c r="N34" s="29">
        <f t="shared" si="20"/>
        <v>622794.66654999997</v>
      </c>
      <c r="O34" s="29">
        <f t="shared" si="20"/>
        <v>754744.66654999997</v>
      </c>
      <c r="P34" s="29">
        <f t="shared" si="20"/>
        <v>886694.66654999997</v>
      </c>
      <c r="Q34" s="29">
        <f t="shared" si="20"/>
        <v>1018644.66655</v>
      </c>
      <c r="R34" s="29">
        <f t="shared" si="20"/>
        <v>1282544.66655</v>
      </c>
    </row>
    <row r="35" spans="1:18" x14ac:dyDescent="0.25">
      <c r="A35" s="2"/>
    </row>
    <row r="36" spans="1:18" x14ac:dyDescent="0.25">
      <c r="L36" s="7">
        <f>PhiMayCanGap(L$19)*(1+$D$8)</f>
        <v>108026.041725</v>
      </c>
      <c r="M36" s="7">
        <f t="shared" ref="M36:R36" si="21">PhiMayCanGap(M$19)*(1+$D$8)</f>
        <v>113385.416725</v>
      </c>
      <c r="N36" s="7">
        <f t="shared" si="21"/>
        <v>116119.791725</v>
      </c>
      <c r="O36" s="7">
        <f t="shared" si="21"/>
        <v>118854.166725</v>
      </c>
      <c r="P36" s="7">
        <f t="shared" si="21"/>
        <v>121588.541725</v>
      </c>
      <c r="Q36" s="7">
        <f t="shared" si="21"/>
        <v>124322.916725</v>
      </c>
      <c r="R36" s="7">
        <f t="shared" si="21"/>
        <v>129791.666725</v>
      </c>
    </row>
    <row r="37" spans="1:18" x14ac:dyDescent="0.25">
      <c r="A37" s="2"/>
      <c r="C37" s="7"/>
      <c r="D37" s="7"/>
      <c r="E37" s="7"/>
      <c r="F37" s="7"/>
      <c r="G37" s="7"/>
      <c r="H37" s="7"/>
      <c r="L37" s="7">
        <f t="shared" ref="L37:R38" si="22">L$36*1.2</f>
        <v>129631.25006999999</v>
      </c>
      <c r="M37" s="7">
        <f t="shared" si="22"/>
        <v>136062.50007000001</v>
      </c>
      <c r="N37" s="7">
        <f t="shared" si="22"/>
        <v>139343.75007000001</v>
      </c>
      <c r="O37" s="7">
        <f t="shared" si="22"/>
        <v>142625.00007000001</v>
      </c>
      <c r="P37" s="7">
        <f t="shared" si="22"/>
        <v>145906.25007000001</v>
      </c>
      <c r="Q37" s="7">
        <f t="shared" si="22"/>
        <v>149187.50007000001</v>
      </c>
      <c r="R37" s="7">
        <f t="shared" si="22"/>
        <v>155750.00007000001</v>
      </c>
    </row>
    <row r="38" spans="1:18" x14ac:dyDescent="0.25">
      <c r="L38" s="7">
        <f t="shared" si="22"/>
        <v>129631.25006999999</v>
      </c>
      <c r="M38" s="7">
        <f t="shared" si="22"/>
        <v>136062.50007000001</v>
      </c>
      <c r="N38" s="7">
        <f t="shared" si="22"/>
        <v>139343.75007000001</v>
      </c>
      <c r="O38" s="7">
        <f t="shared" si="22"/>
        <v>142625.00007000001</v>
      </c>
      <c r="P38" s="7">
        <f t="shared" si="22"/>
        <v>145906.25007000001</v>
      </c>
      <c r="Q38" s="7">
        <f t="shared" si="22"/>
        <v>149187.50007000001</v>
      </c>
      <c r="R38" s="7">
        <f t="shared" si="22"/>
        <v>155750.00007000001</v>
      </c>
    </row>
    <row r="40" spans="1:18" x14ac:dyDescent="0.25">
      <c r="A40" s="2" t="s">
        <v>357</v>
      </c>
      <c r="C40" s="29">
        <f t="shared" ref="C40:H40" si="23">PhiMayCanMang(C$20,$C$5/100, $D$5/100)*(1+$D$8)+ C$20*$E$14</f>
        <v>153034.99924999999</v>
      </c>
      <c r="D40" s="29">
        <f t="shared" si="23"/>
        <v>165241.35232500001</v>
      </c>
      <c r="E40" s="29">
        <f t="shared" si="23"/>
        <v>176994.7641</v>
      </c>
      <c r="F40" s="29">
        <f t="shared" si="23"/>
        <v>189201.117</v>
      </c>
      <c r="G40" s="29">
        <f t="shared" si="23"/>
        <v>201407.4699</v>
      </c>
      <c r="H40" s="29">
        <f t="shared" si="23"/>
        <v>225367.23457499998</v>
      </c>
      <c r="I40" t="s">
        <v>358</v>
      </c>
      <c r="L40" s="7">
        <f>PhiMayCanMang(L$20,$C$5/100, $D$5/100)*(1+$D$8)</f>
        <v>128333.33345000001</v>
      </c>
      <c r="M40" s="7">
        <f t="shared" ref="M40:R40" si="24">PhiMayCanMang(M$20,$C$5/100, $D$5/100)*(1+$D$8)</f>
        <v>138298.03925</v>
      </c>
      <c r="N40" s="7">
        <f t="shared" si="24"/>
        <v>143280.39232500002</v>
      </c>
      <c r="O40" s="7">
        <f t="shared" si="24"/>
        <v>147809.80410000001</v>
      </c>
      <c r="P40" s="7">
        <f t="shared" si="24"/>
        <v>152792.15700000001</v>
      </c>
      <c r="Q40" s="7">
        <f t="shared" si="24"/>
        <v>157774.5099</v>
      </c>
      <c r="R40" s="7">
        <f t="shared" si="24"/>
        <v>167286.27457499999</v>
      </c>
    </row>
    <row r="41" spans="1:18" x14ac:dyDescent="0.25">
      <c r="A41" s="2" t="s">
        <v>318</v>
      </c>
      <c r="C41" s="7">
        <f t="shared" ref="C41:H41" si="25">C$40/C$19</f>
        <v>3060.6999849999997</v>
      </c>
      <c r="D41" s="7">
        <f t="shared" si="25"/>
        <v>2203.2180310000003</v>
      </c>
      <c r="E41" s="7">
        <f t="shared" si="25"/>
        <v>1769.947641</v>
      </c>
      <c r="F41" s="7">
        <f t="shared" si="25"/>
        <v>1513.6089360000001</v>
      </c>
      <c r="G41" s="7">
        <f t="shared" si="25"/>
        <v>1342.7164660000001</v>
      </c>
      <c r="H41" s="7">
        <f t="shared" si="25"/>
        <v>1126.8361728749999</v>
      </c>
      <c r="L41" s="7"/>
      <c r="M41" s="7">
        <f>M$20*$E$14/M$19</f>
        <v>294.73919999999998</v>
      </c>
      <c r="N41" s="7">
        <f t="shared" ref="N41:R41" si="26">N$20*$E$14/N$19</f>
        <v>292.81279999999998</v>
      </c>
      <c r="O41" s="7">
        <f t="shared" si="26"/>
        <v>291.84960000000001</v>
      </c>
      <c r="P41" s="7">
        <f t="shared" si="26"/>
        <v>291.27168</v>
      </c>
      <c r="Q41" s="7">
        <f t="shared" si="26"/>
        <v>290.88639999999998</v>
      </c>
      <c r="R41" s="7">
        <f t="shared" si="26"/>
        <v>290.40480000000002</v>
      </c>
    </row>
    <row r="42" spans="1:18" x14ac:dyDescent="0.25">
      <c r="A42" s="2" t="s">
        <v>310</v>
      </c>
      <c r="C42" s="7">
        <f t="shared" ref="C42:H42" si="27">PhiMayCanMang(C$20*2,$C$5/100, $D$5/100)*(1+$D$8)+ C$20*$E$14*2</f>
        <v>177736.665225</v>
      </c>
      <c r="D42" s="7">
        <f t="shared" si="27"/>
        <v>201696.42989999999</v>
      </c>
      <c r="E42" s="7">
        <f t="shared" si="27"/>
        <v>226109.13587499998</v>
      </c>
      <c r="F42" s="7">
        <f t="shared" si="27"/>
        <v>250068.90055000002</v>
      </c>
      <c r="G42" s="7">
        <f t="shared" si="27"/>
        <v>274481.60635000002</v>
      </c>
      <c r="H42" s="7">
        <f t="shared" si="27"/>
        <v>322854.07699999999</v>
      </c>
      <c r="L42" s="7"/>
      <c r="M42" s="7"/>
      <c r="N42" s="7"/>
      <c r="O42" s="7"/>
      <c r="P42" s="7"/>
      <c r="Q42" s="7"/>
      <c r="R42" s="7"/>
    </row>
    <row r="43" spans="1:18" x14ac:dyDescent="0.25">
      <c r="A43" s="2" t="s">
        <v>351</v>
      </c>
      <c r="C43" s="7">
        <f t="shared" ref="C43:H43" si="28">C$42/C$19</f>
        <v>3554.7333045</v>
      </c>
      <c r="D43" s="7">
        <f t="shared" si="28"/>
        <v>2689.2857319999998</v>
      </c>
      <c r="E43" s="7">
        <f t="shared" si="28"/>
        <v>2261.0913587499999</v>
      </c>
      <c r="F43" s="7">
        <f t="shared" si="28"/>
        <v>2000.5512044000002</v>
      </c>
      <c r="G43" s="7">
        <f t="shared" si="28"/>
        <v>1829.8773756666667</v>
      </c>
      <c r="H43" s="7">
        <f t="shared" si="28"/>
        <v>1614.270385</v>
      </c>
      <c r="M43" s="7"/>
      <c r="N43" s="7"/>
      <c r="O43" s="7"/>
      <c r="P43" s="7"/>
      <c r="Q43" s="7"/>
      <c r="R43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2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dimension ref="A1:H25"/>
  <sheetViews>
    <sheetView workbookViewId="0">
      <selection activeCell="C11" sqref="C11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359</v>
      </c>
    </row>
    <row r="2" spans="1:8" x14ac:dyDescent="0.25">
      <c r="A2" t="s">
        <v>290</v>
      </c>
      <c r="B2" s="35">
        <v>43609</v>
      </c>
    </row>
    <row r="3" spans="1:8" x14ac:dyDescent="0.25">
      <c r="B3" t="s">
        <v>206</v>
      </c>
      <c r="C3" t="s">
        <v>278</v>
      </c>
    </row>
    <row r="4" spans="1:8" x14ac:dyDescent="0.25">
      <c r="A4" t="s">
        <v>277</v>
      </c>
      <c r="B4">
        <v>29.7</v>
      </c>
      <c r="C4">
        <v>21</v>
      </c>
    </row>
    <row r="5" spans="1:8" ht="30" x14ac:dyDescent="0.25">
      <c r="A5" t="s">
        <v>275</v>
      </c>
      <c r="B5" s="1" t="s">
        <v>364</v>
      </c>
      <c r="E5" s="2" t="s">
        <v>300</v>
      </c>
    </row>
    <row r="6" spans="1:8" x14ac:dyDescent="0.25">
      <c r="A6" t="s">
        <v>288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302</v>
      </c>
    </row>
    <row r="8" spans="1:8" x14ac:dyDescent="0.25">
      <c r="B8" t="s">
        <v>284</v>
      </c>
      <c r="C8" t="s">
        <v>285</v>
      </c>
      <c r="D8" t="s">
        <v>287</v>
      </c>
      <c r="E8" t="s">
        <v>286</v>
      </c>
    </row>
    <row r="9" spans="1:8" x14ac:dyDescent="0.25">
      <c r="A9" t="s">
        <v>283</v>
      </c>
      <c r="B9" t="s">
        <v>362</v>
      </c>
      <c r="C9" t="s">
        <v>363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279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298</v>
      </c>
      <c r="E13">
        <f>E$12/$D$6 +1</f>
        <v>26</v>
      </c>
      <c r="F13">
        <f t="shared" ref="F13:H13" si="0">F$12/$D$6 +1</f>
        <v>51</v>
      </c>
      <c r="G13">
        <f t="shared" si="0"/>
        <v>101</v>
      </c>
      <c r="H13">
        <f t="shared" si="0"/>
        <v>201</v>
      </c>
    </row>
    <row r="14" spans="1:8" ht="30" x14ac:dyDescent="0.25">
      <c r="A14" s="2" t="s">
        <v>299</v>
      </c>
      <c r="E14">
        <f>E$13*$E$6</f>
        <v>52</v>
      </c>
      <c r="F14">
        <f t="shared" ref="F14:H14" si="1">F$13*$E$6</f>
        <v>102</v>
      </c>
      <c r="G14">
        <f t="shared" si="1"/>
        <v>202</v>
      </c>
      <c r="H14">
        <f t="shared" si="1"/>
        <v>402</v>
      </c>
    </row>
    <row r="15" spans="1:8" x14ac:dyDescent="0.25">
      <c r="A15" s="2" t="s">
        <v>293</v>
      </c>
      <c r="E15" s="36">
        <f>PhiMayInToner4M(E$14)</f>
        <v>102541.3333</v>
      </c>
      <c r="F15" s="36">
        <f t="shared" ref="F15:H15" si="2">PhiMayInToner4M(F$14)</f>
        <v>140241.3333</v>
      </c>
      <c r="G15" s="36">
        <f t="shared" si="2"/>
        <v>215641.3333</v>
      </c>
      <c r="H15" s="36">
        <f t="shared" si="2"/>
        <v>366441.3333</v>
      </c>
    </row>
    <row r="16" spans="1:8" x14ac:dyDescent="0.25">
      <c r="A16" s="2" t="s">
        <v>360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 t="shared" ref="F16:H16" si="3">H$13*$D$9</f>
        <v>251250</v>
      </c>
    </row>
    <row r="17" spans="1:8" x14ac:dyDescent="0.25">
      <c r="A17" s="2" t="s">
        <v>361</v>
      </c>
      <c r="E17" s="36">
        <f>SUM(E$15:E$16)</f>
        <v>135041.3333</v>
      </c>
      <c r="F17" s="36">
        <f t="shared" ref="F17:H17" si="4">SUM(F$15:F$16)</f>
        <v>203991.3333</v>
      </c>
      <c r="G17" s="36">
        <f t="shared" si="4"/>
        <v>341891.3333</v>
      </c>
      <c r="H17" s="36">
        <f t="shared" si="4"/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295</v>
      </c>
      <c r="E23" s="29">
        <f>E$17*(1+$D$7)</f>
        <v>236322.33327499998</v>
      </c>
      <c r="F23" s="29">
        <f t="shared" ref="F23:H23" si="5">F$17*(1+$D$7)</f>
        <v>356984.83327499998</v>
      </c>
      <c r="G23" s="29">
        <f t="shared" si="5"/>
        <v>598309.83327499998</v>
      </c>
      <c r="H23" s="29">
        <f t="shared" si="5"/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9"/>
  <sheetViews>
    <sheetView tabSelected="1" topLeftCell="D6" workbookViewId="0">
      <selection activeCell="U29" sqref="U29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326</v>
      </c>
      <c r="Q14" t="s">
        <v>329</v>
      </c>
      <c r="R14">
        <v>1600</v>
      </c>
    </row>
    <row r="15" spans="1:18" x14ac:dyDescent="0.25">
      <c r="P15" t="s">
        <v>272</v>
      </c>
      <c r="Q15" t="s">
        <v>273</v>
      </c>
      <c r="R15">
        <v>1030</v>
      </c>
    </row>
    <row r="16" spans="1:18" x14ac:dyDescent="0.25">
      <c r="P16" t="s">
        <v>340</v>
      </c>
      <c r="Q16" t="s">
        <v>341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327</v>
      </c>
      <c r="Q18" t="s">
        <v>328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232</v>
      </c>
      <c r="Q22" t="s">
        <v>253</v>
      </c>
      <c r="R22">
        <v>488</v>
      </c>
    </row>
    <row r="23" spans="16:18" x14ac:dyDescent="0.25">
      <c r="P23" t="s">
        <v>233</v>
      </c>
      <c r="Q23" t="s">
        <v>254</v>
      </c>
      <c r="R23">
        <v>584</v>
      </c>
    </row>
    <row r="24" spans="16:18" x14ac:dyDescent="0.25">
      <c r="P24" t="s">
        <v>229</v>
      </c>
      <c r="Q24" t="s">
        <v>255</v>
      </c>
      <c r="R24">
        <v>700</v>
      </c>
    </row>
    <row r="25" spans="16:18" x14ac:dyDescent="0.25">
      <c r="P25" t="s">
        <v>231</v>
      </c>
      <c r="Q25" t="s">
        <v>255</v>
      </c>
      <c r="R25">
        <v>0</v>
      </c>
    </row>
    <row r="26" spans="16:18" x14ac:dyDescent="0.25">
      <c r="P26" t="s">
        <v>228</v>
      </c>
      <c r="Q26" t="s">
        <v>256</v>
      </c>
      <c r="R26">
        <v>900</v>
      </c>
    </row>
    <row r="27" spans="16:18" x14ac:dyDescent="0.25">
      <c r="P27" t="s">
        <v>227</v>
      </c>
      <c r="Q27" t="s">
        <v>257</v>
      </c>
      <c r="R27">
        <v>740</v>
      </c>
    </row>
    <row r="28" spans="16:18" x14ac:dyDescent="0.25">
      <c r="P28" t="s">
        <v>230</v>
      </c>
      <c r="Q28" t="s">
        <v>258</v>
      </c>
      <c r="R28">
        <v>1232</v>
      </c>
    </row>
    <row r="29" spans="16:18" x14ac:dyDescent="0.25">
      <c r="P29" t="s">
        <v>235</v>
      </c>
      <c r="Q29" t="s">
        <v>259</v>
      </c>
    </row>
    <row r="30" spans="16:18" x14ac:dyDescent="0.25">
      <c r="P30" t="s">
        <v>234</v>
      </c>
      <c r="Q30" t="s">
        <v>261</v>
      </c>
    </row>
    <row r="31" spans="16:18" x14ac:dyDescent="0.25">
      <c r="P31" t="s">
        <v>236</v>
      </c>
      <c r="Q31" t="s">
        <v>260</v>
      </c>
    </row>
    <row r="32" spans="16:18" x14ac:dyDescent="0.25">
      <c r="P32" t="s">
        <v>237</v>
      </c>
      <c r="Q32" t="s">
        <v>262</v>
      </c>
    </row>
    <row r="33" spans="16:18" x14ac:dyDescent="0.25">
      <c r="P33" t="s">
        <v>241</v>
      </c>
      <c r="Q33" t="s">
        <v>263</v>
      </c>
    </row>
    <row r="34" spans="16:18" x14ac:dyDescent="0.25">
      <c r="P34" t="s">
        <v>240</v>
      </c>
      <c r="Q34" t="s">
        <v>264</v>
      </c>
    </row>
    <row r="35" spans="16:18" x14ac:dyDescent="0.25">
      <c r="P35" t="s">
        <v>239</v>
      </c>
      <c r="Q35" t="s">
        <v>265</v>
      </c>
    </row>
    <row r="36" spans="16:18" x14ac:dyDescent="0.25">
      <c r="P36" t="s">
        <v>238</v>
      </c>
      <c r="Q36" t="s">
        <v>266</v>
      </c>
    </row>
    <row r="37" spans="16:18" x14ac:dyDescent="0.25">
      <c r="P37" t="s">
        <v>330</v>
      </c>
      <c r="Q37" t="s">
        <v>331</v>
      </c>
      <c r="R37">
        <v>4200</v>
      </c>
    </row>
    <row r="38" spans="16:18" x14ac:dyDescent="0.25">
      <c r="P38" t="s">
        <v>332</v>
      </c>
      <c r="Q38" t="s">
        <v>333</v>
      </c>
      <c r="R38">
        <v>3500</v>
      </c>
    </row>
    <row r="39" spans="16:18" x14ac:dyDescent="0.25">
      <c r="P39" t="s">
        <v>362</v>
      </c>
      <c r="Q39" t="s">
        <v>363</v>
      </c>
      <c r="R39">
        <v>1250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27</vt:i4>
      </vt:variant>
      <vt:variant>
        <vt:lpstr>Phạm vi Có tên</vt:lpstr>
      </vt:variant>
      <vt:variant>
        <vt:i4>7</vt:i4>
      </vt:variant>
    </vt:vector>
  </HeadingPairs>
  <TitlesOfParts>
    <vt:vector size="34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2019-05-29T09:51:55Z</dcterms:modified>
</cp:coreProperties>
</file>