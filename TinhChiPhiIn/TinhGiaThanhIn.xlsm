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8B5930BE-3FC9-4188-A279-7339EC2278E0}" xr6:coauthVersionLast="43" xr6:coauthVersionMax="43" xr10:uidLastSave="{00000000-0000-0000-0000-000000000000}"/>
  <bookViews>
    <workbookView xWindow="-120" yWindow="-120" windowWidth="29040" windowHeight="15990" firstSheet="14" activeTab="20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DanhThiep" sheetId="16" r:id="rId13"/>
    <sheet name="SP-ToRoi-A4" sheetId="17" r:id="rId14"/>
    <sheet name="SP-ToRoi-A5" sheetId="18" r:id="rId15"/>
    <sheet name="SP-ToRoi-A6" sheetId="19" r:id="rId16"/>
    <sheet name="SP-ToRoi-DL" sheetId="20" r:id="rId17"/>
    <sheet name="SP-Broc-A4" sheetId="21" r:id="rId18"/>
    <sheet name="SP-Broc-A5" sheetId="22" r:id="rId19"/>
    <sheet name="SP-Broc-A3" sheetId="23" r:id="rId20"/>
    <sheet name="SP-Broc-3A3" sheetId="24" r:id="rId21"/>
    <sheet name="Base-MayIn" sheetId="10" r:id="rId22"/>
    <sheet name="NguyenVatLieu" sheetId="13" r:id="rId23"/>
    <sheet name="Base-Margin" sheetId="15" r:id="rId24"/>
  </sheets>
  <functionGroups builtInGroupCount="19"/>
  <definedNames>
    <definedName name="atools_list_filter_1" localSheetId="11" hidden="1">BaiCMYK!$E$8:$F$9</definedName>
    <definedName name="atools_list_filter_1" localSheetId="20" hidden="1">'SP-Broc-3A3'!$B$10:$D$11</definedName>
    <definedName name="atools_list_filter_1" localSheetId="19" hidden="1">'SP-Broc-A3'!$B$10:$D$11</definedName>
    <definedName name="atools_list_filter_1" localSheetId="17" hidden="1">'SP-Broc-A4'!$B$10:$D$11</definedName>
    <definedName name="atools_list_filter_1" localSheetId="13" hidden="1">'SP-ToRoi-A4'!$B$21:$D$21</definedName>
    <definedName name="atools_list_filter_1_colinvisibles_ext" localSheetId="11" hidden="1">""</definedName>
    <definedName name="atools_list_filter_1_colinvisibles_ext" localSheetId="20" hidden="1">";;"</definedName>
    <definedName name="atools_list_filter_1_colinvisibles_ext" localSheetId="19" hidden="1">";;"</definedName>
    <definedName name="atools_list_filter_1_colinvisibles_ext" localSheetId="17" hidden="1">";;"</definedName>
    <definedName name="atools_list_filter_1_colinvisibles_ext" localSheetId="13" hidden="1">";;"</definedName>
    <definedName name="atools_list_filter_1_colsrcidxs_ext" localSheetId="11" hidden="1">"1;3"</definedName>
    <definedName name="atools_list_filter_1_colsrcidxs_ext" localSheetId="20" hidden="1">"1;2;3"</definedName>
    <definedName name="atools_list_filter_1_colsrcidxs_ext" localSheetId="19" hidden="1">"1;2;3"</definedName>
    <definedName name="atools_list_filter_1_colsrcidxs_ext" localSheetId="17" hidden="1">"1;2;3"</definedName>
    <definedName name="atools_list_filter_1_colsrcidxs_ext" localSheetId="13" hidden="1">"1;2;3"</definedName>
    <definedName name="atools_list_filter_1_colwidths_ext" localSheetId="11" hidden="1">""</definedName>
    <definedName name="atools_list_filter_1_colwidths_ext" localSheetId="20" hidden="1">"88;96;84"</definedName>
    <definedName name="atools_list_filter_1_colwidths_ext" localSheetId="19" hidden="1">"88;96;84"</definedName>
    <definedName name="atools_list_filter_1_colwidths_ext" localSheetId="17" hidden="1">"88;96;84"</definedName>
    <definedName name="atools_list_filter_1_colwidths_ext" localSheetId="13" hidden="1">"88;96;84"</definedName>
    <definedName name="atools_list_filter_1_onrangeaddr" localSheetId="11" hidden="1">"$E$8:$F$9"</definedName>
    <definedName name="atools_list_filter_1_onrangeaddr" localSheetId="20" hidden="1">"='SP-Broc-3A3'!$B$10:$D$11"</definedName>
    <definedName name="atools_list_filter_1_onrangeaddr" localSheetId="19" hidden="1">"='SP-Broc-A3'!$B$10:$D$11"</definedName>
    <definedName name="atools_list_filter_1_onrangeaddr" localSheetId="17" hidden="1">"='SP-Broc-A4'!$B$9:$D$10"</definedName>
    <definedName name="atools_list_filter_1_onrangeaddr" localSheetId="13" hidden="1">"='SP-ToRoi-A4'!$B$12:$D$12"</definedName>
    <definedName name="atools_list_filter_1_pos_ext" localSheetId="11" hidden="1">""</definedName>
    <definedName name="atools_list_filter_1_pos_ext" localSheetId="20" hidden="1">"0;1;2"</definedName>
    <definedName name="atools_list_filter_1_pos_ext" localSheetId="19" hidden="1">"0;1;2"</definedName>
    <definedName name="atools_list_filter_1_pos_ext" localSheetId="17" hidden="1">"0;1;2"</definedName>
    <definedName name="atools_list_filter_1_pos_ext" localSheetId="13" hidden="1">"0;1;2"</definedName>
    <definedName name="atools_list_filter_1_proper" localSheetId="11" hidden="1">"1|1|0|0|0|||0|0||0|,||1||1||0|18|0|2.0|1|1|1|0"</definedName>
    <definedName name="atools_list_filter_1_proper" localSheetId="20" hidden="1">"1|1|0|0|0|||305|309||0|,||1||0||0|18|185|2.0|1|1|1|0"</definedName>
    <definedName name="atools_list_filter_1_proper" localSheetId="19" hidden="1">"1|1|0|0|0|||305|309||0|,||1||0||0|18|185|2.0|1|1|1|0"</definedName>
    <definedName name="atools_list_filter_1_proper" localSheetId="17" hidden="1">"1|1|0|0|0|||305|309||0|,||1||0||0|18|185|2.0|1|1|1|0"</definedName>
    <definedName name="atools_list_filter_1_proper" localSheetId="13" hidden="1">"1|1|0|0|0|||305|309||0|,||1||0||0|18|185|2.0|1|1|1|0"</definedName>
    <definedName name="atools_list_filter_1_source" localSheetId="11" hidden="1">GIA_KHUON_EP_KIM</definedName>
    <definedName name="atools_list_filter_1_source" localSheetId="20" hidden="1">GIA_GIAY_CO_BAN</definedName>
    <definedName name="atools_list_filter_1_source" localSheetId="19" hidden="1">GIA_GIAY_CO_BAN</definedName>
    <definedName name="atools_list_filter_1_source" localSheetId="17" hidden="1">GIA_GIAY_CO_BAN</definedName>
    <definedName name="atools_list_filter_1_source" localSheetId="13" hidden="1">GIA_GIAY_CO_BAN</definedName>
    <definedName name="atools_list_filter_1_sourceaddr" localSheetId="11" hidden="1">"GIA_KHUON_EP_KIM"</definedName>
    <definedName name="atools_list_filter_1_sourceaddr" localSheetId="20" hidden="1">"=GIA_GIAY_CO_BAN"</definedName>
    <definedName name="atools_list_filter_1_sourceaddr" localSheetId="19" hidden="1">"=GIA_GIAY_CO_BAN"</definedName>
    <definedName name="atools_list_filter_1_sourceaddr" localSheetId="17" hidden="1">"=GIA_GIAY_CO_BAN"</definedName>
    <definedName name="atools_list_filter_1_sourceaddr" localSheetId="13" hidden="1">"=GIA_GIAY_CO_BAN"</definedName>
    <definedName name="atools_list_filter_8" localSheetId="11" hidden="1">BaiCMYK!$E$12:$F$12</definedName>
    <definedName name="atools_list_filter_8" localSheetId="17" hidden="1">'SP-Broc-A4'!$B$14:$D$14</definedName>
    <definedName name="atools_list_filter_8_colinvisibles_ext" localSheetId="11" hidden="1">";;"</definedName>
    <definedName name="atools_list_filter_8_colinvisibles_ext" localSheetId="17" hidden="1">";;"</definedName>
    <definedName name="atools_list_filter_8_colsrcidxs_ext" localSheetId="11" hidden="1">"1;3"</definedName>
    <definedName name="atools_list_filter_8_colsrcidxs_ext" localSheetId="17" hidden="1">"1;2;3"</definedName>
    <definedName name="atools_list_filter_8_colwidths_ext" localSheetId="11" hidden="1">"103;96;93"</definedName>
    <definedName name="atools_list_filter_8_colwidths_ext" localSheetId="17" hidden="1">"68;96;88"</definedName>
    <definedName name="atools_list_filter_8_onrangeaddr" localSheetId="11" hidden="1">"=BaiCMYK!$E$12:$F$12"</definedName>
    <definedName name="atools_list_filter_8_onrangeaddr" localSheetId="17" hidden="1">"='SP-Broc-A4'!$B$12:$D$12"</definedName>
    <definedName name="atools_list_filter_8_pos_ext" localSheetId="11" hidden="1">"0;1;2"</definedName>
    <definedName name="atools_list_filter_8_pos_ext" localSheetId="17" hidden="1">"0;1;2"</definedName>
    <definedName name="atools_list_filter_8_proper" localSheetId="11" hidden="1">"1|1|0|0|0|||329|309||0|,||1||0||0|18|185|2.0|1|1|1|0"</definedName>
    <definedName name="atools_list_filter_8_proper" localSheetId="17" hidden="1">"1|1|0|0|0|||289|309||0|,||1||0||0|18|185|2.0|1|1|1|0"</definedName>
    <definedName name="atools_list_filter_8_source" localSheetId="11" hidden="1">GIA_NHU_EP_KIM</definedName>
    <definedName name="atools_list_filter_8_source" localSheetId="17" hidden="1">GIA_MANG</definedName>
    <definedName name="atools_list_filter_8_sourceaddr" localSheetId="11" hidden="1">"=GIA_NHU_EP_KIM"</definedName>
    <definedName name="atools_list_filter_8_sourceaddr" localSheetId="17" hidden="1">"=GIA_MANG"</definedName>
    <definedName name="GIA_GIAY_CO_BAN">NguyenVatLieu!$P$2:$R$40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8" i="24" l="1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O33" i="24"/>
  <c r="R29" i="24"/>
  <c r="N29" i="24"/>
  <c r="I29" i="24"/>
  <c r="E29" i="24"/>
  <c r="R33" i="24"/>
  <c r="N33" i="24"/>
  <c r="Q29" i="24"/>
  <c r="M29" i="24"/>
  <c r="H29" i="24"/>
  <c r="Q19" i="24"/>
  <c r="M19" i="24"/>
  <c r="L35" i="24"/>
  <c r="Q33" i="24"/>
  <c r="M33" i="24"/>
  <c r="P29" i="24"/>
  <c r="L29" i="24"/>
  <c r="G29" i="24"/>
  <c r="J29" i="24"/>
  <c r="L19" i="24"/>
  <c r="F19" i="24"/>
  <c r="J19" i="24"/>
  <c r="P33" i="24"/>
  <c r="F29" i="24"/>
  <c r="P19" i="24"/>
  <c r="L33" i="24"/>
  <c r="O19" i="24"/>
  <c r="O35" i="24"/>
  <c r="O29" i="24"/>
  <c r="G19" i="24"/>
  <c r="P34" i="24" l="1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I35" i="24"/>
  <c r="H35" i="24"/>
  <c r="P35" i="24"/>
  <c r="H19" i="24"/>
  <c r="E33" i="24"/>
  <c r="N19" i="24"/>
  <c r="G35" i="24"/>
  <c r="J35" i="24"/>
  <c r="I33" i="24"/>
  <c r="G33" i="24"/>
  <c r="J33" i="24"/>
  <c r="E19" i="24"/>
  <c r="R35" i="24"/>
  <c r="F35" i="24"/>
  <c r="I19" i="24"/>
  <c r="R19" i="24"/>
  <c r="H33" i="24"/>
  <c r="F33" i="24"/>
  <c r="Q35" i="24"/>
  <c r="N35" i="24"/>
  <c r="E35" i="24"/>
  <c r="M35" i="24"/>
  <c r="G8" i="11" a="1"/>
  <c r="B2" i="11" a="1"/>
  <c r="I29" i="23"/>
  <c r="P29" i="23"/>
  <c r="N33" i="23"/>
  <c r="P35" i="23"/>
  <c r="O35" i="23"/>
  <c r="E35" i="23"/>
  <c r="G35" i="23"/>
  <c r="F33" i="23"/>
  <c r="M29" i="23"/>
  <c r="L33" i="23"/>
  <c r="F29" i="23"/>
  <c r="Q33" i="23"/>
  <c r="H29" i="23"/>
  <c r="I35" i="23"/>
  <c r="J29" i="23"/>
  <c r="O33" i="23"/>
  <c r="E29" i="23"/>
  <c r="G29" i="23"/>
  <c r="Q29" i="23"/>
  <c r="M33" i="23"/>
  <c r="F35" i="23"/>
  <c r="O29" i="23"/>
  <c r="P33" i="23"/>
  <c r="R29" i="23"/>
  <c r="L35" i="23"/>
  <c r="J35" i="23"/>
  <c r="L29" i="23"/>
  <c r="H35" i="23"/>
  <c r="N29" i="23"/>
  <c r="R33" i="23"/>
  <c r="L19" i="23"/>
  <c r="J33" i="23"/>
  <c r="E36" i="24" l="1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26" i="24"/>
  <c r="O27" i="24"/>
  <c r="O26" i="24"/>
  <c r="G24" i="24"/>
  <c r="G23" i="24"/>
  <c r="Q27" i="24"/>
  <c r="Q26" i="24"/>
  <c r="J27" i="24"/>
  <c r="J26" i="24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27" i="24"/>
  <c r="J8" i="11"/>
  <c r="I9" i="11"/>
  <c r="H10" i="11"/>
  <c r="G11" i="11"/>
  <c r="K11" i="11"/>
  <c r="G8" i="11"/>
  <c r="K8" i="11"/>
  <c r="J9" i="11"/>
  <c r="I10" i="11"/>
  <c r="H11" i="11"/>
  <c r="H8" i="11"/>
  <c r="G9" i="11"/>
  <c r="K9" i="11"/>
  <c r="J10" i="11"/>
  <c r="I11" i="11"/>
  <c r="I8" i="11"/>
  <c r="H9" i="11"/>
  <c r="G10" i="11"/>
  <c r="K10" i="11"/>
  <c r="J11" i="1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P19" i="23"/>
  <c r="Q19" i="23"/>
  <c r="F19" i="23"/>
  <c r="I19" i="23"/>
  <c r="E19" i="23"/>
  <c r="P33" i="22"/>
  <c r="G35" i="22"/>
  <c r="I35" i="22"/>
  <c r="O33" i="22"/>
  <c r="L33" i="22"/>
  <c r="Q29" i="22"/>
  <c r="M29" i="22"/>
  <c r="R19" i="23"/>
  <c r="R35" i="23"/>
  <c r="E33" i="23"/>
  <c r="F29" i="22"/>
  <c r="N29" i="22"/>
  <c r="E29" i="22"/>
  <c r="P35" i="22"/>
  <c r="N19" i="23"/>
  <c r="M35" i="23"/>
  <c r="Q35" i="23"/>
  <c r="G33" i="22"/>
  <c r="N33" i="22"/>
  <c r="H35" i="22"/>
  <c r="G33" i="23"/>
  <c r="I33" i="23"/>
  <c r="H29" i="22"/>
  <c r="M33" i="22"/>
  <c r="L35" i="22"/>
  <c r="G29" i="22"/>
  <c r="H19" i="23"/>
  <c r="J19" i="23"/>
  <c r="I29" i="22"/>
  <c r="Q33" i="22"/>
  <c r="O29" i="22"/>
  <c r="J29" i="22"/>
  <c r="N35" i="23"/>
  <c r="M19" i="23"/>
  <c r="R33" i="22"/>
  <c r="L29" i="22"/>
  <c r="L19" i="22"/>
  <c r="E35" i="22"/>
  <c r="J33" i="22"/>
  <c r="O19" i="23"/>
  <c r="G19" i="23"/>
  <c r="H33" i="23"/>
  <c r="F33" i="22"/>
  <c r="P29" i="22"/>
  <c r="R29" i="22"/>
  <c r="N27" i="24" l="1"/>
  <c r="N26" i="24"/>
  <c r="H27" i="24"/>
  <c r="H26" i="24"/>
  <c r="I24" i="24"/>
  <c r="I23" i="24"/>
  <c r="E27" i="24"/>
  <c r="E26" i="24"/>
  <c r="I27" i="24"/>
  <c r="I26" i="24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Q29" i="21"/>
  <c r="G33" i="21"/>
  <c r="E29" i="21"/>
  <c r="H33" i="22"/>
  <c r="R35" i="21"/>
  <c r="O29" i="21"/>
  <c r="H35" i="21"/>
  <c r="H19" i="21"/>
  <c r="J19" i="22"/>
  <c r="Q19" i="21"/>
  <c r="I35" i="21"/>
  <c r="O33" i="21"/>
  <c r="F29" i="21"/>
  <c r="M35" i="21"/>
  <c r="G19" i="21"/>
  <c r="P33" i="21"/>
  <c r="J33" i="21"/>
  <c r="O35" i="22"/>
  <c r="F33" i="21"/>
  <c r="P29" i="21"/>
  <c r="J35" i="22"/>
  <c r="P35" i="21"/>
  <c r="M19" i="22"/>
  <c r="I33" i="21"/>
  <c r="G35" i="21"/>
  <c r="O19" i="21"/>
  <c r="J29" i="21"/>
  <c r="Q35" i="22"/>
  <c r="H33" i="21"/>
  <c r="R19" i="21"/>
  <c r="J35" i="21"/>
  <c r="E33" i="22"/>
  <c r="O35" i="21"/>
  <c r="L35" i="21"/>
  <c r="M33" i="21"/>
  <c r="E19" i="21"/>
  <c r="R19" i="22"/>
  <c r="N29" i="21"/>
  <c r="E33" i="21"/>
  <c r="F35" i="22"/>
  <c r="M35" i="22"/>
  <c r="R33" i="21"/>
  <c r="N19" i="22"/>
  <c r="N19" i="21"/>
  <c r="I33" i="22"/>
  <c r="Q33" i="21"/>
  <c r="R35" i="22"/>
  <c r="M29" i="21"/>
  <c r="J19" i="21"/>
  <c r="N35" i="22"/>
  <c r="L33" i="21"/>
  <c r="G29" i="21"/>
  <c r="F19" i="21"/>
  <c r="P19" i="22"/>
  <c r="F19" i="22"/>
  <c r="R29" i="21"/>
  <c r="N33" i="21"/>
  <c r="E35" i="21"/>
  <c r="Q19" i="22"/>
  <c r="O19" i="22"/>
  <c r="Q35" i="21"/>
  <c r="L29" i="21"/>
  <c r="I29" i="21"/>
  <c r="E19" i="22"/>
  <c r="N35" i="21"/>
  <c r="P19" i="21"/>
  <c r="I19" i="22"/>
  <c r="F35" i="21"/>
  <c r="H19" i="22"/>
  <c r="H29" i="21"/>
  <c r="G19" i="22"/>
  <c r="M19" i="21"/>
  <c r="I19" i="21"/>
  <c r="P27" i="23" l="1"/>
  <c r="N27" i="23"/>
  <c r="N26" i="23"/>
  <c r="Q24" i="23"/>
  <c r="Q23" i="23"/>
  <c r="G24" i="23"/>
  <c r="G23" i="23"/>
  <c r="J24" i="23"/>
  <c r="J23" i="23"/>
  <c r="E27" i="23"/>
  <c r="E26" i="23"/>
  <c r="N23" i="23"/>
  <c r="N24" i="23"/>
  <c r="Q27" i="23"/>
  <c r="Q26" i="23"/>
  <c r="F27" i="23"/>
  <c r="F26" i="23"/>
  <c r="I27" i="23"/>
  <c r="I26" i="23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26" i="23"/>
  <c r="O27" i="23"/>
  <c r="O26" i="23"/>
  <c r="R23" i="23"/>
  <c r="R24" i="23"/>
  <c r="G26" i="23"/>
  <c r="G27" i="23"/>
  <c r="J27" i="23"/>
  <c r="J26" i="23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0" i="22"/>
  <c r="Q22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Q24" i="22"/>
  <c r="Q23" i="22"/>
  <c r="Q26" i="22"/>
  <c r="Q27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E21" i="17"/>
  <c r="J14" i="17"/>
  <c r="I14" i="17"/>
  <c r="H14" i="17"/>
  <c r="G14" i="17"/>
  <c r="F14" i="17"/>
  <c r="E14" i="17"/>
  <c r="J13" i="17"/>
  <c r="I13" i="17"/>
  <c r="H13" i="17"/>
  <c r="G13" i="17"/>
  <c r="F13" i="17"/>
  <c r="E13" i="17"/>
  <c r="F15" i="20"/>
  <c r="F15" i="18"/>
  <c r="J15" i="19"/>
  <c r="H15" i="18"/>
  <c r="G15" i="20"/>
  <c r="J15" i="18"/>
  <c r="G15" i="17"/>
  <c r="J15" i="17"/>
  <c r="I15" i="18"/>
  <c r="F15" i="17"/>
  <c r="I15" i="17"/>
  <c r="E15" i="18"/>
  <c r="H15" i="20"/>
  <c r="G15" i="18"/>
  <c r="H15" i="17"/>
  <c r="E15" i="17"/>
  <c r="I15" i="19"/>
  <c r="L19" i="21"/>
  <c r="G15" i="19"/>
  <c r="F15" i="19"/>
  <c r="E15" i="19"/>
  <c r="M27" i="22" l="1"/>
  <c r="H26" i="21"/>
  <c r="H27" i="21"/>
  <c r="F27" i="21"/>
  <c r="F26" i="21"/>
  <c r="E26" i="21"/>
  <c r="E27" i="21"/>
  <c r="G27" i="21"/>
  <c r="G26" i="21"/>
  <c r="J27" i="21"/>
  <c r="J26" i="21"/>
  <c r="I26" i="21"/>
  <c r="I27" i="21"/>
  <c r="M23" i="22"/>
  <c r="N26" i="22"/>
  <c r="N27" i="22"/>
  <c r="E27" i="22"/>
  <c r="E26" i="22"/>
  <c r="G26" i="22"/>
  <c r="G27" i="22"/>
  <c r="F27" i="22"/>
  <c r="F26" i="22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26" i="22"/>
  <c r="I27" i="22"/>
  <c r="I26" i="22"/>
  <c r="F24" i="22"/>
  <c r="F23" i="22"/>
  <c r="H26" i="22"/>
  <c r="H27" i="22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E16" i="17"/>
  <c r="E18" i="17" s="1"/>
  <c r="E23" i="17" s="1"/>
  <c r="J16" i="17"/>
  <c r="J18" i="17" s="1"/>
  <c r="I16" i="17"/>
  <c r="I18" i="17" s="1"/>
  <c r="H16" i="17"/>
  <c r="H18" i="17" s="1"/>
  <c r="H23" i="17" s="1"/>
  <c r="F16" i="17"/>
  <c r="F18" i="17" s="1"/>
  <c r="F23" i="17" s="1"/>
  <c r="G16" i="17"/>
  <c r="G18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G17" i="18"/>
  <c r="G16" i="18"/>
  <c r="G18" i="18" s="1"/>
  <c r="G23" i="18" s="1"/>
  <c r="H16" i="18"/>
  <c r="H18" i="18" s="1"/>
  <c r="H23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E17" i="17"/>
  <c r="I17" i="17"/>
  <c r="I23" i="17"/>
  <c r="F17" i="17"/>
  <c r="G17" i="17"/>
  <c r="G23" i="17"/>
  <c r="H17" i="17"/>
  <c r="J23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H15" i="19"/>
  <c r="J15" i="20"/>
  <c r="E15" i="20"/>
  <c r="I15" i="20"/>
  <c r="L27" i="21" l="1"/>
  <c r="L26" i="21"/>
  <c r="L23" i="21"/>
  <c r="L24" i="21"/>
  <c r="J22" i="17"/>
  <c r="J20" i="17"/>
  <c r="J19" i="17"/>
  <c r="G22" i="17"/>
  <c r="G19" i="17"/>
  <c r="G20" i="17"/>
  <c r="I22" i="17"/>
  <c r="I20" i="17"/>
  <c r="I19" i="17"/>
  <c r="H22" i="17"/>
  <c r="H19" i="17"/>
  <c r="H20" i="17"/>
  <c r="F22" i="17"/>
  <c r="F20" i="17"/>
  <c r="F19" i="17"/>
  <c r="E22" i="17"/>
  <c r="E20" i="17"/>
  <c r="E19" i="17"/>
  <c r="E21" i="20"/>
  <c r="E17" i="20"/>
  <c r="E16" i="20"/>
  <c r="E18" i="20" s="1"/>
  <c r="E23" i="20" s="1"/>
  <c r="J16" i="20"/>
  <c r="J18" i="20" s="1"/>
  <c r="J17" i="20"/>
  <c r="I16" i="20"/>
  <c r="I18" i="20" s="1"/>
  <c r="I17" i="20"/>
  <c r="H23" i="20"/>
  <c r="H22" i="20"/>
  <c r="H19" i="20"/>
  <c r="H20" i="20"/>
  <c r="J21" i="20"/>
  <c r="G23" i="20"/>
  <c r="G22" i="20"/>
  <c r="G19" i="20"/>
  <c r="G20" i="20"/>
  <c r="I21" i="20"/>
  <c r="F23" i="20"/>
  <c r="F22" i="20"/>
  <c r="F19" i="20"/>
  <c r="F20" i="20"/>
  <c r="H16" i="19"/>
  <c r="H18" i="19" s="1"/>
  <c r="H23" i="19" s="1"/>
  <c r="H17" i="19"/>
  <c r="G22" i="19"/>
  <c r="G19" i="19"/>
  <c r="G20" i="19"/>
  <c r="G23" i="19"/>
  <c r="J19" i="19"/>
  <c r="J20" i="19"/>
  <c r="J22" i="19"/>
  <c r="J23" i="19"/>
  <c r="F22" i="19"/>
  <c r="F19" i="19"/>
  <c r="F20" i="19"/>
  <c r="H22" i="19"/>
  <c r="H19" i="19"/>
  <c r="H20" i="19"/>
  <c r="I19" i="19"/>
  <c r="I22" i="19"/>
  <c r="I20" i="19"/>
  <c r="E23" i="19"/>
  <c r="I23" i="19"/>
  <c r="E20" i="19"/>
  <c r="E22" i="19"/>
  <c r="E19" i="19"/>
  <c r="G22" i="18"/>
  <c r="G19" i="18"/>
  <c r="G20" i="18"/>
  <c r="J19" i="18"/>
  <c r="J20" i="18"/>
  <c r="J22" i="18"/>
  <c r="J23" i="18"/>
  <c r="F22" i="18"/>
  <c r="F19" i="18"/>
  <c r="F20" i="18"/>
  <c r="H22" i="18"/>
  <c r="H19" i="18"/>
  <c r="H20" i="18"/>
  <c r="I19" i="18"/>
  <c r="I20" i="18"/>
  <c r="I22" i="18"/>
  <c r="E22" i="18"/>
  <c r="E20" i="18"/>
  <c r="E19" i="18"/>
  <c r="I23" i="18"/>
  <c r="E23" i="18"/>
  <c r="E3" i="14"/>
  <c r="R4" i="2" a="1"/>
  <c r="B5" i="2"/>
  <c r="I23" i="20" l="1"/>
  <c r="J19" i="20"/>
  <c r="J20" i="20"/>
  <c r="J22" i="20"/>
  <c r="I19" i="20"/>
  <c r="I22" i="20"/>
  <c r="I20" i="20"/>
  <c r="J23" i="20"/>
  <c r="E20" i="20"/>
  <c r="E22" i="20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21" i="6"/>
  <c r="B20" i="6"/>
  <c r="B18" i="6"/>
  <c r="B17" i="6"/>
  <c r="B9" i="6"/>
  <c r="B7" i="6"/>
  <c r="B12" i="6"/>
  <c r="B15" i="6"/>
  <c r="B11" i="6"/>
  <c r="B19" i="6"/>
  <c r="B14" i="6"/>
  <c r="B8" i="6"/>
  <c r="B10" i="6"/>
  <c r="B6" i="6"/>
  <c r="B22" i="6"/>
  <c r="B13" i="6"/>
  <c r="B1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9" i="12"/>
  <c r="E12" i="12"/>
  <c r="E5" i="12"/>
  <c r="E26" i="12"/>
  <c r="E36" i="12"/>
  <c r="E20" i="12"/>
  <c r="E34" i="12"/>
  <c r="E18" i="12"/>
  <c r="E15" i="12"/>
  <c r="E24" i="12"/>
  <c r="E21" i="12"/>
  <c r="E7" i="12"/>
  <c r="E8" i="12"/>
  <c r="E13" i="12"/>
  <c r="E6" i="12"/>
  <c r="E11" i="12"/>
  <c r="E31" i="12"/>
  <c r="E16" i="12"/>
  <c r="E22" i="12"/>
  <c r="E27" i="12"/>
  <c r="E33" i="12"/>
  <c r="E25" i="12"/>
  <c r="E23" i="12"/>
  <c r="E10" i="12"/>
  <c r="E29" i="12"/>
  <c r="E35" i="12"/>
  <c r="E19" i="12"/>
  <c r="E30" i="12"/>
  <c r="E17" i="12"/>
  <c r="E28" i="12"/>
  <c r="E32" i="12"/>
  <c r="B6" i="4"/>
  <c r="E14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8" i="5"/>
  <c r="B19" i="9"/>
  <c r="B27" i="8"/>
  <c r="B17" i="7"/>
  <c r="B16" i="9"/>
  <c r="B20" i="8"/>
  <c r="B17" i="8"/>
  <c r="B25" i="4"/>
  <c r="B31" i="8"/>
  <c r="B15" i="5"/>
  <c r="B13" i="4"/>
  <c r="B7" i="5"/>
  <c r="B22" i="5"/>
  <c r="B20" i="9"/>
  <c r="B7" i="9"/>
  <c r="B30" i="8"/>
  <c r="B12" i="8"/>
  <c r="B29" i="8"/>
  <c r="B32" i="8"/>
  <c r="B19" i="7"/>
  <c r="B25" i="8"/>
  <c r="B22" i="4"/>
  <c r="B18" i="7"/>
  <c r="B18" i="4"/>
  <c r="B28" i="8"/>
  <c r="B9" i="7"/>
  <c r="B5" i="9"/>
  <c r="B13" i="7"/>
  <c r="B13" i="9"/>
  <c r="B23" i="8"/>
  <c r="B18" i="9"/>
  <c r="B8" i="8"/>
  <c r="B14" i="4"/>
  <c r="B24" i="8"/>
  <c r="B6" i="9"/>
  <c r="B21" i="7"/>
  <c r="B18" i="8"/>
  <c r="B9" i="4"/>
  <c r="B26" i="8"/>
  <c r="B23" i="5"/>
  <c r="B13" i="8"/>
  <c r="B34" i="8"/>
  <c r="B11" i="4"/>
  <c r="B19" i="8"/>
  <c r="B5" i="8"/>
  <c r="B11" i="8"/>
  <c r="B13" i="5"/>
  <c r="B12" i="5"/>
  <c r="B14" i="9"/>
  <c r="B22" i="8"/>
  <c r="B12" i="7"/>
  <c r="B21" i="8"/>
  <c r="B24" i="5"/>
  <c r="B10" i="5"/>
  <c r="B18" i="5"/>
  <c r="B35" i="8"/>
  <c r="B10" i="4"/>
  <c r="B15" i="4"/>
  <c r="B36" i="8"/>
  <c r="B14" i="8"/>
  <c r="B7" i="7"/>
  <c r="B16" i="4"/>
  <c r="B9" i="8"/>
  <c r="B6" i="5"/>
  <c r="B15" i="9"/>
  <c r="B6" i="7"/>
  <c r="B7" i="8"/>
  <c r="B33" i="8"/>
  <c r="B8" i="7"/>
  <c r="B11" i="9"/>
  <c r="B7" i="4"/>
  <c r="B24" i="4"/>
  <c r="B17" i="5"/>
  <c r="B15" i="8"/>
  <c r="B10" i="8"/>
  <c r="B20" i="7"/>
  <c r="B22" i="7"/>
  <c r="B17" i="4"/>
  <c r="B20" i="5"/>
  <c r="B21" i="4"/>
  <c r="B10" i="9"/>
  <c r="B19" i="4"/>
  <c r="B12" i="4"/>
  <c r="B14" i="7"/>
  <c r="B14" i="5"/>
  <c r="B16" i="7"/>
  <c r="B17" i="9"/>
  <c r="B21" i="5"/>
  <c r="B9" i="9"/>
  <c r="B8" i="9"/>
  <c r="B16" i="5"/>
  <c r="B11" i="7"/>
  <c r="B15" i="7"/>
  <c r="B19" i="5"/>
  <c r="B6" i="8"/>
  <c r="B8" i="4"/>
  <c r="B23" i="4"/>
  <c r="B11" i="5"/>
  <c r="B25" i="5"/>
  <c r="B20" i="4"/>
  <c r="B16" i="8"/>
  <c r="B10" i="7"/>
  <c r="B12" i="9"/>
  <c r="B9" i="5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F10" i="8"/>
  <c r="G10" i="8" s="1"/>
  <c r="I10" i="8"/>
  <c r="I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F23" i="8" l="1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63" i="2"/>
  <c r="B9" i="1"/>
  <c r="B33" i="1"/>
  <c r="B72" i="2"/>
  <c r="B29" i="2"/>
  <c r="B10" i="1"/>
  <c r="B47" i="2"/>
  <c r="B69" i="2"/>
  <c r="B71" i="2"/>
  <c r="B27" i="2"/>
  <c r="B48" i="2"/>
  <c r="B33" i="2"/>
  <c r="B66" i="2"/>
  <c r="B22" i="2"/>
  <c r="B62" i="2"/>
  <c r="B36" i="1"/>
  <c r="B18" i="2"/>
  <c r="B31" i="1"/>
  <c r="B16" i="2"/>
  <c r="B44" i="2"/>
  <c r="B51" i="2"/>
  <c r="B50" i="2"/>
  <c r="B14" i="1"/>
  <c r="B20" i="1"/>
  <c r="B41" i="2"/>
  <c r="B26" i="1"/>
  <c r="B24" i="2"/>
  <c r="B11" i="2"/>
  <c r="B25" i="2"/>
  <c r="B17" i="1"/>
  <c r="B24" i="1"/>
  <c r="B70" i="2"/>
  <c r="B11" i="1"/>
  <c r="B13" i="2"/>
  <c r="B18" i="1"/>
  <c r="B8" i="2"/>
  <c r="B7" i="2"/>
  <c r="B31" i="2"/>
  <c r="B15" i="1"/>
  <c r="B27" i="1"/>
  <c r="B59" i="2"/>
  <c r="B21" i="1"/>
  <c r="B19" i="1"/>
  <c r="B64" i="2"/>
  <c r="B35" i="1"/>
  <c r="B17" i="2"/>
  <c r="B6" i="2"/>
  <c r="B28" i="2"/>
  <c r="B46" i="2"/>
  <c r="B52" i="2"/>
  <c r="B34" i="2"/>
  <c r="B61" i="2"/>
  <c r="B53" i="2"/>
  <c r="B16" i="1"/>
  <c r="B22" i="1"/>
  <c r="B32" i="1"/>
  <c r="B42" i="2"/>
  <c r="B15" i="2"/>
  <c r="B23" i="2"/>
  <c r="B9" i="2"/>
  <c r="B5" i="1"/>
  <c r="B57" i="2"/>
  <c r="B23" i="1"/>
  <c r="B45" i="2"/>
  <c r="B8" i="1"/>
  <c r="B19" i="2"/>
  <c r="B13" i="1"/>
  <c r="B49" i="2"/>
  <c r="B34" i="1"/>
  <c r="B54" i="2"/>
  <c r="B14" i="2"/>
  <c r="B55" i="2"/>
  <c r="B56" i="2"/>
  <c r="B30" i="1"/>
  <c r="B28" i="1"/>
  <c r="B36" i="2"/>
  <c r="B25" i="1"/>
  <c r="B26" i="2"/>
  <c r="B30" i="2"/>
  <c r="B7" i="1"/>
  <c r="B43" i="2"/>
  <c r="B10" i="2"/>
  <c r="B68" i="2"/>
  <c r="B6" i="1"/>
  <c r="B12" i="1"/>
  <c r="B20" i="2"/>
  <c r="B12" i="2"/>
  <c r="B29" i="1"/>
  <c r="B60" i="2"/>
  <c r="B58" i="2"/>
  <c r="B65" i="2"/>
  <c r="B67" i="2"/>
  <c r="B21" i="2"/>
  <c r="B32" i="2"/>
  <c r="B35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<sst xmlns="http://schemas.openxmlformats.org/spreadsheetml/2006/main" count="794" uniqueCount="330">
  <si>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</si>
  <si>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</si>
  <si>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</si>
  <si>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</si>
  <si>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</si>
  <si>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</si>
  <si>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</si>
  <si>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</si>
  <si>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</si>
  <si>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</si>
  <si>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</si>
  <si>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</si>
  <si>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</si>
  <si>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</si>
  <si>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</si>
  <si>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</si>
  <si>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</si>
  <si>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</si>
  <si>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</si>
  <si>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</si>
  <si>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</si>
  <si>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</si>
  <si>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</si>
  <si>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</si>
  <si>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</si>
  <si>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</si>
  <si>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</si>
  <si>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</si>
  <si>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</si>
  <si>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</si>
  <si>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</si>
  <si>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</si>
  <si>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</si>
  <si>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</si>
  <si>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</si>
  <si>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</si>
  <si>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</si>
  <si>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</si>
  <si>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</si>
  <si>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</si>
  <si>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</si>
  <si>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</si>
  <si>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</si>
  <si>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</si>
  <si>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</si>
  <si>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</si>
  <si>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</si>
  <si>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</si>
  <si>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</si>
  <si>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</si>
  <si>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</si>
  <si>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</si>
  <si>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</si>
  <si>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</si>
  <si>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</si>
  <si>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</si>
  <si>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</si>
  <si>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</si>
  <si>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</si>
  <si>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</si>
  <si>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</si>
  <si>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</si>
  <si>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</si>
  <si>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</si>
  <si>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</si>
  <si>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</si>
  <si>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</si>
  <si>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</si>
  <si>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</si>
  <si>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</si>
  <si>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</si>
  <si>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</si>
  <si>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</si>
  <si>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</si>
  <si>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</si>
  <si>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</si>
  <si>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</si>
  <si>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</si>
  <si>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</si>
  <si>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</si>
  <si>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</si>
  <si>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</si>
  <si>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</si>
  <si>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</si>
  <si>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</si>
  <si>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</si>
  <si>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</si>
  <si>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</si>
  <si>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</si>
  <si>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</si>
  <si>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</si>
  <si>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</si>
  <si>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</si>
  <si>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</si>
  <si>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</si>
  <si>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</si>
  <si>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</si>
  <si>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</si>
  <si>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</si>
  <si>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</si>
  <si>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</si>
  <si>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</si>
  <si>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</si>
  <si>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</si>
  <si>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</si>
  <si>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</si>
  <si>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</si>
  <si>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</si>
  <si>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</si>
  <si>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</si>
  <si>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</si>
  <si>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</si>
  <si>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</si>
  <si>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</si>
  <si>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</si>
  <si>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</si>
  <si>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</si>
  <si>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</si>
  <si>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</si>
  <si>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</si>
  <si>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</si>
  <si>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</si>
  <si>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</si>
  <si>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</si>
  <si>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</si>
  <si>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</si>
  <si>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</si>
  <si>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</si>
  <si>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</si>
  <si>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</si>
  <si>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</si>
  <si>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</si>
  <si>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</si>
  <si>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</si>
  <si>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</si>
  <si>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</si>
  <si>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</si>
  <si>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</si>
  <si>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</si>
  <si>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</si>
  <si>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</si>
  <si>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</si>
  <si>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</si>
  <si>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</si>
  <si>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</si>
  <si>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</si>
  <si>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</si>
  <si>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</si>
  <si>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</si>
  <si>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</si>
  <si>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</si>
  <si>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</si>
  <si>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</si>
  <si>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</si>
  <si>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</si>
  <si>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</si>
  <si>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</si>
  <si>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</si>
  <si>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</si>
  <si>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</si>
  <si>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</si>
  <si>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</si>
  <si>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</si>
  <si>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</si>
  <si>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</si>
  <si>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</si>
  <si>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</si>
  <si>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</si>
  <si>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</si>
  <si>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</si>
  <si>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</si>
  <si>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</si>
  <si>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</si>
  <si>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</si>
  <si>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</si>
  <si>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</si>
  <si>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</si>
  <si>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</si>
  <si>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</si>
  <si>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</si>
  <si>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</si>
  <si>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</si>
  <si>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</si>
  <si>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</si>
  <si>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</si>
  <si>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</si>
  <si>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</si>
  <si>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</si>
  <si>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</si>
  <si>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</si>
  <si>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</si>
  <si>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</si>
  <si>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</si>
  <si>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</si>
  <si>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</si>
  <si>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</si>
  <si>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</si>
  <si>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</si>
  <si>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</si>
  <si>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</si>
  <si>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</si>
  <si>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</si>
  <si>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</si>
  <si>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</si>
  <si>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</si>
  <si>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</si>
  <si>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</si>
  <si>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</si>
  <si>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</si>
  <si>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</si>
  <si>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</si>
  <si>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</si>
  <si>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</si>
  <si>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</si>
  <si>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</si>
  <si>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</si>
  <si>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</si>
  <si>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</si>
  <si>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</si>
  <si>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</si>
  <si>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</si>
  <si>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</si>
  <si>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</si>
  <si>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</si>
  <si>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</si>
  <si>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</si>
  <si>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</si>
  <si>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</si>
  <si>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</si>
  <si>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</si>
  <si>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</si>
  <si>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FOR150-32x43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</si>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</sst>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Segoe UI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280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281</v>
      </c>
      <c r="K4" s="2" t="s">
        <v>282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325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"/>
  <sheetViews>
    <sheetView workbookViewId="0">
      <selection activeCell="M30" sqref="M30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4"/>
  <sheetViews>
    <sheetView workbookViewId="0">
      <selection activeCell="D13" sqref="D13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29.7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E$12/$D$6 +1</f>
        <v>26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299</v>
      </c>
      <c r="E14">
        <f>E$13*$E$6</f>
        <v>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293</v>
      </c>
      <c r="E15" s="36">
        <f>PhiMayInToner4M(E$14)</f>
        <v>102541.3333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301</v>
      </c>
      <c r="E16" s="36">
        <f>E$15*2</f>
        <v>205082.6666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294</v>
      </c>
      <c r="E17" s="29">
        <f t="shared" ref="E17:J17" si="4">E$15*(1+$D$7)</f>
        <v>179447.33327499998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297</v>
      </c>
      <c r="E18" s="29">
        <f>E$16*(1+$D$7)</f>
        <v>358894.66654999997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289</v>
      </c>
      <c r="E19" s="7">
        <f>E$17/E$13</f>
        <v>6901.8205105769221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291</v>
      </c>
      <c r="E20" s="7">
        <f>E$17/E$14</f>
        <v>3450.910255288461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292</v>
      </c>
      <c r="E21" s="29">
        <f>$E$9*E$13</f>
        <v>23432.5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295</v>
      </c>
      <c r="E22" s="29">
        <f>E$17+E$21</f>
        <v>202879.83327499998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296</v>
      </c>
      <c r="E23" s="29">
        <f>E$18+E$21</f>
        <v>382327.16654999997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4"/>
  <sheetViews>
    <sheetView workbookViewId="0">
      <selection activeCell="E28" sqref="E28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299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293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301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294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297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289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291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292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295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296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4"/>
  <sheetViews>
    <sheetView workbookViewId="0">
      <selection activeCell="G5" sqref="G5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299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293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301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294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297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289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291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292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295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296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4"/>
  <sheetViews>
    <sheetView workbookViewId="0">
      <selection activeCell="H7" sqref="H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305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299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293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301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294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297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289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291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292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295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296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36"/>
  <sheetViews>
    <sheetView topLeftCell="A10" workbookViewId="0">
      <selection activeCell="I22" sqref="I2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314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29.7</v>
      </c>
      <c r="C4">
        <v>21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299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293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301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294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297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289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291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317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318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310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319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36"/>
  <sheetViews>
    <sheetView topLeftCell="A10" workbookViewId="0">
      <selection activeCell="M34" sqref="M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321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15</v>
      </c>
      <c r="C4">
        <v>20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322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299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293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301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294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297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289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291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317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318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310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319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36"/>
  <sheetViews>
    <sheetView topLeftCell="A10" workbookViewId="0">
      <selection activeCell="G34" sqref="G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21</v>
      </c>
      <c r="C4">
        <v>42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270</v>
      </c>
      <c r="C10" t="s">
        <v>271</v>
      </c>
      <c r="D10">
        <v>785</v>
      </c>
      <c r="E10" s="7">
        <f>D10*(1+$D$8)</f>
        <v>1373.75</v>
      </c>
    </row>
    <row r="11" spans="1:18" x14ac:dyDescent="0.25">
      <c r="B11" t="s">
        <v>272</v>
      </c>
      <c r="C11" t="s">
        <v>273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293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301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294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297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289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291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324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153034.99924999999</v>
      </c>
      <c r="F33" s="7">
        <f t="shared" ref="F33:J33" si="17">PhiMayCanMang(F$17,$C$5/100, $D$5/100)*(1+$D$8)+ F$17*$E$14</f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318</v>
      </c>
      <c r="E34" s="7">
        <f>E$33/E$16</f>
        <v>3060.6999849999997</v>
      </c>
      <c r="F34" s="7">
        <f t="shared" ref="F34:J34" si="19">F$33/F$16</f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>M$17*$E$14/M$16</f>
        <v>294.73919999999998</v>
      </c>
      <c r="N34" s="7">
        <f t="shared" ref="N34:R34" si="20">N$17*$E$14/N$16</f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310</v>
      </c>
      <c r="E35" s="7">
        <f>PhiMayCanMang(E$17*2,$C$5/100, $D$5/100)*(1+$D$8)+ E$17*$E$14*2</f>
        <v>177736.665225</v>
      </c>
      <c r="F35" s="7">
        <f t="shared" ref="F35:J35" si="21">PhiMayCanMang(F$17*2,$C$5/100, $D$5/100)*(1+$D$8)+ F$17*$E$14*2</f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319</v>
      </c>
      <c r="E36" s="7">
        <f>E$35/E$16</f>
        <v>3554.7333045</v>
      </c>
      <c r="F36" s="7">
        <f t="shared" ref="F36:J36" si="23">F$35/F$16</f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>M$17*2*$E$14/M$16</f>
        <v>589.47839999999997</v>
      </c>
      <c r="N36" s="7">
        <f t="shared" ref="N36:R36" si="24">N$17*2*$E$14/N$16</f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36"/>
  <sheetViews>
    <sheetView tabSelected="1" topLeftCell="A13" workbookViewId="0">
      <selection activeCell="E27" sqref="E27:J27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32</v>
      </c>
      <c r="C4">
        <v>63</v>
      </c>
    </row>
    <row r="5" spans="1:18" ht="30" x14ac:dyDescent="0.25">
      <c r="A5" t="s">
        <v>275</v>
      </c>
      <c r="B5" s="1" t="s">
        <v>145</v>
      </c>
      <c r="C5">
        <v>32</v>
      </c>
      <c r="D5">
        <v>65</v>
      </c>
      <c r="E5" s="2" t="s">
        <v>300</v>
      </c>
    </row>
    <row r="6" spans="1:18" x14ac:dyDescent="0.25">
      <c r="B6" s="1"/>
      <c r="C6" t="s">
        <v>313</v>
      </c>
      <c r="D6">
        <f>$C$5/100*$D$5/100</f>
        <v>0.20800000000000002</v>
      </c>
      <c r="E6" s="2"/>
    </row>
    <row r="7" spans="1:18" x14ac:dyDescent="0.25">
      <c r="A7" t="s">
        <v>288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326</v>
      </c>
      <c r="C10" t="s">
        <v>329</v>
      </c>
      <c r="D10">
        <v>1600</v>
      </c>
      <c r="E10" s="7">
        <f>D10*(1+$D$8)</f>
        <v>2800</v>
      </c>
    </row>
    <row r="11" spans="1:18" x14ac:dyDescent="0.25">
      <c r="B11" t="s">
        <v>327</v>
      </c>
      <c r="C11" t="s">
        <v>328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293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301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294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297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289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291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324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147390.13344999999</v>
      </c>
      <c r="F33" s="7">
        <f t="shared" ref="F33:J33" si="17">PhiMayCanMang(F$17,$C$5/100, $D$5/100)*(1+$D$8)+ F$17*$E$14</f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318</v>
      </c>
      <c r="E34" s="7">
        <f>E$33/E$16</f>
        <v>5895.6053379999994</v>
      </c>
      <c r="F34" s="7">
        <f t="shared" ref="F34:J34" si="19">F$33/F$16</f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>M$17*$E$14/M$16</f>
        <v>445.536</v>
      </c>
      <c r="N34" s="7">
        <f t="shared" ref="N34:R34" si="20">N$17*$E$14/N$16</f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310</v>
      </c>
      <c r="E35" s="7">
        <f>PhiMayCanMang(E$17*2,$C$5/100, $D$5/100)*(1+$D$8)+ E$17*$E$14*2</f>
        <v>166446.93345000001</v>
      </c>
      <c r="F35" s="7">
        <f t="shared" ref="F35:J35" si="21">PhiMayCanMang(F$17*2,$C$5/100, $D$5/100)*(1+$D$8)+ F$17*$E$14*2</f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319</v>
      </c>
      <c r="E36" s="7">
        <f>E$35/E$16</f>
        <v>6657.8773380000002</v>
      </c>
      <c r="F36" s="7">
        <f t="shared" ref="F36:J36" si="23">F$35/F$16</f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>M$17*2*$E$14/M$16</f>
        <v>891.072</v>
      </c>
      <c r="N36" s="7">
        <f t="shared" ref="N36:R36" si="24">N$17*2*$E$14/N$16</f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5 B12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0:B11" xr:uid="{A5961F2B-F452-4EA7-83E4-14CD4CF92766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35"/>
  <sheetViews>
    <sheetView topLeftCell="D1" workbookViewId="0">
      <selection activeCell="S15" sqref="S15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6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244</v>
      </c>
      <c r="Q3" t="s">
        <v>267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242</v>
      </c>
      <c r="Q4" t="s">
        <v>248</v>
      </c>
      <c r="R4">
        <v>324</v>
      </c>
    </row>
    <row r="5" spans="1:18" x14ac:dyDescent="0.25">
      <c r="P5" t="s">
        <v>243</v>
      </c>
      <c r="Q5" t="s">
        <v>250</v>
      </c>
      <c r="R5">
        <v>488</v>
      </c>
    </row>
    <row r="6" spans="1:18" x14ac:dyDescent="0.25">
      <c r="P6" t="s">
        <v>245</v>
      </c>
      <c r="Q6" t="s">
        <v>251</v>
      </c>
      <c r="R6">
        <v>355</v>
      </c>
    </row>
    <row r="7" spans="1:18" x14ac:dyDescent="0.25">
      <c r="P7" t="s">
        <v>246</v>
      </c>
      <c r="Q7" t="s">
        <v>249</v>
      </c>
      <c r="R7">
        <v>500</v>
      </c>
    </row>
    <row r="8" spans="1:18" x14ac:dyDescent="0.25">
      <c r="P8" t="s">
        <v>247</v>
      </c>
      <c r="Q8" t="s">
        <v>252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268</v>
      </c>
      <c r="Q10" t="s">
        <v>269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270</v>
      </c>
      <c r="Q13" t="s">
        <v>271</v>
      </c>
      <c r="R13">
        <v>785</v>
      </c>
    </row>
    <row r="14" spans="1:18" x14ac:dyDescent="0.25">
      <c r="P14" t="s">
        <v>326</v>
      </c>
      <c r="Q14" t="s">
        <v>329</v>
      </c>
      <c r="R14">
        <v>1600</v>
      </c>
    </row>
    <row r="15" spans="1:18" x14ac:dyDescent="0.25">
      <c r="P15" t="s">
        <v>272</v>
      </c>
      <c r="Q15" t="s">
        <v>273</v>
      </c>
      <c r="R15">
        <v>1030</v>
      </c>
    </row>
    <row r="16" spans="1:18" x14ac:dyDescent="0.25">
      <c r="P16" t="s">
        <v>223</v>
      </c>
      <c r="Q16" t="s">
        <v>216</v>
      </c>
      <c r="R16">
        <v>1272</v>
      </c>
    </row>
    <row r="17" spans="16:18" x14ac:dyDescent="0.25">
      <c r="P17" t="s">
        <v>327</v>
      </c>
      <c r="Q17" t="s">
        <v>328</v>
      </c>
      <c r="R17">
        <v>2060</v>
      </c>
    </row>
    <row r="18" spans="16:18" x14ac:dyDescent="0.25">
      <c r="P18" t="s">
        <v>224</v>
      </c>
      <c r="Q18" t="s">
        <v>217</v>
      </c>
      <c r="R18">
        <v>1200</v>
      </c>
    </row>
    <row r="19" spans="16:18" x14ac:dyDescent="0.25">
      <c r="P19" t="s">
        <v>225</v>
      </c>
      <c r="Q19" t="s">
        <v>218</v>
      </c>
      <c r="R19">
        <v>1456</v>
      </c>
    </row>
    <row r="20" spans="16:18" x14ac:dyDescent="0.25">
      <c r="P20" t="s">
        <v>226</v>
      </c>
      <c r="Q20" t="s">
        <v>219</v>
      </c>
      <c r="R20">
        <v>1704</v>
      </c>
    </row>
    <row r="21" spans="16:18" x14ac:dyDescent="0.25">
      <c r="P21" t="s">
        <v>232</v>
      </c>
      <c r="Q21" t="s">
        <v>253</v>
      </c>
      <c r="R21">
        <v>488</v>
      </c>
    </row>
    <row r="22" spans="16:18" x14ac:dyDescent="0.25">
      <c r="P22" t="s">
        <v>233</v>
      </c>
      <c r="Q22" t="s">
        <v>254</v>
      </c>
      <c r="R22">
        <v>584</v>
      </c>
    </row>
    <row r="23" spans="16:18" x14ac:dyDescent="0.25">
      <c r="P23" t="s">
        <v>229</v>
      </c>
      <c r="Q23" t="s">
        <v>255</v>
      </c>
      <c r="R23">
        <v>700</v>
      </c>
    </row>
    <row r="24" spans="16:18" x14ac:dyDescent="0.25">
      <c r="P24" t="s">
        <v>231</v>
      </c>
      <c r="Q24" t="s">
        <v>255</v>
      </c>
      <c r="R24">
        <v>0</v>
      </c>
    </row>
    <row r="25" spans="16:18" x14ac:dyDescent="0.25">
      <c r="P25" t="s">
        <v>228</v>
      </c>
      <c r="Q25" t="s">
        <v>256</v>
      </c>
      <c r="R25">
        <v>900</v>
      </c>
    </row>
    <row r="26" spans="16:18" x14ac:dyDescent="0.25">
      <c r="P26" t="s">
        <v>227</v>
      </c>
      <c r="Q26" t="s">
        <v>257</v>
      </c>
      <c r="R26">
        <v>740</v>
      </c>
    </row>
    <row r="27" spans="16:18" x14ac:dyDescent="0.25">
      <c r="P27" t="s">
        <v>230</v>
      </c>
      <c r="Q27" t="s">
        <v>258</v>
      </c>
      <c r="R27">
        <v>1232</v>
      </c>
    </row>
    <row r="28" spans="16:18" x14ac:dyDescent="0.25">
      <c r="P28" t="s">
        <v>235</v>
      </c>
      <c r="Q28" t="s">
        <v>259</v>
      </c>
    </row>
    <row r="29" spans="16:18" x14ac:dyDescent="0.25">
      <c r="P29" t="s">
        <v>234</v>
      </c>
      <c r="Q29" t="s">
        <v>261</v>
      </c>
    </row>
    <row r="30" spans="16:18" x14ac:dyDescent="0.25">
      <c r="P30" t="s">
        <v>236</v>
      </c>
      <c r="Q30" t="s">
        <v>260</v>
      </c>
    </row>
    <row r="31" spans="16:18" x14ac:dyDescent="0.25">
      <c r="P31" t="s">
        <v>237</v>
      </c>
      <c r="Q31" t="s">
        <v>262</v>
      </c>
    </row>
    <row r="32" spans="16:18" x14ac:dyDescent="0.25">
      <c r="P32" t="s">
        <v>241</v>
      </c>
      <c r="Q32" t="s">
        <v>263</v>
      </c>
    </row>
    <row r="33" spans="16:17" x14ac:dyDescent="0.25">
      <c r="P33" t="s">
        <v>240</v>
      </c>
      <c r="Q33" t="s">
        <v>264</v>
      </c>
    </row>
    <row r="34" spans="16:17" x14ac:dyDescent="0.25">
      <c r="P34" t="s">
        <v>239</v>
      </c>
      <c r="Q34" t="s">
        <v>265</v>
      </c>
    </row>
    <row r="35" spans="16:17" x14ac:dyDescent="0.25">
      <c r="P35" t="s">
        <v>238</v>
      </c>
      <c r="Q35" t="s">
        <v>266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24</vt:i4>
      </vt:variant>
      <vt:variant>
        <vt:lpstr>Phạm vi Có tên</vt:lpstr>
      </vt:variant>
      <vt:variant>
        <vt:i4>7</vt:i4>
      </vt:variant>
    </vt:vector>
  </HeadingPairs>
  <TitlesOfParts>
    <vt:vector size="31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SP-DanhThiep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2019-05-27T10:03:00Z</dcterms:modified>
</cp:coreProperties>
</file>