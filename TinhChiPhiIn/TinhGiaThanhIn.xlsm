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filterPrivacy="1" codeName="Sô_la_mviê_cNa_y"/>
  <xr:revisionPtr revIDLastSave="0" documentId="13_ncr:1_{1E2B9653-BC7B-4059-ADF3-979EF94A622E}" xr6:coauthVersionLast="43" xr6:coauthVersionMax="43" xr10:uidLastSave="{00000000-0000-0000-0000-000000000000}"/>
  <bookViews>
    <workbookView xWindow="-120" yWindow="-120" windowWidth="29040" windowHeight="15840" firstSheet="10" activeTab="13" xr2:uid="{00000000-000D-0000-FFFF-FFFF00000000}"/>
  </bookViews>
  <sheets>
    <sheet name="Cuon-KeoPUR" sheetId="7" r:id="rId1"/>
    <sheet name="Cuon-KeoEva" sheetId="6" r:id="rId2"/>
    <sheet name="Cuon-KimLong" sheetId="5" r:id="rId3"/>
    <sheet name="CanGap" sheetId="4" r:id="rId4"/>
    <sheet name="UV-DinhVi" sheetId="9" r:id="rId5"/>
    <sheet name="CanMang" sheetId="3" r:id="rId6"/>
    <sheet name="ThanhPham-EpKim" sheetId="8" r:id="rId7"/>
    <sheet name="ThanhPham-Be" sheetId="1" r:id="rId8"/>
    <sheet name="In-Toner" sheetId="2" r:id="rId9"/>
    <sheet name="ThPh-EpKimTuDong" sheetId="12" r:id="rId10"/>
    <sheet name="Sheet1" sheetId="11" r:id="rId11"/>
    <sheet name="BaiCMYK" sheetId="14" r:id="rId12"/>
    <sheet name="SP-DanhThiep" sheetId="16" r:id="rId13"/>
    <sheet name="SP-ToRoi-A4" sheetId="17" r:id="rId14"/>
    <sheet name="SP-ToRoi-A5" sheetId="18" r:id="rId15"/>
    <sheet name="SP-ToRoi-A6" sheetId="19" r:id="rId16"/>
    <sheet name="SP-ToRoi-DL" sheetId="20" r:id="rId17"/>
    <sheet name="Base-MayIn" sheetId="10" r:id="rId18"/>
    <sheet name="NguyenVatLieu" sheetId="13" r:id="rId19"/>
    <sheet name="Base-Margin" sheetId="15" r:id="rId20"/>
  </sheets>
  <functionGroups builtInGroupCount="19"/>
  <definedNames>
    <definedName name="atools_list_filter_1" localSheetId="11" hidden="1">BaiCMYK!$E$8:$F$9</definedName>
    <definedName name="atools_list_filter_1" localSheetId="13" hidden="1">'SP-ToRoi-A4'!$B$21:$D$21</definedName>
    <definedName name="atools_list_filter_1_colinvisibles_ext" localSheetId="11" hidden="1">""</definedName>
    <definedName name="atools_list_filter_1_colinvisibles_ext" localSheetId="13" hidden="1">";;"</definedName>
    <definedName name="atools_list_filter_1_colsrcidxs_ext" localSheetId="11" hidden="1">"1;3"</definedName>
    <definedName name="atools_list_filter_1_colsrcidxs_ext" localSheetId="13" hidden="1">"1;2;3"</definedName>
    <definedName name="atools_list_filter_1_colwidths_ext" localSheetId="11" hidden="1">""</definedName>
    <definedName name="atools_list_filter_1_colwidths_ext" localSheetId="13" hidden="1">"88;96;84"</definedName>
    <definedName name="atools_list_filter_1_onrangeaddr" localSheetId="11" hidden="1">"$E$8:$F$9"</definedName>
    <definedName name="atools_list_filter_1_onrangeaddr" localSheetId="13" hidden="1">"='SP-ToRoi-A4'!$B$12:$D$12"</definedName>
    <definedName name="atools_list_filter_1_pos_ext" localSheetId="11" hidden="1">""</definedName>
    <definedName name="atools_list_filter_1_pos_ext" localSheetId="13" hidden="1">"0;1;2"</definedName>
    <definedName name="atools_list_filter_1_proper" localSheetId="11" hidden="1">"1|1|0|0|0|||0|0||0|,||1||1||0|18|0|2.0|1|1|1|0"</definedName>
    <definedName name="atools_list_filter_1_proper" localSheetId="13" hidden="1">"1|1|0|0|0|||305|309||0|,||1||0||0|18|185|2.0|1|1|1|0"</definedName>
    <definedName name="atools_list_filter_1_source" localSheetId="11" hidden="1">GIA_KHUON_EP_KIM</definedName>
    <definedName name="atools_list_filter_1_source" localSheetId="13" hidden="1">GIA_GIAY_CO_BAN</definedName>
    <definedName name="atools_list_filter_1_sourceaddr" localSheetId="11" hidden="1">"GIA_KHUON_EP_KIM"</definedName>
    <definedName name="atools_list_filter_1_sourceaddr" localSheetId="13" hidden="1">"=GIA_GIAY_CO_BAN"</definedName>
    <definedName name="atools_list_filter_8" localSheetId="11" hidden="1">BaiCMYK!$E$12:$F$12</definedName>
    <definedName name="atools_list_filter_8_colinvisibles_ext" localSheetId="11" hidden="1">";;"</definedName>
    <definedName name="atools_list_filter_8_colsrcidxs_ext" localSheetId="11" hidden="1">"1;3"</definedName>
    <definedName name="atools_list_filter_8_colwidths_ext" localSheetId="11" hidden="1">"103;96;93"</definedName>
    <definedName name="atools_list_filter_8_onrangeaddr" localSheetId="11" hidden="1">"=BaiCMYK!$E$12:$F$12"</definedName>
    <definedName name="atools_list_filter_8_pos_ext" localSheetId="11" hidden="1">"0;1;2"</definedName>
    <definedName name="atools_list_filter_8_proper" localSheetId="11" hidden="1">"1|1|0|0|0|||329|309||0|,||1||0||0|18|185|2.0|1|1|1|0"</definedName>
    <definedName name="atools_list_filter_8_source" localSheetId="11" hidden="1">GIA_NHU_EP_KIM</definedName>
    <definedName name="atools_list_filter_8_sourceaddr" localSheetId="11" hidden="1">"=GIA_NHU_EP_KIM"</definedName>
    <definedName name="GIA_GIAY_CO_BAN">NguyenVatLieu!$P$2:$R$40</definedName>
    <definedName name="GIA_KHUON_EP_KIM">NguyenVatLieu!$F$2:$H$4</definedName>
    <definedName name="GIA_MANG">NguyenVatLieu!$A$2:$C$4</definedName>
    <definedName name="GIA_NHU_EP_KIM">NguyenVatLieu!$K$2:$M$5</definedName>
    <definedName name="MARKUP_MARGIN">'Base-Margin'!$B$2:$C$12</definedName>
    <definedName name="MAY_IN_KTS">'Base-MayIn'!$A$3:$E$6</definedName>
    <definedName name="TO_CHAY_MAY_IN_KTS">'Base-MayIn'!$G$3:$L$19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3" i="20" l="1"/>
  <c r="H14" i="20" s="1"/>
  <c r="G13" i="20"/>
  <c r="G14" i="20" s="1"/>
  <c r="E9" i="20"/>
  <c r="F13" i="20"/>
  <c r="F14" i="20" s="1"/>
  <c r="D6" i="19"/>
  <c r="I13" i="19" s="1"/>
  <c r="I14" i="19" s="1"/>
  <c r="J13" i="19"/>
  <c r="J14" i="19" s="1"/>
  <c r="G13" i="19"/>
  <c r="G14" i="19" s="1"/>
  <c r="F13" i="19"/>
  <c r="F14" i="19" s="1"/>
  <c r="E13" i="19"/>
  <c r="E14" i="19" s="1"/>
  <c r="E9" i="19"/>
  <c r="J13" i="18"/>
  <c r="J14" i="18" s="1"/>
  <c r="I13" i="18"/>
  <c r="I14" i="18" s="1"/>
  <c r="H13" i="18"/>
  <c r="H14" i="18" s="1"/>
  <c r="G13" i="18"/>
  <c r="G14" i="18" s="1"/>
  <c r="F13" i="18"/>
  <c r="E13" i="18"/>
  <c r="E14" i="18" s="1"/>
  <c r="F14" i="18"/>
  <c r="E9" i="18"/>
  <c r="F21" i="18" s="1"/>
  <c r="J21" i="17"/>
  <c r="I21" i="17"/>
  <c r="H21" i="17"/>
  <c r="G21" i="17"/>
  <c r="F21" i="17"/>
  <c r="E21" i="17"/>
  <c r="J20" i="17"/>
  <c r="I20" i="17"/>
  <c r="H20" i="17"/>
  <c r="G20" i="17"/>
  <c r="F20" i="17"/>
  <c r="E20" i="17"/>
  <c r="J19" i="17"/>
  <c r="I19" i="17"/>
  <c r="H19" i="17"/>
  <c r="G19" i="17"/>
  <c r="F19" i="17"/>
  <c r="E19" i="17"/>
  <c r="J18" i="17"/>
  <c r="I18" i="17"/>
  <c r="H18" i="17"/>
  <c r="G18" i="17"/>
  <c r="F18" i="17"/>
  <c r="E18" i="17"/>
  <c r="J16" i="17"/>
  <c r="I16" i="17"/>
  <c r="H16" i="17"/>
  <c r="G16" i="17"/>
  <c r="F16" i="17"/>
  <c r="E16" i="17"/>
  <c r="J14" i="17"/>
  <c r="I14" i="17"/>
  <c r="H14" i="17"/>
  <c r="G14" i="17"/>
  <c r="F14" i="17"/>
  <c r="E14" i="17"/>
  <c r="J13" i="17"/>
  <c r="I13" i="17"/>
  <c r="H13" i="17"/>
  <c r="G13" i="17"/>
  <c r="F13" i="17"/>
  <c r="E13" i="17"/>
  <c r="H15" i="20"/>
  <c r="G15" i="20"/>
  <c r="F15" i="20"/>
  <c r="J15" i="19"/>
  <c r="I15" i="19"/>
  <c r="G15" i="19"/>
  <c r="F15" i="19"/>
  <c r="E15" i="19"/>
  <c r="J15" i="18"/>
  <c r="I15" i="18"/>
  <c r="H15" i="18"/>
  <c r="G15" i="18"/>
  <c r="F15" i="18"/>
  <c r="E15" i="18"/>
  <c r="H15" i="17"/>
  <c r="J15" i="17"/>
  <c r="G15" i="17"/>
  <c r="F15" i="17"/>
  <c r="I15" i="17"/>
  <c r="E15" i="17"/>
  <c r="F17" i="20" l="1"/>
  <c r="F16" i="20"/>
  <c r="F18" i="20" s="1"/>
  <c r="G17" i="20"/>
  <c r="G16" i="20"/>
  <c r="G18" i="20" s="1"/>
  <c r="H17" i="20"/>
  <c r="H16" i="20"/>
  <c r="H18" i="20" s="1"/>
  <c r="F21" i="20"/>
  <c r="G21" i="20"/>
  <c r="I13" i="20"/>
  <c r="I14" i="20" s="1"/>
  <c r="J13" i="20"/>
  <c r="J14" i="20" s="1"/>
  <c r="H21" i="20"/>
  <c r="E13" i="20"/>
  <c r="E14" i="20" s="1"/>
  <c r="H13" i="19"/>
  <c r="H14" i="19" s="1"/>
  <c r="F21" i="19"/>
  <c r="E17" i="19"/>
  <c r="E16" i="19"/>
  <c r="E18" i="19" s="1"/>
  <c r="F17" i="19"/>
  <c r="F16" i="19"/>
  <c r="F18" i="19" s="1"/>
  <c r="F23" i="19" s="1"/>
  <c r="G16" i="19"/>
  <c r="G18" i="19" s="1"/>
  <c r="G17" i="19"/>
  <c r="I16" i="19"/>
  <c r="I18" i="19" s="1"/>
  <c r="I17" i="19"/>
  <c r="J16" i="19"/>
  <c r="J18" i="19" s="1"/>
  <c r="J17" i="19"/>
  <c r="H21" i="19"/>
  <c r="I21" i="19"/>
  <c r="J21" i="19"/>
  <c r="G21" i="19"/>
  <c r="E21" i="19"/>
  <c r="E16" i="18"/>
  <c r="E18" i="18" s="1"/>
  <c r="E17" i="18"/>
  <c r="F17" i="18"/>
  <c r="F16" i="18"/>
  <c r="F18" i="18" s="1"/>
  <c r="F23" i="18" s="1"/>
  <c r="G17" i="18"/>
  <c r="G16" i="18"/>
  <c r="G18" i="18" s="1"/>
  <c r="G23" i="18" s="1"/>
  <c r="H16" i="18"/>
  <c r="H18" i="18" s="1"/>
  <c r="H23" i="18" s="1"/>
  <c r="H17" i="18"/>
  <c r="I16" i="18"/>
  <c r="I18" i="18" s="1"/>
  <c r="I17" i="18"/>
  <c r="J16" i="18"/>
  <c r="J18" i="18" s="1"/>
  <c r="J17" i="18"/>
  <c r="H21" i="18"/>
  <c r="G21" i="18"/>
  <c r="I21" i="18"/>
  <c r="J21" i="18"/>
  <c r="E21" i="18"/>
  <c r="E17" i="17"/>
  <c r="E22" i="17" s="1"/>
  <c r="E23" i="17"/>
  <c r="I17" i="17"/>
  <c r="I22" i="17" s="1"/>
  <c r="I23" i="17"/>
  <c r="F17" i="17"/>
  <c r="F22" i="17" s="1"/>
  <c r="F23" i="17"/>
  <c r="G17" i="17"/>
  <c r="G22" i="17" s="1"/>
  <c r="G23" i="17"/>
  <c r="H17" i="17"/>
  <c r="H22" i="17" s="1"/>
  <c r="H23" i="17"/>
  <c r="J23" i="17"/>
  <c r="J17" i="17"/>
  <c r="J22" i="17" s="1"/>
  <c r="E9" i="17"/>
  <c r="K16" i="2"/>
  <c r="K15" i="2"/>
  <c r="K14" i="2"/>
  <c r="K13" i="2"/>
  <c r="K12" i="2"/>
  <c r="K11" i="2"/>
  <c r="K10" i="2"/>
  <c r="K9" i="2"/>
  <c r="K8" i="2"/>
  <c r="K7" i="2"/>
  <c r="K6" i="2"/>
  <c r="K5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J6" i="2"/>
  <c r="J5" i="2"/>
  <c r="I16" i="2"/>
  <c r="I15" i="20"/>
  <c r="J15" i="20"/>
  <c r="E15" i="20"/>
  <c r="H15" i="19"/>
  <c r="E21" i="20" l="1"/>
  <c r="E17" i="20"/>
  <c r="E16" i="20"/>
  <c r="E18" i="20" s="1"/>
  <c r="E23" i="20" s="1"/>
  <c r="J16" i="20"/>
  <c r="J18" i="20" s="1"/>
  <c r="J17" i="20"/>
  <c r="I16" i="20"/>
  <c r="I18" i="20" s="1"/>
  <c r="I17" i="20"/>
  <c r="H23" i="20"/>
  <c r="H22" i="20"/>
  <c r="H19" i="20"/>
  <c r="H20" i="20"/>
  <c r="J21" i="20"/>
  <c r="G23" i="20"/>
  <c r="G22" i="20"/>
  <c r="G19" i="20"/>
  <c r="G20" i="20"/>
  <c r="I21" i="20"/>
  <c r="F23" i="20"/>
  <c r="F22" i="20"/>
  <c r="F19" i="20"/>
  <c r="F20" i="20"/>
  <c r="H16" i="19"/>
  <c r="H18" i="19" s="1"/>
  <c r="H23" i="19" s="1"/>
  <c r="H17" i="19"/>
  <c r="G22" i="19"/>
  <c r="G19" i="19"/>
  <c r="G20" i="19"/>
  <c r="G23" i="19"/>
  <c r="J19" i="19"/>
  <c r="J20" i="19"/>
  <c r="J22" i="19"/>
  <c r="J23" i="19"/>
  <c r="F22" i="19"/>
  <c r="F19" i="19"/>
  <c r="F20" i="19"/>
  <c r="H22" i="19"/>
  <c r="H19" i="19"/>
  <c r="H20" i="19"/>
  <c r="I19" i="19"/>
  <c r="I22" i="19"/>
  <c r="I20" i="19"/>
  <c r="E23" i="19"/>
  <c r="I23" i="19"/>
  <c r="E20" i="19"/>
  <c r="E22" i="19"/>
  <c r="E19" i="19"/>
  <c r="G22" i="18"/>
  <c r="G19" i="18"/>
  <c r="G20" i="18"/>
  <c r="J19" i="18"/>
  <c r="J20" i="18"/>
  <c r="J22" i="18"/>
  <c r="J23" i="18"/>
  <c r="F22" i="18"/>
  <c r="F19" i="18"/>
  <c r="F20" i="18"/>
  <c r="H22" i="18"/>
  <c r="H19" i="18"/>
  <c r="H20" i="18"/>
  <c r="I19" i="18"/>
  <c r="I20" i="18"/>
  <c r="I22" i="18"/>
  <c r="E22" i="18"/>
  <c r="E20" i="18"/>
  <c r="E19" i="18"/>
  <c r="I23" i="18"/>
  <c r="E23" i="18"/>
  <c r="E3" i="14"/>
  <c r="B5" i="2"/>
  <c r="R4" i="2" a="1"/>
  <c r="I23" i="20" l="1"/>
  <c r="J19" i="20"/>
  <c r="J20" i="20"/>
  <c r="J22" i="20"/>
  <c r="I19" i="20"/>
  <c r="I22" i="20"/>
  <c r="I20" i="20"/>
  <c r="J23" i="20"/>
  <c r="E20" i="20"/>
  <c r="E22" i="20"/>
  <c r="E19" i="20"/>
  <c r="R4" i="2"/>
  <c r="R6" i="2"/>
  <c r="R8" i="2"/>
  <c r="R10" i="2"/>
  <c r="R12" i="2"/>
  <c r="R14" i="2"/>
  <c r="S6" i="2"/>
  <c r="S8" i="2"/>
  <c r="S12" i="2"/>
  <c r="S14" i="2"/>
  <c r="S4" i="2"/>
  <c r="S10" i="2"/>
  <c r="R5" i="2"/>
  <c r="R7" i="2"/>
  <c r="R9" i="2"/>
  <c r="R11" i="2"/>
  <c r="R13" i="2"/>
  <c r="S5" i="2"/>
  <c r="S7" i="2"/>
  <c r="S9" i="2"/>
  <c r="S11" i="2"/>
  <c r="S13" i="2"/>
  <c r="G12" i="14"/>
  <c r="D17" i="14"/>
  <c r="M3" i="13"/>
  <c r="C15" i="14" l="1"/>
  <c r="C23" i="14"/>
  <c r="B2" i="11" a="1"/>
  <c r="D19" i="14"/>
  <c r="D23" i="14"/>
  <c r="C2" i="11" l="1"/>
  <c r="B3" i="11"/>
  <c r="F3" i="11"/>
  <c r="E4" i="11"/>
  <c r="D5" i="11"/>
  <c r="E2" i="11"/>
  <c r="D3" i="11"/>
  <c r="C4" i="11"/>
  <c r="B5" i="11"/>
  <c r="F5" i="11"/>
  <c r="B2" i="11"/>
  <c r="F2" i="11"/>
  <c r="E3" i="11"/>
  <c r="D4" i="11"/>
  <c r="C5" i="11"/>
  <c r="D2" i="11"/>
  <c r="C3" i="11"/>
  <c r="B4" i="11"/>
  <c r="F4" i="11"/>
  <c r="E5" i="11"/>
  <c r="D12" i="14"/>
  <c r="H12" i="14" s="1"/>
  <c r="D21" i="14" s="1"/>
  <c r="D8" i="14"/>
  <c r="D7" i="14"/>
  <c r="D9" i="14" s="1"/>
  <c r="H9" i="14" s="1"/>
  <c r="D20" i="14" s="1"/>
  <c r="M4" i="13"/>
  <c r="D24" i="14" l="1"/>
  <c r="D26" i="14" s="1"/>
  <c r="D27" i="14" s="1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B18" i="6"/>
  <c r="B21" i="6"/>
  <c r="B11" i="6"/>
  <c r="B8" i="6"/>
  <c r="B17" i="6"/>
  <c r="B19" i="6"/>
  <c r="B10" i="6"/>
  <c r="B16" i="6"/>
  <c r="B15" i="6"/>
  <c r="B9" i="6"/>
  <c r="B6" i="6"/>
  <c r="B14" i="6"/>
  <c r="B20" i="6"/>
  <c r="B13" i="6"/>
  <c r="B7" i="6"/>
  <c r="B22" i="6"/>
  <c r="B12" i="6"/>
  <c r="H9" i="6" l="1"/>
  <c r="E9" i="6"/>
  <c r="H13" i="6"/>
  <c r="E13" i="6"/>
  <c r="H17" i="6"/>
  <c r="E17" i="6"/>
  <c r="E10" i="6"/>
  <c r="H10" i="6"/>
  <c r="E14" i="6"/>
  <c r="H14" i="6"/>
  <c r="E18" i="6"/>
  <c r="H18" i="6"/>
  <c r="E22" i="6"/>
  <c r="H22" i="6"/>
  <c r="H7" i="6"/>
  <c r="E7" i="6"/>
  <c r="H11" i="6"/>
  <c r="E11" i="6"/>
  <c r="H15" i="6"/>
  <c r="E15" i="6"/>
  <c r="E19" i="6"/>
  <c r="H19" i="6"/>
  <c r="H21" i="6"/>
  <c r="E21" i="6"/>
  <c r="H6" i="6"/>
  <c r="E6" i="6"/>
  <c r="H8" i="6"/>
  <c r="E8" i="6"/>
  <c r="H12" i="6"/>
  <c r="E12" i="6"/>
  <c r="H16" i="6"/>
  <c r="E16" i="6"/>
  <c r="H20" i="6"/>
  <c r="E20" i="6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D6" i="10"/>
  <c r="G5" i="10"/>
  <c r="D5" i="10"/>
  <c r="G4" i="10"/>
  <c r="D4" i="10"/>
  <c r="B6" i="4"/>
  <c r="E22" i="12"/>
  <c r="E6" i="12"/>
  <c r="E21" i="12"/>
  <c r="E36" i="12"/>
  <c r="E20" i="12"/>
  <c r="E35" i="12"/>
  <c r="E19" i="12"/>
  <c r="E34" i="12"/>
  <c r="E18" i="12"/>
  <c r="E33" i="12"/>
  <c r="E17" i="12"/>
  <c r="E32" i="12"/>
  <c r="E16" i="12"/>
  <c r="E31" i="12"/>
  <c r="E15" i="12"/>
  <c r="E5" i="12"/>
  <c r="E30" i="12"/>
  <c r="E14" i="12"/>
  <c r="E29" i="12"/>
  <c r="E13" i="12"/>
  <c r="E28" i="12"/>
  <c r="E12" i="12"/>
  <c r="E27" i="12"/>
  <c r="E11" i="12"/>
  <c r="E26" i="12"/>
  <c r="E10" i="12"/>
  <c r="E25" i="12"/>
  <c r="E9" i="12"/>
  <c r="E24" i="12"/>
  <c r="E8" i="12"/>
  <c r="E23" i="12"/>
  <c r="E7" i="12"/>
  <c r="L18" i="6" l="1"/>
  <c r="I18" i="6"/>
  <c r="J18" i="6" s="1"/>
  <c r="M18" i="6"/>
  <c r="N18" i="6" s="1"/>
  <c r="L10" i="6"/>
  <c r="M10" i="6"/>
  <c r="N10" i="6" s="1"/>
  <c r="I10" i="6"/>
  <c r="J10" i="6" s="1"/>
  <c r="I16" i="6"/>
  <c r="J16" i="6" s="1"/>
  <c r="M16" i="6"/>
  <c r="N16" i="6" s="1"/>
  <c r="L16" i="6"/>
  <c r="I8" i="6"/>
  <c r="J8" i="6" s="1"/>
  <c r="M8" i="6"/>
  <c r="N8" i="6" s="1"/>
  <c r="L8" i="6"/>
  <c r="M21" i="6"/>
  <c r="N21" i="6" s="1"/>
  <c r="L21" i="6"/>
  <c r="I21" i="6"/>
  <c r="J21" i="6" s="1"/>
  <c r="L15" i="6"/>
  <c r="I15" i="6"/>
  <c r="J15" i="6" s="1"/>
  <c r="M15" i="6"/>
  <c r="N15" i="6" s="1"/>
  <c r="L7" i="6"/>
  <c r="I7" i="6"/>
  <c r="J7" i="6" s="1"/>
  <c r="M7" i="6"/>
  <c r="N7" i="6" s="1"/>
  <c r="M13" i="6"/>
  <c r="N13" i="6" s="1"/>
  <c r="L13" i="6"/>
  <c r="I13" i="6"/>
  <c r="J13" i="6" s="1"/>
  <c r="I19" i="6"/>
  <c r="J19" i="6" s="1"/>
  <c r="L19" i="6"/>
  <c r="M19" i="6"/>
  <c r="N19" i="6" s="1"/>
  <c r="L22" i="6"/>
  <c r="I22" i="6"/>
  <c r="J22" i="6" s="1"/>
  <c r="L14" i="6"/>
  <c r="M14" i="6"/>
  <c r="N14" i="6" s="1"/>
  <c r="I14" i="6"/>
  <c r="J14" i="6" s="1"/>
  <c r="I20" i="6"/>
  <c r="J20" i="6" s="1"/>
  <c r="M20" i="6"/>
  <c r="N20" i="6" s="1"/>
  <c r="L20" i="6"/>
  <c r="I12" i="6"/>
  <c r="J12" i="6" s="1"/>
  <c r="M12" i="6"/>
  <c r="N12" i="6" s="1"/>
  <c r="L12" i="6"/>
  <c r="I6" i="6"/>
  <c r="J6" i="6" s="1"/>
  <c r="L6" i="6"/>
  <c r="L11" i="6"/>
  <c r="I11" i="6"/>
  <c r="J11" i="6" s="1"/>
  <c r="M11" i="6"/>
  <c r="N11" i="6" s="1"/>
  <c r="M17" i="6"/>
  <c r="N17" i="6" s="1"/>
  <c r="L17" i="6"/>
  <c r="I17" i="6"/>
  <c r="J17" i="6" s="1"/>
  <c r="M9" i="6"/>
  <c r="N9" i="6" s="1"/>
  <c r="I9" i="6"/>
  <c r="J9" i="6" s="1"/>
  <c r="L9" i="6"/>
  <c r="J5" i="12"/>
  <c r="J9" i="12"/>
  <c r="J13" i="12"/>
  <c r="J17" i="12"/>
  <c r="J21" i="12"/>
  <c r="J25" i="12"/>
  <c r="J29" i="12"/>
  <c r="J33" i="12"/>
  <c r="J6" i="12"/>
  <c r="J10" i="12"/>
  <c r="J14" i="12"/>
  <c r="J18" i="12"/>
  <c r="J22" i="12"/>
  <c r="J26" i="12"/>
  <c r="J30" i="12"/>
  <c r="J34" i="12"/>
  <c r="J7" i="12"/>
  <c r="J11" i="12"/>
  <c r="J15" i="12"/>
  <c r="J19" i="12"/>
  <c r="J23" i="12"/>
  <c r="J27" i="12"/>
  <c r="J31" i="12"/>
  <c r="J35" i="12"/>
  <c r="J8" i="12"/>
  <c r="J12" i="12"/>
  <c r="J16" i="12"/>
  <c r="J20" i="12"/>
  <c r="J24" i="12"/>
  <c r="J28" i="12"/>
  <c r="J32" i="12"/>
  <c r="J36" i="12"/>
  <c r="B3" i="4"/>
  <c r="B17" i="5"/>
  <c r="B12" i="9"/>
  <c r="B13" i="7"/>
  <c r="B21" i="4"/>
  <c r="B19" i="8"/>
  <c r="B5" i="9"/>
  <c r="B23" i="8"/>
  <c r="B6" i="3"/>
  <c r="B21" i="8"/>
  <c r="B16" i="4"/>
  <c r="B6" i="8"/>
  <c r="B17" i="7"/>
  <c r="B22" i="8"/>
  <c r="B23" i="5"/>
  <c r="B6" i="7"/>
  <c r="B16" i="8"/>
  <c r="B14" i="8"/>
  <c r="B15" i="8"/>
  <c r="B24" i="5"/>
  <c r="B13" i="9"/>
  <c r="B36" i="8"/>
  <c r="B34" i="8"/>
  <c r="B20" i="9"/>
  <c r="B18" i="9"/>
  <c r="B33" i="8"/>
  <c r="B26" i="8"/>
  <c r="B8" i="5"/>
  <c r="B11" i="8"/>
  <c r="B7" i="7"/>
  <c r="B5" i="8"/>
  <c r="B14" i="9"/>
  <c r="B22" i="7"/>
  <c r="B23" i="4"/>
  <c r="B10" i="9"/>
  <c r="B16" i="7"/>
  <c r="B21" i="5"/>
  <c r="B11" i="9"/>
  <c r="B31" i="8"/>
  <c r="B8" i="9"/>
  <c r="B11" i="7"/>
  <c r="B14" i="5"/>
  <c r="B12" i="4"/>
  <c r="B11" i="4"/>
  <c r="B24" i="4"/>
  <c r="B20" i="7"/>
  <c r="B10" i="5"/>
  <c r="B10" i="8"/>
  <c r="B21" i="7"/>
  <c r="B18" i="5"/>
  <c r="B6" i="9"/>
  <c r="B10" i="7"/>
  <c r="B18" i="8"/>
  <c r="B17" i="9"/>
  <c r="B7" i="9"/>
  <c r="B13" i="8"/>
  <c r="B9" i="5"/>
  <c r="B10" i="4"/>
  <c r="B13" i="4"/>
  <c r="B8" i="7"/>
  <c r="B24" i="8"/>
  <c r="B9" i="4"/>
  <c r="B7" i="4"/>
  <c r="B6" i="5"/>
  <c r="B12" i="8"/>
  <c r="B20" i="8"/>
  <c r="B22" i="4"/>
  <c r="B20" i="5"/>
  <c r="B7" i="8"/>
  <c r="B8" i="4"/>
  <c r="B14" i="7"/>
  <c r="B35" i="8"/>
  <c r="B28" i="8"/>
  <c r="B17" i="4"/>
  <c r="B19" i="5"/>
  <c r="B14" i="4"/>
  <c r="B16" i="9"/>
  <c r="B11" i="5"/>
  <c r="B19" i="7"/>
  <c r="B25" i="4"/>
  <c r="B15" i="5"/>
  <c r="B9" i="9"/>
  <c r="B17" i="8"/>
  <c r="B32" i="8"/>
  <c r="B25" i="8"/>
  <c r="B7" i="5"/>
  <c r="B18" i="4"/>
  <c r="B18" i="7"/>
  <c r="B8" i="8"/>
  <c r="B9" i="7"/>
  <c r="B29" i="8"/>
  <c r="B19" i="9"/>
  <c r="B13" i="5"/>
  <c r="B16" i="5"/>
  <c r="B9" i="8"/>
  <c r="B30" i="8"/>
  <c r="B15" i="4"/>
  <c r="B12" i="5"/>
  <c r="B20" i="4"/>
  <c r="B15" i="9"/>
  <c r="B22" i="5"/>
  <c r="B27" i="8"/>
  <c r="B12" i="7"/>
  <c r="B19" i="4"/>
  <c r="B15" i="7"/>
  <c r="B25" i="5"/>
  <c r="E15" i="7" l="1"/>
  <c r="E12" i="7"/>
  <c r="E9" i="7"/>
  <c r="E18" i="7"/>
  <c r="E19" i="7"/>
  <c r="E14" i="7"/>
  <c r="E8" i="7"/>
  <c r="E10" i="7"/>
  <c r="E21" i="7"/>
  <c r="E20" i="7"/>
  <c r="E11" i="7"/>
  <c r="E16" i="7"/>
  <c r="E22" i="7"/>
  <c r="E7" i="7"/>
  <c r="E6" i="7"/>
  <c r="E17" i="7"/>
  <c r="E13" i="7"/>
  <c r="N36" i="12"/>
  <c r="K36" i="12"/>
  <c r="L36" i="12" s="1"/>
  <c r="N20" i="12"/>
  <c r="K20" i="12"/>
  <c r="L20" i="12" s="1"/>
  <c r="N35" i="12"/>
  <c r="K35" i="12"/>
  <c r="L35" i="12" s="1"/>
  <c r="N19" i="12"/>
  <c r="K19" i="12"/>
  <c r="L19" i="12" s="1"/>
  <c r="K34" i="12"/>
  <c r="L34" i="12" s="1"/>
  <c r="N34" i="12"/>
  <c r="K18" i="12"/>
  <c r="L18" i="12" s="1"/>
  <c r="N18" i="12"/>
  <c r="K33" i="12"/>
  <c r="L33" i="12" s="1"/>
  <c r="N33" i="12"/>
  <c r="K17" i="12"/>
  <c r="L17" i="12" s="1"/>
  <c r="N17" i="12"/>
  <c r="N32" i="12"/>
  <c r="K32" i="12"/>
  <c r="L32" i="12" s="1"/>
  <c r="N16" i="12"/>
  <c r="K16" i="12"/>
  <c r="L16" i="12" s="1"/>
  <c r="N31" i="12"/>
  <c r="K31" i="12"/>
  <c r="L31" i="12" s="1"/>
  <c r="N15" i="12"/>
  <c r="K15" i="12"/>
  <c r="L15" i="12" s="1"/>
  <c r="K30" i="12"/>
  <c r="L30" i="12" s="1"/>
  <c r="N30" i="12"/>
  <c r="K14" i="12"/>
  <c r="L14" i="12" s="1"/>
  <c r="N14" i="12"/>
  <c r="K29" i="12"/>
  <c r="L29" i="12" s="1"/>
  <c r="N29" i="12"/>
  <c r="K13" i="12"/>
  <c r="L13" i="12" s="1"/>
  <c r="N13" i="12"/>
  <c r="N28" i="12"/>
  <c r="K28" i="12"/>
  <c r="L28" i="12" s="1"/>
  <c r="N12" i="12"/>
  <c r="K12" i="12"/>
  <c r="L12" i="12" s="1"/>
  <c r="N27" i="12"/>
  <c r="K27" i="12"/>
  <c r="L27" i="12" s="1"/>
  <c r="N11" i="12"/>
  <c r="K11" i="12"/>
  <c r="L11" i="12" s="1"/>
  <c r="K26" i="12"/>
  <c r="L26" i="12" s="1"/>
  <c r="N26" i="12"/>
  <c r="K10" i="12"/>
  <c r="L10" i="12" s="1"/>
  <c r="N10" i="12"/>
  <c r="K25" i="12"/>
  <c r="L25" i="12" s="1"/>
  <c r="N25" i="12"/>
  <c r="K9" i="12"/>
  <c r="L9" i="12" s="1"/>
  <c r="N9" i="12"/>
  <c r="N24" i="12"/>
  <c r="K24" i="12"/>
  <c r="L24" i="12" s="1"/>
  <c r="N8" i="12"/>
  <c r="K8" i="12"/>
  <c r="L8" i="12" s="1"/>
  <c r="N23" i="12"/>
  <c r="K23" i="12"/>
  <c r="L23" i="12" s="1"/>
  <c r="N7" i="12"/>
  <c r="K7" i="12"/>
  <c r="L7" i="12" s="1"/>
  <c r="K22" i="12"/>
  <c r="L22" i="12" s="1"/>
  <c r="N22" i="12"/>
  <c r="K6" i="12"/>
  <c r="L6" i="12" s="1"/>
  <c r="N6" i="12"/>
  <c r="K21" i="12"/>
  <c r="L21" i="12" s="1"/>
  <c r="N21" i="12"/>
  <c r="K5" i="12"/>
  <c r="L5" i="12" s="1"/>
  <c r="N5" i="12"/>
  <c r="E25" i="8"/>
  <c r="F25" i="8" s="1"/>
  <c r="G25" i="8" s="1"/>
  <c r="E30" i="8"/>
  <c r="F30" i="8" s="1"/>
  <c r="G30" i="8" s="1"/>
  <c r="E5" i="9"/>
  <c r="F5" i="9" s="1"/>
  <c r="G5" i="9" s="1"/>
  <c r="E22" i="8"/>
  <c r="F22" i="8" s="1"/>
  <c r="G22" i="8" s="1"/>
  <c r="E10" i="8"/>
  <c r="E12" i="8"/>
  <c r="I12" i="8" s="1"/>
  <c r="E13" i="8"/>
  <c r="F13" i="8" s="1"/>
  <c r="G13" i="8" s="1"/>
  <c r="E15" i="8"/>
  <c r="I15" i="8" s="1"/>
  <c r="E6" i="8"/>
  <c r="E33" i="8"/>
  <c r="F33" i="8" s="1"/>
  <c r="G33" i="8" s="1"/>
  <c r="E35" i="8"/>
  <c r="I35" i="8" s="1"/>
  <c r="E9" i="9"/>
  <c r="I9" i="9" s="1"/>
  <c r="E18" i="9"/>
  <c r="I18" i="9" s="1"/>
  <c r="E15" i="9"/>
  <c r="I15" i="9" s="1"/>
  <c r="E12" i="9"/>
  <c r="I12" i="9" s="1"/>
  <c r="E27" i="8"/>
  <c r="I27" i="8" s="1"/>
  <c r="E32" i="8"/>
  <c r="F32" i="8" s="1"/>
  <c r="G32" i="8" s="1"/>
  <c r="E19" i="8"/>
  <c r="F19" i="8" s="1"/>
  <c r="G19" i="8" s="1"/>
  <c r="E11" i="9"/>
  <c r="I11" i="9" s="1"/>
  <c r="E24" i="8"/>
  <c r="I24" i="8" s="1"/>
  <c r="E26" i="8"/>
  <c r="F26" i="8" s="1"/>
  <c r="G26" i="8" s="1"/>
  <c r="E28" i="8"/>
  <c r="I28" i="8" s="1"/>
  <c r="E29" i="8"/>
  <c r="F29" i="8" s="1"/>
  <c r="G29" i="8" s="1"/>
  <c r="E31" i="8"/>
  <c r="I31" i="8" s="1"/>
  <c r="E7" i="8"/>
  <c r="F7" i="8" s="1"/>
  <c r="G7" i="8" s="1"/>
  <c r="E18" i="8"/>
  <c r="F18" i="8" s="1"/>
  <c r="G18" i="8" s="1"/>
  <c r="E20" i="8"/>
  <c r="I20" i="8" s="1"/>
  <c r="E6" i="9"/>
  <c r="I6" i="9" s="1"/>
  <c r="E13" i="9"/>
  <c r="I13" i="9" s="1"/>
  <c r="E19" i="9"/>
  <c r="I19" i="9" s="1"/>
  <c r="E16" i="9"/>
  <c r="I16" i="9" s="1"/>
  <c r="E21" i="8"/>
  <c r="F21" i="8" s="1"/>
  <c r="G21" i="8" s="1"/>
  <c r="E23" i="8"/>
  <c r="E17" i="8"/>
  <c r="F17" i="8" s="1"/>
  <c r="G17" i="8" s="1"/>
  <c r="E14" i="9"/>
  <c r="I14" i="9" s="1"/>
  <c r="E8" i="9"/>
  <c r="I8" i="9" s="1"/>
  <c r="E9" i="8"/>
  <c r="I9" i="8" s="1"/>
  <c r="E11" i="8"/>
  <c r="I11" i="8" s="1"/>
  <c r="E5" i="8"/>
  <c r="F5" i="8" s="1"/>
  <c r="G5" i="8" s="1"/>
  <c r="E14" i="8"/>
  <c r="F14" i="8" s="1"/>
  <c r="G14" i="8" s="1"/>
  <c r="E16" i="8"/>
  <c r="F16" i="8" s="1"/>
  <c r="G16" i="8" s="1"/>
  <c r="E8" i="8"/>
  <c r="F8" i="8" s="1"/>
  <c r="G8" i="8" s="1"/>
  <c r="E34" i="8"/>
  <c r="I34" i="8" s="1"/>
  <c r="E36" i="8"/>
  <c r="I36" i="8" s="1"/>
  <c r="E10" i="9"/>
  <c r="I10" i="9" s="1"/>
  <c r="E7" i="9"/>
  <c r="I7" i="9" s="1"/>
  <c r="E17" i="9"/>
  <c r="I17" i="9" s="1"/>
  <c r="E20" i="9"/>
  <c r="I20" i="9" s="1"/>
  <c r="I16" i="8"/>
  <c r="I26" i="8"/>
  <c r="F10" i="8"/>
  <c r="G10" i="8" s="1"/>
  <c r="I10" i="8"/>
  <c r="I25" i="8"/>
  <c r="I18" i="8"/>
  <c r="I32" i="8"/>
  <c r="I23" i="8"/>
  <c r="F23" i="8"/>
  <c r="G23" i="8" s="1"/>
  <c r="I7" i="8"/>
  <c r="F6" i="8"/>
  <c r="G6" i="8" s="1"/>
  <c r="I6" i="8"/>
  <c r="E10" i="5"/>
  <c r="F10" i="5" s="1"/>
  <c r="G10" i="5" s="1"/>
  <c r="E16" i="5"/>
  <c r="F16" i="5" s="1"/>
  <c r="G16" i="5" s="1"/>
  <c r="H18" i="7"/>
  <c r="E22" i="5"/>
  <c r="F22" i="5" s="1"/>
  <c r="G22" i="5" s="1"/>
  <c r="E19" i="5"/>
  <c r="E8" i="5"/>
  <c r="E24" i="5"/>
  <c r="I24" i="5" s="1"/>
  <c r="E21" i="5"/>
  <c r="H9" i="7"/>
  <c r="H10" i="7"/>
  <c r="H7" i="7"/>
  <c r="L7" i="7" s="1"/>
  <c r="H8" i="7"/>
  <c r="L8" i="7" s="1"/>
  <c r="E6" i="5"/>
  <c r="I6" i="5" s="1"/>
  <c r="H15" i="7"/>
  <c r="E7" i="5"/>
  <c r="E23" i="5"/>
  <c r="F23" i="5" s="1"/>
  <c r="G23" i="5" s="1"/>
  <c r="E12" i="5"/>
  <c r="E9" i="5"/>
  <c r="E25" i="5"/>
  <c r="I25" i="5" s="1"/>
  <c r="H13" i="7"/>
  <c r="H14" i="7"/>
  <c r="H11" i="7"/>
  <c r="H12" i="7"/>
  <c r="H16" i="7"/>
  <c r="I16" i="7" s="1"/>
  <c r="J16" i="7" s="1"/>
  <c r="E11" i="5"/>
  <c r="E13" i="5"/>
  <c r="H17" i="7"/>
  <c r="E14" i="5"/>
  <c r="F14" i="5" s="1"/>
  <c r="G14" i="5" s="1"/>
  <c r="E15" i="5"/>
  <c r="E18" i="5"/>
  <c r="E20" i="5"/>
  <c r="E17" i="5"/>
  <c r="H6" i="7"/>
  <c r="I6" i="7" s="1"/>
  <c r="J6" i="7" s="1"/>
  <c r="H21" i="7"/>
  <c r="L21" i="7" s="1"/>
  <c r="H22" i="7"/>
  <c r="L22" i="7" s="1"/>
  <c r="H19" i="7"/>
  <c r="H20" i="7"/>
  <c r="I20" i="7" s="1"/>
  <c r="J20" i="7" s="1"/>
  <c r="E7" i="4"/>
  <c r="E11" i="4"/>
  <c r="E15" i="4"/>
  <c r="E6" i="4"/>
  <c r="E10" i="4"/>
  <c r="E14" i="4"/>
  <c r="E18" i="4"/>
  <c r="E22" i="4"/>
  <c r="E23" i="4"/>
  <c r="E19" i="4"/>
  <c r="E8" i="4"/>
  <c r="E12" i="4"/>
  <c r="E16" i="4"/>
  <c r="E20" i="4"/>
  <c r="E24" i="4"/>
  <c r="E9" i="4"/>
  <c r="E13" i="4"/>
  <c r="E17" i="4"/>
  <c r="E21" i="4"/>
  <c r="E25" i="4"/>
  <c r="AB4" i="1"/>
  <c r="I19" i="8" l="1"/>
  <c r="I33" i="8"/>
  <c r="I8" i="8"/>
  <c r="F9" i="8"/>
  <c r="G9" i="8" s="1"/>
  <c r="M12" i="7"/>
  <c r="N12" i="7" s="1"/>
  <c r="F10" i="9"/>
  <c r="G10" i="9" s="1"/>
  <c r="F13" i="9"/>
  <c r="G13" i="9" s="1"/>
  <c r="I17" i="8"/>
  <c r="F18" i="9"/>
  <c r="G18" i="9" s="1"/>
  <c r="F34" i="8"/>
  <c r="G34" i="8" s="1"/>
  <c r="F11" i="8"/>
  <c r="G11" i="8" s="1"/>
  <c r="F15" i="9"/>
  <c r="G15" i="9" s="1"/>
  <c r="F28" i="8"/>
  <c r="G28" i="8" s="1"/>
  <c r="I22" i="5"/>
  <c r="I5" i="8"/>
  <c r="I30" i="8"/>
  <c r="F12" i="8"/>
  <c r="G12" i="8" s="1"/>
  <c r="F12" i="9"/>
  <c r="G12" i="9" s="1"/>
  <c r="J15" i="9"/>
  <c r="K15" i="9" s="1"/>
  <c r="F31" i="8"/>
  <c r="G31" i="8" s="1"/>
  <c r="F36" i="8"/>
  <c r="G36" i="8" s="1"/>
  <c r="F17" i="9"/>
  <c r="G17" i="9" s="1"/>
  <c r="F9" i="9"/>
  <c r="G9" i="9" s="1"/>
  <c r="J18" i="9"/>
  <c r="K18" i="9" s="1"/>
  <c r="J12" i="9"/>
  <c r="K12" i="9" s="1"/>
  <c r="F8" i="9"/>
  <c r="G8" i="9" s="1"/>
  <c r="J8" i="9"/>
  <c r="K8" i="9" s="1"/>
  <c r="I13" i="8"/>
  <c r="F27" i="8"/>
  <c r="G27" i="8" s="1"/>
  <c r="I14" i="8"/>
  <c r="F14" i="9"/>
  <c r="G14" i="9" s="1"/>
  <c r="J11" i="9"/>
  <c r="K11" i="9" s="1"/>
  <c r="J14" i="9"/>
  <c r="K14" i="9" s="1"/>
  <c r="F20" i="9"/>
  <c r="G20" i="9" s="1"/>
  <c r="F6" i="9"/>
  <c r="G6" i="9" s="1"/>
  <c r="J9" i="9"/>
  <c r="K9" i="9" s="1"/>
  <c r="I21" i="8"/>
  <c r="I22" i="8"/>
  <c r="F24" i="8"/>
  <c r="G24" i="8" s="1"/>
  <c r="F20" i="8"/>
  <c r="G20" i="8" s="1"/>
  <c r="I29" i="8"/>
  <c r="F15" i="8"/>
  <c r="G15" i="8" s="1"/>
  <c r="F35" i="8"/>
  <c r="G35" i="8" s="1"/>
  <c r="F16" i="9"/>
  <c r="G16" i="9" s="1"/>
  <c r="I5" i="9"/>
  <c r="J10" i="9"/>
  <c r="K10" i="9" s="1"/>
  <c r="J19" i="9"/>
  <c r="K19" i="9" s="1"/>
  <c r="J16" i="9"/>
  <c r="K16" i="9" s="1"/>
  <c r="J13" i="9"/>
  <c r="K13" i="9" s="1"/>
  <c r="F11" i="9"/>
  <c r="G11" i="9" s="1"/>
  <c r="F7" i="9"/>
  <c r="G7" i="9" s="1"/>
  <c r="F19" i="9"/>
  <c r="G19" i="9" s="1"/>
  <c r="J7" i="9"/>
  <c r="K7" i="9" s="1"/>
  <c r="J6" i="9"/>
  <c r="K6" i="9" s="1"/>
  <c r="J20" i="9"/>
  <c r="K20" i="9" s="1"/>
  <c r="J17" i="9"/>
  <c r="K17" i="9" s="1"/>
  <c r="F20" i="5"/>
  <c r="G20" i="5" s="1"/>
  <c r="J20" i="5"/>
  <c r="K20" i="5" s="1"/>
  <c r="I8" i="5"/>
  <c r="J8" i="5"/>
  <c r="K8" i="5" s="1"/>
  <c r="F7" i="5"/>
  <c r="G7" i="5" s="1"/>
  <c r="J7" i="5"/>
  <c r="K7" i="5" s="1"/>
  <c r="F19" i="5"/>
  <c r="G19" i="5" s="1"/>
  <c r="J19" i="5"/>
  <c r="K19" i="5" s="1"/>
  <c r="F15" i="5"/>
  <c r="G15" i="5" s="1"/>
  <c r="J15" i="5"/>
  <c r="K15" i="5" s="1"/>
  <c r="I9" i="5"/>
  <c r="J9" i="5"/>
  <c r="K9" i="5" s="1"/>
  <c r="F21" i="5"/>
  <c r="G21" i="5" s="1"/>
  <c r="J21" i="5"/>
  <c r="K21" i="5" s="1"/>
  <c r="I16" i="5"/>
  <c r="J16" i="5"/>
  <c r="K16" i="5" s="1"/>
  <c r="I18" i="5"/>
  <c r="J18" i="5"/>
  <c r="K18" i="5" s="1"/>
  <c r="I13" i="5"/>
  <c r="J13" i="5"/>
  <c r="K13" i="5" s="1"/>
  <c r="F13" i="5"/>
  <c r="G13" i="5" s="1"/>
  <c r="I17" i="5"/>
  <c r="J17" i="5"/>
  <c r="K17" i="5" s="1"/>
  <c r="I14" i="5"/>
  <c r="J14" i="5"/>
  <c r="K14" i="5" s="1"/>
  <c r="F11" i="5"/>
  <c r="G11" i="5" s="1"/>
  <c r="J11" i="5"/>
  <c r="K11" i="5" s="1"/>
  <c r="I12" i="5"/>
  <c r="J12" i="5"/>
  <c r="K12" i="5" s="1"/>
  <c r="I10" i="5"/>
  <c r="J10" i="5"/>
  <c r="K10" i="5" s="1"/>
  <c r="I7" i="5"/>
  <c r="F9" i="5"/>
  <c r="G9" i="5" s="1"/>
  <c r="I15" i="5"/>
  <c r="I21" i="5"/>
  <c r="L12" i="7"/>
  <c r="I17" i="7"/>
  <c r="J17" i="7" s="1"/>
  <c r="M17" i="7"/>
  <c r="N17" i="7" s="1"/>
  <c r="L16" i="7"/>
  <c r="M16" i="7"/>
  <c r="N16" i="7" s="1"/>
  <c r="L13" i="7"/>
  <c r="M13" i="7"/>
  <c r="N13" i="7" s="1"/>
  <c r="I10" i="7"/>
  <c r="J10" i="7" s="1"/>
  <c r="M10" i="7"/>
  <c r="N10" i="7" s="1"/>
  <c r="I21" i="7"/>
  <c r="J21" i="7" s="1"/>
  <c r="M21" i="7"/>
  <c r="N21" i="7" s="1"/>
  <c r="I9" i="7"/>
  <c r="J9" i="7" s="1"/>
  <c r="M9" i="7"/>
  <c r="N9" i="7" s="1"/>
  <c r="L9" i="7"/>
  <c r="I12" i="7"/>
  <c r="J12" i="7" s="1"/>
  <c r="L20" i="7"/>
  <c r="M20" i="7"/>
  <c r="N20" i="7" s="1"/>
  <c r="L11" i="7"/>
  <c r="M11" i="7"/>
  <c r="N11" i="7" s="1"/>
  <c r="I15" i="7"/>
  <c r="J15" i="7" s="1"/>
  <c r="M15" i="7"/>
  <c r="N15" i="7" s="1"/>
  <c r="I8" i="7"/>
  <c r="J8" i="7" s="1"/>
  <c r="M8" i="7"/>
  <c r="N8" i="7" s="1"/>
  <c r="L6" i="7"/>
  <c r="L15" i="7"/>
  <c r="L19" i="7"/>
  <c r="M19" i="7"/>
  <c r="N19" i="7" s="1"/>
  <c r="L14" i="7"/>
  <c r="M14" i="7"/>
  <c r="N14" i="7" s="1"/>
  <c r="I7" i="7"/>
  <c r="J7" i="7" s="1"/>
  <c r="M7" i="7"/>
  <c r="N7" i="7" s="1"/>
  <c r="L18" i="7"/>
  <c r="M18" i="7"/>
  <c r="N18" i="7" s="1"/>
  <c r="F6" i="5"/>
  <c r="G6" i="5" s="1"/>
  <c r="I20" i="5"/>
  <c r="I19" i="5"/>
  <c r="I11" i="7"/>
  <c r="J11" i="7" s="1"/>
  <c r="F25" i="5"/>
  <c r="G25" i="5" s="1"/>
  <c r="F18" i="5"/>
  <c r="G18" i="5" s="1"/>
  <c r="I11" i="5"/>
  <c r="I18" i="7"/>
  <c r="J18" i="7" s="1"/>
  <c r="I19" i="7"/>
  <c r="J19" i="7" s="1"/>
  <c r="F17" i="5"/>
  <c r="G17" i="5" s="1"/>
  <c r="F24" i="5"/>
  <c r="G24" i="5" s="1"/>
  <c r="F12" i="5"/>
  <c r="G12" i="5" s="1"/>
  <c r="L10" i="7"/>
  <c r="I14" i="7"/>
  <c r="J14" i="7" s="1"/>
  <c r="L17" i="7"/>
  <c r="I23" i="5"/>
  <c r="F8" i="5"/>
  <c r="G8" i="5" s="1"/>
  <c r="I22" i="7"/>
  <c r="J22" i="7" s="1"/>
  <c r="I13" i="7"/>
  <c r="J13" i="7" s="1"/>
  <c r="I13" i="4"/>
  <c r="F13" i="4"/>
  <c r="G13" i="4" s="1"/>
  <c r="I16" i="4"/>
  <c r="F16" i="4"/>
  <c r="G16" i="4" s="1"/>
  <c r="I25" i="4"/>
  <c r="F25" i="4"/>
  <c r="G25" i="4" s="1"/>
  <c r="I9" i="4"/>
  <c r="F9" i="4"/>
  <c r="G9" i="4" s="1"/>
  <c r="I12" i="4"/>
  <c r="F12" i="4"/>
  <c r="G12" i="4" s="1"/>
  <c r="F22" i="4"/>
  <c r="G22" i="4" s="1"/>
  <c r="I22" i="4"/>
  <c r="F6" i="4"/>
  <c r="G6" i="4" s="1"/>
  <c r="I6" i="4"/>
  <c r="I21" i="4"/>
  <c r="F21" i="4"/>
  <c r="G21" i="4" s="1"/>
  <c r="I24" i="4"/>
  <c r="F24" i="4"/>
  <c r="G24" i="4" s="1"/>
  <c r="I8" i="4"/>
  <c r="F8" i="4"/>
  <c r="G8" i="4" s="1"/>
  <c r="F18" i="4"/>
  <c r="G18" i="4" s="1"/>
  <c r="I18" i="4"/>
  <c r="F15" i="4"/>
  <c r="G15" i="4" s="1"/>
  <c r="I15" i="4"/>
  <c r="I17" i="4"/>
  <c r="F17" i="4"/>
  <c r="G17" i="4" s="1"/>
  <c r="I20" i="4"/>
  <c r="F20" i="4"/>
  <c r="G20" i="4" s="1"/>
  <c r="F19" i="4"/>
  <c r="G19" i="4" s="1"/>
  <c r="I19" i="4"/>
  <c r="F14" i="4"/>
  <c r="G14" i="4" s="1"/>
  <c r="I14" i="4"/>
  <c r="F11" i="4"/>
  <c r="G11" i="4" s="1"/>
  <c r="I11" i="4"/>
  <c r="F23" i="4"/>
  <c r="G23" i="4" s="1"/>
  <c r="I23" i="4"/>
  <c r="F10" i="4"/>
  <c r="G10" i="4" s="1"/>
  <c r="I10" i="4"/>
  <c r="F7" i="4"/>
  <c r="G7" i="4" s="1"/>
  <c r="I7" i="4"/>
  <c r="B3" i="3"/>
  <c r="B51" i="2"/>
  <c r="B56" i="2"/>
  <c r="B7" i="1"/>
  <c r="B14" i="3"/>
  <c r="B17" i="1"/>
  <c r="B12" i="2"/>
  <c r="B65" i="2"/>
  <c r="B26" i="2"/>
  <c r="B62" i="2"/>
  <c r="B30" i="2"/>
  <c r="B25" i="1"/>
  <c r="B14" i="2"/>
  <c r="B20" i="1"/>
  <c r="B63" i="2"/>
  <c r="B26" i="1"/>
  <c r="B68" i="2"/>
  <c r="B16" i="1"/>
  <c r="B21" i="3"/>
  <c r="B10" i="3"/>
  <c r="B28" i="1"/>
  <c r="B15" i="1"/>
  <c r="B24" i="2"/>
  <c r="B20" i="2"/>
  <c r="B9" i="3"/>
  <c r="B48" i="2"/>
  <c r="B42" i="2"/>
  <c r="B50" i="2"/>
  <c r="B5" i="1"/>
  <c r="B18" i="3"/>
  <c r="B12" i="1"/>
  <c r="B9" i="1"/>
  <c r="B8" i="1"/>
  <c r="B7" i="2"/>
  <c r="B72" i="2"/>
  <c r="B45" i="2"/>
  <c r="B57" i="2"/>
  <c r="B36" i="2"/>
  <c r="B66" i="2"/>
  <c r="B47" i="2"/>
  <c r="B23" i="1"/>
  <c r="B46" i="2"/>
  <c r="B29" i="1"/>
  <c r="B32" i="1"/>
  <c r="B29" i="2"/>
  <c r="B27" i="1"/>
  <c r="B36" i="1"/>
  <c r="B11" i="3"/>
  <c r="B18" i="2"/>
  <c r="B17" i="2"/>
  <c r="B49" i="2"/>
  <c r="B22" i="2"/>
  <c r="B7" i="3"/>
  <c r="B11" i="2"/>
  <c r="B16" i="2"/>
  <c r="B19" i="2"/>
  <c r="B13" i="2"/>
  <c r="B55" i="2"/>
  <c r="B23" i="2"/>
  <c r="B67" i="2"/>
  <c r="B13" i="3"/>
  <c r="B14" i="1"/>
  <c r="B21" i="1"/>
  <c r="B8" i="2"/>
  <c r="B34" i="2"/>
  <c r="B8" i="3"/>
  <c r="B6" i="2"/>
  <c r="B28" i="2"/>
  <c r="B71" i="2"/>
  <c r="B54" i="2"/>
  <c r="B12" i="3"/>
  <c r="B59" i="2"/>
  <c r="B33" i="2"/>
  <c r="B10" i="2"/>
  <c r="B10" i="1"/>
  <c r="B60" i="2"/>
  <c r="B23" i="3"/>
  <c r="B22" i="1"/>
  <c r="B41" i="2"/>
  <c r="B34" i="1"/>
  <c r="B6" i="1"/>
  <c r="B64" i="2"/>
  <c r="B53" i="2"/>
  <c r="B43" i="2"/>
  <c r="B11" i="1"/>
  <c r="B69" i="2"/>
  <c r="B70" i="2"/>
  <c r="B44" i="2"/>
  <c r="B25" i="3"/>
  <c r="B15" i="2"/>
  <c r="B18" i="1"/>
  <c r="B15" i="3"/>
  <c r="B16" i="3"/>
  <c r="B35" i="1"/>
  <c r="B31" i="2"/>
  <c r="B9" i="2"/>
  <c r="B32" i="2"/>
  <c r="B24" i="3"/>
  <c r="B35" i="2"/>
  <c r="B21" i="2"/>
  <c r="B19" i="1"/>
  <c r="B58" i="2"/>
  <c r="B27" i="2"/>
  <c r="B30" i="1"/>
  <c r="B20" i="3"/>
  <c r="B61" i="2"/>
  <c r="B17" i="3"/>
  <c r="B13" i="1"/>
  <c r="B19" i="3"/>
  <c r="B24" i="1"/>
  <c r="B52" i="2"/>
  <c r="B33" i="1"/>
  <c r="B31" i="1"/>
  <c r="B25" i="2"/>
  <c r="B22" i="3"/>
  <c r="E41" i="2" l="1"/>
  <c r="E42" i="2"/>
  <c r="E59" i="2"/>
  <c r="E5" i="1"/>
  <c r="E6" i="1"/>
  <c r="E7" i="1"/>
  <c r="E8" i="1"/>
  <c r="E9" i="2"/>
  <c r="E25" i="2"/>
  <c r="E18" i="2"/>
  <c r="E15" i="2"/>
  <c r="E31" i="2"/>
  <c r="E8" i="2"/>
  <c r="E24" i="2"/>
  <c r="E45" i="2"/>
  <c r="E61" i="2"/>
  <c r="E46" i="2"/>
  <c r="E62" i="2"/>
  <c r="E47" i="2"/>
  <c r="E63" i="2"/>
  <c r="E48" i="2"/>
  <c r="E64" i="2"/>
  <c r="E9" i="1"/>
  <c r="E25" i="1"/>
  <c r="E10" i="1"/>
  <c r="E26" i="1"/>
  <c r="E11" i="1"/>
  <c r="E27" i="1"/>
  <c r="E12" i="1"/>
  <c r="E28" i="1"/>
  <c r="E13" i="2"/>
  <c r="E6" i="2"/>
  <c r="E22" i="2"/>
  <c r="E29" i="2"/>
  <c r="E19" i="2"/>
  <c r="E35" i="2"/>
  <c r="E12" i="2"/>
  <c r="E28" i="2"/>
  <c r="E49" i="2"/>
  <c r="E65" i="2"/>
  <c r="E50" i="2"/>
  <c r="E66" i="2"/>
  <c r="E51" i="2"/>
  <c r="E67" i="2"/>
  <c r="E52" i="2"/>
  <c r="E68" i="2"/>
  <c r="E13" i="1"/>
  <c r="E29" i="1"/>
  <c r="E30" i="1"/>
  <c r="E15" i="1"/>
  <c r="E31" i="1"/>
  <c r="E16" i="1"/>
  <c r="E32" i="1"/>
  <c r="E17" i="2"/>
  <c r="E10" i="2"/>
  <c r="E26" i="2"/>
  <c r="E7" i="2"/>
  <c r="E23" i="2"/>
  <c r="E5" i="2"/>
  <c r="E16" i="2"/>
  <c r="E32" i="2"/>
  <c r="E57" i="2"/>
  <c r="E58" i="2"/>
  <c r="E43" i="2"/>
  <c r="E44" i="2"/>
  <c r="E60" i="2"/>
  <c r="E21" i="1"/>
  <c r="E22" i="1"/>
  <c r="E23" i="1"/>
  <c r="E24" i="1"/>
  <c r="E34" i="2"/>
  <c r="E14" i="1"/>
  <c r="E53" i="2"/>
  <c r="E69" i="2"/>
  <c r="E54" i="2"/>
  <c r="E70" i="2"/>
  <c r="E55" i="2"/>
  <c r="E71" i="2"/>
  <c r="E56" i="2"/>
  <c r="E72" i="2"/>
  <c r="E17" i="1"/>
  <c r="E33" i="1"/>
  <c r="E18" i="1"/>
  <c r="E34" i="1"/>
  <c r="E19" i="1"/>
  <c r="E35" i="1"/>
  <c r="E20" i="1"/>
  <c r="E36" i="1"/>
  <c r="E21" i="2"/>
  <c r="E14" i="2"/>
  <c r="E30" i="2"/>
  <c r="E11" i="2"/>
  <c r="E27" i="2"/>
  <c r="E33" i="2"/>
  <c r="E20" i="2"/>
  <c r="E36" i="2"/>
  <c r="E9" i="3"/>
  <c r="E17" i="3"/>
  <c r="E25" i="3"/>
  <c r="E6" i="3"/>
  <c r="E10" i="3"/>
  <c r="E14" i="3"/>
  <c r="E18" i="3"/>
  <c r="E7" i="3"/>
  <c r="E11" i="3"/>
  <c r="E15" i="3"/>
  <c r="E19" i="3"/>
  <c r="E23" i="3"/>
  <c r="E13" i="3"/>
  <c r="E21" i="3"/>
  <c r="E22" i="3"/>
  <c r="E8" i="3"/>
  <c r="E12" i="3"/>
  <c r="E16" i="3"/>
  <c r="E20" i="3"/>
  <c r="E24" i="3"/>
  <c r="J25" i="3" l="1"/>
  <c r="K25" i="3" s="1"/>
  <c r="J21" i="3"/>
  <c r="K21" i="3" s="1"/>
  <c r="J17" i="3"/>
  <c r="K17" i="3" s="1"/>
  <c r="J13" i="3"/>
  <c r="K13" i="3" s="1"/>
  <c r="J9" i="3"/>
  <c r="K9" i="3" s="1"/>
  <c r="J23" i="3"/>
  <c r="K23" i="3" s="1"/>
  <c r="J15" i="3"/>
  <c r="K15" i="3" s="1"/>
  <c r="J7" i="3"/>
  <c r="K7" i="3" s="1"/>
  <c r="J24" i="3"/>
  <c r="K24" i="3" s="1"/>
  <c r="J20" i="3"/>
  <c r="K20" i="3" s="1"/>
  <c r="J16" i="3"/>
  <c r="K16" i="3" s="1"/>
  <c r="J12" i="3"/>
  <c r="K12" i="3" s="1"/>
  <c r="J8" i="3"/>
  <c r="K8" i="3" s="1"/>
  <c r="J19" i="3"/>
  <c r="K19" i="3" s="1"/>
  <c r="J11" i="3"/>
  <c r="K11" i="3" s="1"/>
  <c r="J22" i="3"/>
  <c r="K22" i="3" s="1"/>
  <c r="J18" i="3"/>
  <c r="K18" i="3" s="1"/>
  <c r="J14" i="3"/>
  <c r="K14" i="3" s="1"/>
  <c r="J10" i="3"/>
  <c r="K10" i="3" s="1"/>
  <c r="I20" i="3"/>
  <c r="F20" i="3"/>
  <c r="G20" i="3" s="1"/>
  <c r="F13" i="3"/>
  <c r="G13" i="3" s="1"/>
  <c r="I13" i="3"/>
  <c r="F7" i="3"/>
  <c r="G7" i="3" s="1"/>
  <c r="I7" i="3"/>
  <c r="F36" i="2"/>
  <c r="G36" i="2" s="1"/>
  <c r="I36" i="2"/>
  <c r="I34" i="1"/>
  <c r="F34" i="1"/>
  <c r="G34" i="1" s="1"/>
  <c r="F70" i="2"/>
  <c r="G70" i="2" s="1"/>
  <c r="I70" i="2"/>
  <c r="I43" i="2"/>
  <c r="F43" i="2"/>
  <c r="G43" i="2" s="1"/>
  <c r="F26" i="2"/>
  <c r="G26" i="2" s="1"/>
  <c r="I26" i="2"/>
  <c r="I67" i="2"/>
  <c r="F67" i="2"/>
  <c r="G67" i="2" s="1"/>
  <c r="F6" i="2"/>
  <c r="G6" i="2" s="1"/>
  <c r="I6" i="2"/>
  <c r="I25" i="1"/>
  <c r="F25" i="1"/>
  <c r="G25" i="1" s="1"/>
  <c r="I63" i="2"/>
  <c r="F63" i="2"/>
  <c r="G63" i="2" s="1"/>
  <c r="I31" i="2"/>
  <c r="F31" i="2"/>
  <c r="G31" i="2" s="1"/>
  <c r="F5" i="1"/>
  <c r="G5" i="1" s="1"/>
  <c r="I5" i="1"/>
  <c r="I16" i="3"/>
  <c r="F16" i="3"/>
  <c r="G16" i="3" s="1"/>
  <c r="I25" i="3"/>
  <c r="F25" i="3"/>
  <c r="G25" i="3" s="1"/>
  <c r="F30" i="2"/>
  <c r="G30" i="2" s="1"/>
  <c r="I30" i="2"/>
  <c r="I18" i="1"/>
  <c r="F18" i="1"/>
  <c r="G18" i="1" s="1"/>
  <c r="F54" i="2"/>
  <c r="G54" i="2" s="1"/>
  <c r="I54" i="2"/>
  <c r="F21" i="1"/>
  <c r="G21" i="1" s="1"/>
  <c r="I21" i="1"/>
  <c r="F5" i="2"/>
  <c r="G5" i="2" s="1"/>
  <c r="I5" i="2"/>
  <c r="I31" i="1"/>
  <c r="F31" i="1"/>
  <c r="G31" i="1" s="1"/>
  <c r="F49" i="2"/>
  <c r="G49" i="2" s="1"/>
  <c r="I49" i="2"/>
  <c r="F11" i="1"/>
  <c r="G11" i="1" s="1"/>
  <c r="I11" i="1"/>
  <c r="F10" i="3"/>
  <c r="G10" i="3" s="1"/>
  <c r="I10" i="3"/>
  <c r="I36" i="1"/>
  <c r="F36" i="1"/>
  <c r="G36" i="1" s="1"/>
  <c r="I22" i="1"/>
  <c r="F22" i="1"/>
  <c r="G22" i="1" s="1"/>
  <c r="F16" i="1"/>
  <c r="G16" i="1" s="1"/>
  <c r="I16" i="1"/>
  <c r="I65" i="2"/>
  <c r="F65" i="2"/>
  <c r="G65" i="2" s="1"/>
  <c r="I9" i="2"/>
  <c r="F9" i="2"/>
  <c r="G9" i="2" s="1"/>
  <c r="I19" i="3"/>
  <c r="F19" i="3"/>
  <c r="G19" i="3" s="1"/>
  <c r="F6" i="3"/>
  <c r="G6" i="3" s="1"/>
  <c r="I6" i="3"/>
  <c r="I20" i="2"/>
  <c r="F20" i="2"/>
  <c r="G20" i="2" s="1"/>
  <c r="F20" i="1"/>
  <c r="G20" i="1" s="1"/>
  <c r="I20" i="1"/>
  <c r="F56" i="2"/>
  <c r="G56" i="2" s="1"/>
  <c r="I56" i="2"/>
  <c r="F34" i="2"/>
  <c r="G34" i="2" s="1"/>
  <c r="I34" i="2"/>
  <c r="F58" i="2"/>
  <c r="G58" i="2" s="1"/>
  <c r="I58" i="2"/>
  <c r="I10" i="2"/>
  <c r="F10" i="2"/>
  <c r="G10" i="2" s="1"/>
  <c r="F13" i="1"/>
  <c r="G13" i="1" s="1"/>
  <c r="I13" i="1"/>
  <c r="I51" i="2"/>
  <c r="F51" i="2"/>
  <c r="G51" i="2" s="1"/>
  <c r="F19" i="2"/>
  <c r="G19" i="2" s="1"/>
  <c r="I19" i="2"/>
  <c r="I13" i="2"/>
  <c r="F13" i="2"/>
  <c r="G13" i="2" s="1"/>
  <c r="F9" i="1"/>
  <c r="G9" i="1" s="1"/>
  <c r="I9" i="1"/>
  <c r="I47" i="2"/>
  <c r="F47" i="2"/>
  <c r="G47" i="2" s="1"/>
  <c r="F45" i="2"/>
  <c r="G45" i="2" s="1"/>
  <c r="I45" i="2"/>
  <c r="F15" i="2"/>
  <c r="G15" i="2" s="1"/>
  <c r="I15" i="2"/>
  <c r="F8" i="1"/>
  <c r="G8" i="1" s="1"/>
  <c r="I8" i="1"/>
  <c r="I59" i="2"/>
  <c r="F59" i="2"/>
  <c r="G59" i="2" s="1"/>
  <c r="I12" i="3"/>
  <c r="F12" i="3"/>
  <c r="G12" i="3" s="1"/>
  <c r="F22" i="3"/>
  <c r="G22" i="3" s="1"/>
  <c r="I22" i="3"/>
  <c r="F15" i="3"/>
  <c r="G15" i="3" s="1"/>
  <c r="I15" i="3"/>
  <c r="F18" i="3"/>
  <c r="G18" i="3" s="1"/>
  <c r="I18" i="3"/>
  <c r="I17" i="3"/>
  <c r="F17" i="3"/>
  <c r="G17" i="3" s="1"/>
  <c r="F33" i="2"/>
  <c r="G33" i="2" s="1"/>
  <c r="I33" i="2"/>
  <c r="I14" i="2"/>
  <c r="F14" i="2"/>
  <c r="G14" i="2" s="1"/>
  <c r="I35" i="1"/>
  <c r="F35" i="1"/>
  <c r="G35" i="1" s="1"/>
  <c r="I33" i="1"/>
  <c r="F33" i="1"/>
  <c r="G33" i="1" s="1"/>
  <c r="I71" i="2"/>
  <c r="F71" i="2"/>
  <c r="G71" i="2" s="1"/>
  <c r="F69" i="2"/>
  <c r="G69" i="2" s="1"/>
  <c r="I69" i="2"/>
  <c r="I24" i="1"/>
  <c r="F24" i="1"/>
  <c r="G24" i="1" s="1"/>
  <c r="I60" i="2"/>
  <c r="F60" i="2"/>
  <c r="G60" i="2" s="1"/>
  <c r="F57" i="2"/>
  <c r="G57" i="2" s="1"/>
  <c r="I57" i="2"/>
  <c r="I23" i="2"/>
  <c r="F23" i="2"/>
  <c r="G23" i="2" s="1"/>
  <c r="I17" i="2"/>
  <c r="F17" i="2"/>
  <c r="G17" i="2" s="1"/>
  <c r="F15" i="1"/>
  <c r="G15" i="1" s="1"/>
  <c r="I15" i="1"/>
  <c r="I68" i="2"/>
  <c r="F68" i="2"/>
  <c r="G68" i="2" s="1"/>
  <c r="F66" i="2"/>
  <c r="G66" i="2" s="1"/>
  <c r="I66" i="2"/>
  <c r="I28" i="2"/>
  <c r="F28" i="2"/>
  <c r="G28" i="2" s="1"/>
  <c r="I29" i="2"/>
  <c r="F29" i="2"/>
  <c r="G29" i="2" s="1"/>
  <c r="I28" i="1"/>
  <c r="F28" i="1"/>
  <c r="G28" i="1" s="1"/>
  <c r="I26" i="1"/>
  <c r="F26" i="1"/>
  <c r="G26" i="1" s="1"/>
  <c r="F64" i="2"/>
  <c r="G64" i="2" s="1"/>
  <c r="I64" i="2"/>
  <c r="F62" i="2"/>
  <c r="G62" i="2" s="1"/>
  <c r="I62" i="2"/>
  <c r="I24" i="2"/>
  <c r="F24" i="2"/>
  <c r="G24" i="2" s="1"/>
  <c r="F18" i="2"/>
  <c r="G18" i="2" s="1"/>
  <c r="I18" i="2"/>
  <c r="F7" i="1"/>
  <c r="G7" i="1" s="1"/>
  <c r="I7" i="1"/>
  <c r="I42" i="2"/>
  <c r="F42" i="2"/>
  <c r="G42" i="2" s="1"/>
  <c r="F23" i="3"/>
  <c r="G23" i="3" s="1"/>
  <c r="I23" i="3"/>
  <c r="I11" i="2"/>
  <c r="F11" i="2"/>
  <c r="G11" i="2" s="1"/>
  <c r="I72" i="2"/>
  <c r="F72" i="2"/>
  <c r="G72" i="2" s="1"/>
  <c r="F14" i="1"/>
  <c r="G14" i="1" s="1"/>
  <c r="I14" i="1"/>
  <c r="F16" i="2"/>
  <c r="G16" i="2" s="1"/>
  <c r="I29" i="1"/>
  <c r="F29" i="1"/>
  <c r="G29" i="1" s="1"/>
  <c r="I35" i="2"/>
  <c r="F35" i="2"/>
  <c r="G35" i="2" s="1"/>
  <c r="I27" i="1"/>
  <c r="F27" i="1"/>
  <c r="G27" i="1" s="1"/>
  <c r="F61" i="2"/>
  <c r="G61" i="2" s="1"/>
  <c r="I61" i="2"/>
  <c r="I24" i="3"/>
  <c r="F24" i="3"/>
  <c r="G24" i="3" s="1"/>
  <c r="I8" i="3"/>
  <c r="F8" i="3"/>
  <c r="G8" i="3" s="1"/>
  <c r="F21" i="3"/>
  <c r="G21" i="3" s="1"/>
  <c r="I21" i="3"/>
  <c r="I11" i="3"/>
  <c r="F11" i="3"/>
  <c r="G11" i="3" s="1"/>
  <c r="F14" i="3"/>
  <c r="G14" i="3" s="1"/>
  <c r="I14" i="3"/>
  <c r="I9" i="3"/>
  <c r="F9" i="3"/>
  <c r="G9" i="3" s="1"/>
  <c r="F27" i="2"/>
  <c r="G27" i="2" s="1"/>
  <c r="I27" i="2"/>
  <c r="I21" i="2"/>
  <c r="F21" i="2"/>
  <c r="G21" i="2" s="1"/>
  <c r="F19" i="1"/>
  <c r="G19" i="1" s="1"/>
  <c r="I19" i="1"/>
  <c r="I17" i="1"/>
  <c r="F17" i="1"/>
  <c r="G17" i="1" s="1"/>
  <c r="I55" i="2"/>
  <c r="F55" i="2"/>
  <c r="G55" i="2" s="1"/>
  <c r="F53" i="2"/>
  <c r="G53" i="2" s="1"/>
  <c r="I53" i="2"/>
  <c r="I23" i="1"/>
  <c r="F23" i="1"/>
  <c r="G23" i="1" s="1"/>
  <c r="F44" i="2"/>
  <c r="G44" i="2" s="1"/>
  <c r="I44" i="2"/>
  <c r="I32" i="2"/>
  <c r="F32" i="2"/>
  <c r="G32" i="2" s="1"/>
  <c r="I7" i="2"/>
  <c r="F7" i="2"/>
  <c r="G7" i="2" s="1"/>
  <c r="I32" i="1"/>
  <c r="F32" i="1"/>
  <c r="G32" i="1" s="1"/>
  <c r="I30" i="1"/>
  <c r="F30" i="1"/>
  <c r="G30" i="1" s="1"/>
  <c r="I52" i="2"/>
  <c r="F52" i="2"/>
  <c r="G52" i="2" s="1"/>
  <c r="F50" i="2"/>
  <c r="G50" i="2" s="1"/>
  <c r="I50" i="2"/>
  <c r="I12" i="2"/>
  <c r="F12" i="2"/>
  <c r="G12" i="2" s="1"/>
  <c r="F22" i="2"/>
  <c r="G22" i="2" s="1"/>
  <c r="I22" i="2"/>
  <c r="I12" i="1"/>
  <c r="F12" i="1"/>
  <c r="G12" i="1" s="1"/>
  <c r="I10" i="1"/>
  <c r="F10" i="1"/>
  <c r="G10" i="1" s="1"/>
  <c r="I48" i="2"/>
  <c r="F48" i="2"/>
  <c r="G48" i="2" s="1"/>
  <c r="F46" i="2"/>
  <c r="G46" i="2" s="1"/>
  <c r="I46" i="2"/>
  <c r="I8" i="2"/>
  <c r="F8" i="2"/>
  <c r="G8" i="2" s="1"/>
  <c r="I25" i="2"/>
  <c r="F25" i="2"/>
  <c r="G25" i="2" s="1"/>
  <c r="F6" i="1"/>
  <c r="G6" i="1" s="1"/>
  <c r="I6" i="1"/>
  <c r="F41" i="2"/>
  <c r="G41" i="2" s="1"/>
  <c r="I4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M5" authorId="0" shapeId="0" xr:uid="{77E94F56-DDFD-488A-9476-45E1F4E04797}">
      <text>
        <r>
          <rPr>
            <b/>
            <sz val="9"/>
            <color indexed="81"/>
            <rFont val="Segoe UI"/>
            <family val="2"/>
          </rPr>
          <t>Author: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M5" authorId="0" shapeId="0" xr:uid="{6392A823-F125-4172-AD0A-D7BABF6DCBEC}">
      <text>
        <r>
          <rPr>
            <b/>
            <sz val="9"/>
            <color indexed="81"/>
            <rFont val="Segoe UI"/>
            <family val="2"/>
          </rPr>
          <t>Author: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J5" authorId="0" shapeId="0" xr:uid="{46999829-B722-41BE-9931-289228828B03}">
      <text>
        <r>
          <rPr>
            <b/>
            <sz val="9"/>
            <color indexed="81"/>
            <rFont val="Segoe UI"/>
            <family val="2"/>
          </rPr>
          <t>Author: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J4" authorId="0" shapeId="0" xr:uid="{C1E8DD84-88A1-4BFD-B16D-EBAC952CFECE}">
      <text>
        <r>
          <rPr>
            <b/>
            <sz val="9"/>
            <color indexed="81"/>
            <rFont val="Segoe UI"/>
            <family val="2"/>
          </rPr>
          <t>Author: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J5" authorId="0" shapeId="0" xr:uid="{4D4D0A08-8A03-40F7-99CE-3C207F83F7B7}">
      <text>
        <r>
          <rPr>
            <b/>
            <sz val="9"/>
            <color indexed="81"/>
            <rFont val="Segoe UI"/>
            <family val="2"/>
          </rPr>
          <t>Author: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sharedStrings.xml><?xml version="1.0" encoding="utf-8"?>
<sst xmlns="http://schemas.openxmlformats.org/spreadsheetml/2006/main" count="609" uniqueCount="306">
  <si>
    <t>TÍNH TOÁN GIÁ THÀNH VÀ LỢI NHUẬN</t>
  </si>
  <si>
    <t>Chi phí theo số lượng</t>
  </si>
  <si>
    <t>Lợi nhuận</t>
  </si>
  <si>
    <t>Doanh thu</t>
  </si>
  <si>
    <t>Tính toán</t>
  </si>
  <si>
    <t>Giá thành</t>
  </si>
  <si>
    <t>Lợi nhuận biên (%)</t>
  </si>
  <si>
    <t>Mục</t>
  </si>
  <si>
    <t>Lên khuôn</t>
  </si>
  <si>
    <t>Phí khuôn</t>
  </si>
  <si>
    <t>Tùy sự phức tạp</t>
  </si>
  <si>
    <t>Số tờ rớt bao</t>
  </si>
  <si>
    <t>Số tờ phụ trội</t>
  </si>
  <si>
    <t>Số lượng tính</t>
  </si>
  <si>
    <t>Markup (theo ngành)</t>
  </si>
  <si>
    <t>Giá bán</t>
  </si>
  <si>
    <t>Giá TB/A4</t>
  </si>
  <si>
    <t>TÍNH TOÁN LẠI IN</t>
  </si>
  <si>
    <t>Trang</t>
  </si>
  <si>
    <t>Giá</t>
  </si>
  <si>
    <t>1-10</t>
  </si>
  <si>
    <t>BẢNG GIA CHO GIA CÔNG IN LẺ</t>
  </si>
  <si>
    <t>11-50</t>
  </si>
  <si>
    <t>51-&gt;up</t>
  </si>
  <si>
    <t>In lẻ &lt;10 trang</t>
  </si>
  <si>
    <t>20000đ</t>
  </si>
  <si>
    <t>1 In 4 màu</t>
  </si>
  <si>
    <t>2. In đen trắng</t>
  </si>
  <si>
    <t>In theo gói</t>
  </si>
  <si>
    <t>Số lượng (trang)</t>
  </si>
  <si>
    <t>Giá/Trang</t>
  </si>
  <si>
    <t>300.000đ</t>
  </si>
  <si>
    <t>450.000đ</t>
  </si>
  <si>
    <t>555.000đ</t>
  </si>
  <si>
    <t>650.000đ</t>
  </si>
  <si>
    <t>750.000đ</t>
  </si>
  <si>
    <t>1.400.000đ</t>
  </si>
  <si>
    <t>6.000.000đ</t>
  </si>
  <si>
    <t>10.000.000đ</t>
  </si>
  <si>
    <t>In àu</t>
  </si>
  <si>
    <t>Khổ A4</t>
  </si>
  <si>
    <t>Giá TB/m2</t>
  </si>
  <si>
    <t>Thành tiền/giá</t>
  </si>
  <si>
    <t>Thành tiền/Giá</t>
  </si>
  <si>
    <t>đ/tờ</t>
  </si>
  <si>
    <t>BẢNG GIA BẾ GIA CÔNG</t>
  </si>
  <si>
    <t>Bảng giá cán màng</t>
  </si>
  <si>
    <t>Đơn vị</t>
  </si>
  <si>
    <t>TÍNH TOÁN GIÁ THÀNH VÀ LỢI NHUẬN CÁN MÀNG</t>
  </si>
  <si>
    <t>TÍNH TOÁN GIÁ THÀNH VÀ LỢI NHUẬN CẤN GẤP</t>
  </si>
  <si>
    <t>/tờ</t>
  </si>
  <si>
    <t>Lẻ 1-&gt;10</t>
  </si>
  <si>
    <t>/Tờ</t>
  </si>
  <si>
    <t>Bảng giá Cấn gấp (2 đường), Răng cưa (1 đường)</t>
  </si>
  <si>
    <t>Lô 500 tờ rớt</t>
  </si>
  <si>
    <t>Phu trội 501-&gt;</t>
  </si>
  <si>
    <r>
      <t>I.</t>
    </r>
    <r>
      <rPr>
        <b/>
        <sz val="7"/>
        <color theme="1"/>
        <rFont val="Times New Roman"/>
        <family val="1"/>
      </rPr>
      <t xml:space="preserve">                   </t>
    </r>
    <r>
      <rPr>
        <b/>
        <sz val="13"/>
        <color theme="1"/>
        <rFont val="Times New Roman"/>
        <family val="1"/>
      </rPr>
      <t>In danh thiếp</t>
    </r>
  </si>
  <si>
    <r>
      <t>a.</t>
    </r>
    <r>
      <rPr>
        <b/>
        <sz val="7"/>
        <color theme="1"/>
        <rFont val="Times New Roman"/>
        <family val="1"/>
      </rPr>
      <t xml:space="preserve">      </t>
    </r>
    <r>
      <rPr>
        <b/>
        <sz val="13"/>
        <color theme="1"/>
        <rFont val="Times New Roman"/>
        <family val="1"/>
      </rPr>
      <t>Danh thiếp giấy Couche 300gsm cán màng mờ 2 mặt</t>
    </r>
  </si>
  <si>
    <t>Giấy couche 300gsm in 2 mặt và cán màng</t>
  </si>
  <si>
    <t>70.000đ/hộp</t>
  </si>
  <si>
    <r>
      <t>b.</t>
    </r>
    <r>
      <rPr>
        <b/>
        <sz val="7"/>
        <color theme="1"/>
        <rFont val="Times New Roman"/>
        <family val="1"/>
      </rPr>
      <t xml:space="preserve">     </t>
    </r>
    <r>
      <rPr>
        <b/>
        <sz val="13"/>
        <color theme="1"/>
        <rFont val="Times New Roman"/>
        <family val="1"/>
      </rPr>
      <t>Danh thiếp giấy nhựa</t>
    </r>
  </si>
  <si>
    <t>Giấy nhựa trắng mờ định lượng 200 gsm</t>
  </si>
  <si>
    <t>150.000đ/hộp</t>
  </si>
  <si>
    <t>Giấy nhựa trắng mờ định lượng 280gsm</t>
  </si>
  <si>
    <t xml:space="preserve">Đựng trong hộp mica </t>
  </si>
  <si>
    <t>300.000đ/hộp</t>
  </si>
  <si>
    <t>ĐÓNG CUỐN KIM</t>
  </si>
  <si>
    <t>/cuốn</t>
  </si>
  <si>
    <t>51-&gt;100</t>
  </si>
  <si>
    <t>101-&gt;200</t>
  </si>
  <si>
    <t>201-&gt;500</t>
  </si>
  <si>
    <t>Số trang tối đa 32 trang</t>
  </si>
  <si>
    <t>Đóng kim lồng</t>
  </si>
  <si>
    <t>Đóng cuốn Keo EVA</t>
  </si>
  <si>
    <t>/Lô</t>
  </si>
  <si>
    <t>ĐÓNG CUỐN KEO PUR</t>
  </si>
  <si>
    <t>Giấy for 150 -&gt; 250gsm</t>
  </si>
  <si>
    <t>Số trang tối đa 300</t>
  </si>
  <si>
    <t>Đóng cuốn Keo PUR</t>
  </si>
  <si>
    <t>đ/cuốn</t>
  </si>
  <si>
    <t>1-&gt;10</t>
  </si>
  <si>
    <t>Phí cố định</t>
  </si>
  <si>
    <t>1-&gt;5</t>
  </si>
  <si>
    <t>đ/cm2</t>
  </si>
  <si>
    <t>Giá ép</t>
  </si>
  <si>
    <t>đ/con</t>
  </si>
  <si>
    <t>UV ĐỊNH VỊ</t>
  </si>
  <si>
    <t>Chưa làm</t>
  </si>
  <si>
    <t>BẢNG GIÁ UV ĐỊNH VỊ</t>
  </si>
  <si>
    <t>đ/mặt</t>
  </si>
  <si>
    <t>Doanh thu In  theo số lượng sau khi trừ phí cài đặt</t>
  </si>
  <si>
    <t>Giá TB/mặt sau khi trừ cài đặt</t>
  </si>
  <si>
    <t>1-&gt;50</t>
  </si>
  <si>
    <t>501-&gt;1000</t>
  </si>
  <si>
    <t>6-&gt;trở lên</t>
  </si>
  <si>
    <t>6-&gt; up</t>
  </si>
  <si>
    <t>Giấy Couche &lt;120gsm</t>
  </si>
  <si>
    <t>Số trang tối đa 150 trang</t>
  </si>
  <si>
    <t>Giá TB/cuốn</t>
  </si>
  <si>
    <t>11-&gt;up</t>
  </si>
  <si>
    <t>2 kim lồng, chưa bao gồm cấn giữa</t>
  </si>
  <si>
    <t>1-&gt;100</t>
  </si>
  <si>
    <t>101-&gt;500</t>
  </si>
  <si>
    <t>đ/mặt a4</t>
  </si>
  <si>
    <t>501-&gt;</t>
  </si>
  <si>
    <t>Bảng lũy tiến đề nghị</t>
  </si>
  <si>
    <t>11-&gt; up</t>
  </si>
  <si>
    <t>Một lần in tối thiểu 10 trang</t>
  </si>
  <si>
    <t>25.000đ/hộp</t>
  </si>
  <si>
    <t>In lẻ 20.000đ/trang</t>
  </si>
  <si>
    <t>MÁY IN</t>
  </si>
  <si>
    <t>MÁY IN KỸ THUẬT SỐ</t>
  </si>
  <si>
    <t>tốc độ hiệu quả A4/h</t>
  </si>
  <si>
    <t>Tờ Chạy</t>
  </si>
  <si>
    <t>ma</t>
  </si>
  <si>
    <t>ten_may</t>
  </si>
  <si>
    <t>bhr</t>
  </si>
  <si>
    <t>thoi_gian_chuan_bi</t>
  </si>
  <si>
    <t>to_do_co_so</t>
  </si>
  <si>
    <t>ma_gop</t>
  </si>
  <si>
    <t>ma_to_chay</t>
  </si>
  <si>
    <t>ma_may_in</t>
  </si>
  <si>
    <t>dien_giai</t>
  </si>
  <si>
    <t>toc_do_to_gio</t>
  </si>
  <si>
    <t>thu_tu</t>
  </si>
  <si>
    <t>MI01</t>
  </si>
  <si>
    <t>Máy 03 001</t>
  </si>
  <si>
    <t>30x21</t>
  </si>
  <si>
    <t>30 x 21cm</t>
  </si>
  <si>
    <t>MI02</t>
  </si>
  <si>
    <t>Máy 03 002</t>
  </si>
  <si>
    <t>32x23</t>
  </si>
  <si>
    <t>32 x 23cm</t>
  </si>
  <si>
    <t>MI03</t>
  </si>
  <si>
    <t>Máy 03 003</t>
  </si>
  <si>
    <t>32x26</t>
  </si>
  <si>
    <t>32 x 26cm</t>
  </si>
  <si>
    <t>32x39</t>
  </si>
  <si>
    <t>32 x 39cm</t>
  </si>
  <si>
    <t>32x44</t>
  </si>
  <si>
    <t>32 x 44cm</t>
  </si>
  <si>
    <t>32x47</t>
  </si>
  <si>
    <t>32 x 47cm</t>
  </si>
  <si>
    <t>32x48.5</t>
  </si>
  <si>
    <t>32 x 48.5cm</t>
  </si>
  <si>
    <t>32x65</t>
  </si>
  <si>
    <t>32 x 65cm</t>
  </si>
  <si>
    <t>TÍNH GIÁ ÉP KIM TỰ ĐỘNG</t>
  </si>
  <si>
    <t>Ép Kim ngoài</t>
  </si>
  <si>
    <t>Số tờ chạy / lô</t>
  </si>
  <si>
    <t>Phí keo/cuốn</t>
  </si>
  <si>
    <t>Tổng phí</t>
  </si>
  <si>
    <t>Phí keo</t>
  </si>
  <si>
    <t>KEO EVA</t>
  </si>
  <si>
    <t>Chi phí chạy máy theo số lượng</t>
  </si>
  <si>
    <t>MÀNG</t>
  </si>
  <si>
    <t>gia_m2</t>
  </si>
  <si>
    <t>KHUÔN ÉP KIM</t>
  </si>
  <si>
    <t>KIM ÉP</t>
  </si>
  <si>
    <t>gia_cm2</t>
  </si>
  <si>
    <t>NHU-KIM-THUONG</t>
  </si>
  <si>
    <t>Nhũ kim thường</t>
  </si>
  <si>
    <t>NHU-KIM-VI-TINH</t>
  </si>
  <si>
    <t>Nhũ kim vi tính</t>
  </si>
  <si>
    <t>KHUON-EP-KIM-NHOM</t>
  </si>
  <si>
    <t>Khuôn ép kim nhôm</t>
  </si>
  <si>
    <t>MANG-NHIET</t>
  </si>
  <si>
    <t>Màng nhiệt</t>
  </si>
  <si>
    <t>TÍNH BÀI CMYK</t>
  </si>
  <si>
    <t>Tờ ép khổ</t>
  </si>
  <si>
    <t>54x76cm</t>
  </si>
  <si>
    <t>Số con/tờ</t>
  </si>
  <si>
    <t>Đối thủ làm</t>
  </si>
  <si>
    <t>3 con /tờ</t>
  </si>
  <si>
    <t>3x8 con</t>
  </si>
  <si>
    <t>Màu kim /tờ</t>
  </si>
  <si>
    <t>Số vòng ép</t>
  </si>
  <si>
    <t>Khuôn 1 kích thước</t>
  </si>
  <si>
    <t>Khuôn 2 kích thước</t>
  </si>
  <si>
    <t>tổng cm2</t>
  </si>
  <si>
    <t>Nhãn rượu</t>
  </si>
  <si>
    <t xml:space="preserve">Phí </t>
  </si>
  <si>
    <t>cắt ra nhãn nhỏ</t>
  </si>
  <si>
    <t>Mã ép kim</t>
  </si>
  <si>
    <t>Giá khuôn /cm2</t>
  </si>
  <si>
    <t>Số bộ</t>
  </si>
  <si>
    <t>Nhũ ép kim</t>
  </si>
  <si>
    <t>Mã nhũ ép kim</t>
  </si>
  <si>
    <t>Giá /cm2</t>
  </si>
  <si>
    <t>Số con dập</t>
  </si>
  <si>
    <t>Phí nhũ</t>
  </si>
  <si>
    <t>Số lần chạy</t>
  </si>
  <si>
    <t>Phí khuôn &amp; phí lấy</t>
  </si>
  <si>
    <t>Phí vận chuyển</t>
  </si>
  <si>
    <t>Phí cắt</t>
  </si>
  <si>
    <t>Cắt giấy</t>
  </si>
  <si>
    <t>Số tờ /xấp cắt</t>
  </si>
  <si>
    <t>Số xấp</t>
  </si>
  <si>
    <t>Số đường cắt/xấp</t>
  </si>
  <si>
    <t>Tính ép kim/Số tờ chạy</t>
  </si>
  <si>
    <t>Phí riêng kép kim</t>
  </si>
  <si>
    <t>Margin ngành</t>
  </si>
  <si>
    <t>Giá bán ngành</t>
  </si>
  <si>
    <t>Markup</t>
  </si>
  <si>
    <t>Margin</t>
  </si>
  <si>
    <t>Giá TB/Nhãn</t>
  </si>
  <si>
    <t>Rộng (cm)</t>
  </si>
  <si>
    <t>Cao (cm)</t>
  </si>
  <si>
    <t>Diện tích nhũ ép/lần</t>
  </si>
  <si>
    <t>Tổng tờ chạy đặt</t>
  </si>
  <si>
    <t>Tổng nhãn</t>
  </si>
  <si>
    <t>GIẤY CƠ BẢN</t>
  </si>
  <si>
    <t>gia_to</t>
  </si>
  <si>
    <t>C150gsm 32x47</t>
  </si>
  <si>
    <t>C200gsm 32x47</t>
  </si>
  <si>
    <t>C250gsm 32x47</t>
  </si>
  <si>
    <t>C300gsm 32x47</t>
  </si>
  <si>
    <t>B250gsm 32x47</t>
  </si>
  <si>
    <t>B300gsm 32x47</t>
  </si>
  <si>
    <t>B350gsm 32x47</t>
  </si>
  <si>
    <t>COC150-32x47</t>
  </si>
  <si>
    <t>COC200-32x47</t>
  </si>
  <si>
    <t>COC250-32x47</t>
  </si>
  <si>
    <t>COC300-32x47</t>
  </si>
  <si>
    <t>BRT250-32x47</t>
  </si>
  <si>
    <t>BRT300-32x47</t>
  </si>
  <si>
    <t>BRT350-32x47</t>
  </si>
  <si>
    <t>FOR180-32x43</t>
  </si>
  <si>
    <t>FOR180-32x47</t>
  </si>
  <si>
    <t>FOR150-32x47</t>
  </si>
  <si>
    <t>FOR250-32x47</t>
  </si>
  <si>
    <t>FOR150-32x43</t>
  </si>
  <si>
    <t>FOR100-32x47</t>
  </si>
  <si>
    <t>FOR120-32x47</t>
  </si>
  <si>
    <t>COC-M-150-32x47</t>
  </si>
  <si>
    <t>COC-M-115-32x43</t>
  </si>
  <si>
    <t>COC-M-250-32x43</t>
  </si>
  <si>
    <t>IVR-210-32x43</t>
  </si>
  <si>
    <t>IVR-350-32x43</t>
  </si>
  <si>
    <t>IVR-350-32x47</t>
  </si>
  <si>
    <t>IVR-300-32x47</t>
  </si>
  <si>
    <t>IVR-250-32x47</t>
  </si>
  <si>
    <t>COC100-32x47</t>
  </si>
  <si>
    <t>COC115-32x47</t>
  </si>
  <si>
    <t>COC100-32x43</t>
  </si>
  <si>
    <t>COC120-32x43</t>
  </si>
  <si>
    <t>COC120-32x47</t>
  </si>
  <si>
    <t>COC150-32x43</t>
  </si>
  <si>
    <t>C100gsm 32x47</t>
  </si>
  <si>
    <t>C120gsm 32x47</t>
  </si>
  <si>
    <t>C115gsm 32x47</t>
  </si>
  <si>
    <t>C120gsm 32x43</t>
  </si>
  <si>
    <t>C150gsm 32x43</t>
  </si>
  <si>
    <t>FO100gsm 32x47</t>
  </si>
  <si>
    <t>FO120gsm 32x47</t>
  </si>
  <si>
    <t>FO150gsm 32x47</t>
  </si>
  <si>
    <t>FO180gsm 32x47</t>
  </si>
  <si>
    <t>FO180gsm 32x43</t>
  </si>
  <si>
    <t>FO250gsm 32x47</t>
  </si>
  <si>
    <t>C-Matt 115gsm 32x43</t>
  </si>
  <si>
    <t>C-Matt 250gsm 32x43</t>
  </si>
  <si>
    <t>C-Matt 150gsm 32x47</t>
  </si>
  <si>
    <t>IVORY 210 32x43</t>
  </si>
  <si>
    <t>IVORY 250 32x47</t>
  </si>
  <si>
    <t>IVORY 300 32x47</t>
  </si>
  <si>
    <t>IVORY 350 32x47</t>
  </si>
  <si>
    <t>IVORY 350 32x43</t>
  </si>
  <si>
    <t>C100gsm 32x43</t>
  </si>
  <si>
    <t>COC200-32x43</t>
  </si>
  <si>
    <t>C200gsm 32x43</t>
  </si>
  <si>
    <t>COC250-32x43</t>
  </si>
  <si>
    <t>C250gsm 32x43</t>
  </si>
  <si>
    <t>COC300-32x43</t>
  </si>
  <si>
    <t>C300gsm 32x43</t>
  </si>
  <si>
    <t>TỜ RƠI A4</t>
  </si>
  <si>
    <t>Tờ chạy</t>
  </si>
  <si>
    <t>32x43</t>
  </si>
  <si>
    <t>Khổ cắt</t>
  </si>
  <si>
    <t>Dài (cm)</t>
  </si>
  <si>
    <t>Mục / số lượng SP</t>
  </si>
  <si>
    <t>Chi phí in gồm mực</t>
  </si>
  <si>
    <t>Giá TB/A3</t>
  </si>
  <si>
    <t>Số trang A3 tương ứng</t>
  </si>
  <si>
    <t>Giấy</t>
  </si>
  <si>
    <t>Mã</t>
  </si>
  <si>
    <t>Tên</t>
  </si>
  <si>
    <t>Thành tiền Mark up</t>
  </si>
  <si>
    <t>Đơn giá /Tờ chạy</t>
  </si>
  <si>
    <t>Số sản phẩm/ tờ chạy</t>
  </si>
  <si>
    <t>Giá TB 1M/trang tờ chạy</t>
  </si>
  <si>
    <t>Cập nhật ngày</t>
  </si>
  <si>
    <t>Gíá TB 1M/A4</t>
  </si>
  <si>
    <t>Giá giấy theo số SP</t>
  </si>
  <si>
    <t>Phí In 1M</t>
  </si>
  <si>
    <t>Giá In 1M sau khi Markup</t>
  </si>
  <si>
    <t>Tổng giá bán in 1M + giấy</t>
  </si>
  <si>
    <t>Tổng giá bán in 2M + giấy</t>
  </si>
  <si>
    <t>Giá In 2M sau khi Markup</t>
  </si>
  <si>
    <t>Số tờ chạy theo giấy cần + bù hao</t>
  </si>
  <si>
    <t>Số tờ A4 theo tờ chạy (tính in)</t>
  </si>
  <si>
    <t>Số tờ A4 / tờ chạy (dùng tính click in)</t>
  </si>
  <si>
    <t>Phí In 2M</t>
  </si>
  <si>
    <t>(là 43% margin)</t>
  </si>
  <si>
    <t>TỜ RƠI A5</t>
  </si>
  <si>
    <t>TỜ RƠI A6</t>
  </si>
  <si>
    <t>TỜ RƠI DL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</si>
</sst>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\ [$₫-42A]_-;\-* #,##0.00\ [$₫-42A]_-;_-* &quot;-&quot;??\ [$₫-42A]_-;_-@_-"/>
    <numFmt numFmtId="165" formatCode="_(* #,##0_);_(* \(#,##0\);_(* &quot;-&quot;??_);_(@_)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7"/>
      <color theme="1"/>
      <name val="Times New Roman"/>
      <family val="1"/>
    </font>
    <font>
      <sz val="11"/>
      <color rgb="FFFF00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2F2F2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0" fillId="3" borderId="0" applyNumberFormat="0" applyBorder="0" applyAlignment="0" applyProtection="0"/>
    <xf numFmtId="0" fontId="11" fillId="4" borderId="5" applyNumberFormat="0" applyAlignment="0" applyProtection="0"/>
  </cellStyleXfs>
  <cellXfs count="39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9" fontId="0" fillId="0" borderId="0" xfId="2" applyFont="1"/>
    <xf numFmtId="0" fontId="0" fillId="0" borderId="0" xfId="0" applyAlignment="1">
      <alignment horizontal="right"/>
    </xf>
    <xf numFmtId="164" fontId="0" fillId="0" borderId="0" xfId="2" applyNumberFormat="1" applyFont="1"/>
    <xf numFmtId="164" fontId="0" fillId="0" borderId="0" xfId="0" applyNumberFormat="1"/>
    <xf numFmtId="16" fontId="0" fillId="0" borderId="0" xfId="0" quotePrefix="1" applyNumberFormat="1"/>
    <xf numFmtId="17" fontId="0" fillId="0" borderId="0" xfId="0" quotePrefix="1" applyNumberFormat="1"/>
    <xf numFmtId="0" fontId="3" fillId="0" borderId="1" xfId="0" applyFont="1" applyBorder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0" fontId="4" fillId="0" borderId="0" xfId="0" applyFont="1" applyAlignment="1">
      <alignment horizontal="left" vertical="center" indent="8"/>
    </xf>
    <xf numFmtId="0" fontId="4" fillId="0" borderId="0" xfId="0" applyFont="1" applyAlignment="1">
      <alignment horizontal="left" vertical="center" indent="10"/>
    </xf>
    <xf numFmtId="0" fontId="4" fillId="0" borderId="0" xfId="0" applyFont="1" applyAlignment="1">
      <alignment vertical="center"/>
    </xf>
    <xf numFmtId="0" fontId="6" fillId="0" borderId="0" xfId="0" applyFont="1"/>
    <xf numFmtId="0" fontId="4" fillId="0" borderId="0" xfId="0" applyFont="1" applyAlignment="1">
      <alignment vertical="center" wrapText="1"/>
    </xf>
    <xf numFmtId="43" fontId="0" fillId="0" borderId="0" xfId="3" applyFont="1"/>
    <xf numFmtId="0" fontId="2" fillId="0" borderId="0" xfId="0" applyFont="1" applyAlignment="1">
      <alignment wrapText="1"/>
    </xf>
    <xf numFmtId="0" fontId="0" fillId="2" borderId="0" xfId="0" applyFill="1"/>
    <xf numFmtId="164" fontId="0" fillId="2" borderId="0" xfId="2" applyNumberFormat="1" applyFont="1" applyFill="1"/>
    <xf numFmtId="164" fontId="0" fillId="2" borderId="0" xfId="0" applyNumberFormat="1" applyFill="1"/>
    <xf numFmtId="9" fontId="0" fillId="2" borderId="0" xfId="2" applyFont="1" applyFill="1"/>
    <xf numFmtId="165" fontId="0" fillId="0" borderId="0" xfId="3" applyNumberFormat="1" applyFont="1"/>
    <xf numFmtId="165" fontId="0" fillId="0" borderId="0" xfId="0" applyNumberFormat="1"/>
    <xf numFmtId="43" fontId="0" fillId="0" borderId="0" xfId="0" applyNumberFormat="1"/>
    <xf numFmtId="164" fontId="0" fillId="0" borderId="0" xfId="3" applyNumberFormat="1" applyFont="1"/>
    <xf numFmtId="164" fontId="2" fillId="0" borderId="0" xfId="0" applyNumberFormat="1" applyFont="1"/>
    <xf numFmtId="164" fontId="0" fillId="0" borderId="0" xfId="1" applyNumberFormat="1" applyFont="1"/>
    <xf numFmtId="9" fontId="0" fillId="0" borderId="0" xfId="0" applyNumberFormat="1"/>
    <xf numFmtId="0" fontId="9" fillId="0" borderId="0" xfId="0" applyFont="1"/>
    <xf numFmtId="9" fontId="9" fillId="0" borderId="0" xfId="0" applyNumberFormat="1" applyFont="1"/>
    <xf numFmtId="10" fontId="9" fillId="0" borderId="0" xfId="0" applyNumberFormat="1" applyFont="1"/>
    <xf numFmtId="14" fontId="0" fillId="0" borderId="0" xfId="0" applyNumberFormat="1"/>
    <xf numFmtId="164" fontId="0" fillId="0" borderId="0" xfId="0" applyNumberFormat="1" applyFont="1"/>
    <xf numFmtId="9" fontId="10" fillId="3" borderId="5" xfId="4" applyNumberFormat="1" applyBorder="1"/>
    <xf numFmtId="0" fontId="11" fillId="4" borderId="5" xfId="5"/>
  </cellXfs>
  <cellStyles count="6">
    <cellStyle name="Calculation" xfId="5" builtinId="22"/>
    <cellStyle name="Comma" xfId="3" builtinId="3"/>
    <cellStyle name="Currency" xfId="1" builtinId="4"/>
    <cellStyle name="Good" xfId="4" builtinId="26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266700</xdr:colOff>
      <xdr:row>2</xdr:row>
      <xdr:rowOff>142875</xdr:rowOff>
    </xdr:from>
    <xdr:to>
      <xdr:col>31</xdr:col>
      <xdr:colOff>114300</xdr:colOff>
      <xdr:row>23</xdr:row>
      <xdr:rowOff>85725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4C6BBA3B-70B9-409E-B639-7A0834E120FE}"/>
            </a:ext>
          </a:extLst>
        </xdr:cNvPr>
        <xdr:cNvSpPr txBox="1"/>
      </xdr:nvSpPr>
      <xdr:spPr>
        <a:xfrm>
          <a:off x="13344525" y="523875"/>
          <a:ext cx="2466975" cy="4705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Margin vs. markup chart</a:t>
          </a:r>
        </a:p>
        <a:p>
          <a:r>
            <a:rPr lang="en-US" sz="1100"/>
            <a:t>Margins and markups interact in a predictable way. Each markup relates to a specific margin. Markups are always higher than their corresponding margins.</a:t>
          </a:r>
        </a:p>
        <a:p>
          <a:endParaRPr lang="en-US" sz="1100"/>
        </a:p>
        <a:p>
          <a:r>
            <a:rPr lang="en-US" sz="1100"/>
            <a:t>To easily find the markups that correlate to margins, use this margin vs. markup chart:</a:t>
          </a:r>
        </a:p>
        <a:p>
          <a:endParaRPr lang="en-US" sz="1100"/>
        </a:p>
        <a:p>
          <a:r>
            <a:rPr lang="en-US" sz="1100"/>
            <a:t>Markup	Margin</a:t>
          </a:r>
        </a:p>
        <a:p>
          <a:r>
            <a:rPr lang="en-US" sz="1100"/>
            <a:t>15%	13%</a:t>
          </a:r>
        </a:p>
        <a:p>
          <a:r>
            <a:rPr lang="en-US" sz="1100"/>
            <a:t>20%	16.7%</a:t>
          </a:r>
        </a:p>
        <a:p>
          <a:r>
            <a:rPr lang="en-US" sz="1100"/>
            <a:t>25%	20%</a:t>
          </a:r>
        </a:p>
        <a:p>
          <a:r>
            <a:rPr lang="en-US" sz="1100"/>
            <a:t>30%	23%</a:t>
          </a:r>
        </a:p>
        <a:p>
          <a:r>
            <a:rPr lang="en-US" sz="1100"/>
            <a:t>33.3%	25%</a:t>
          </a:r>
        </a:p>
        <a:p>
          <a:r>
            <a:rPr lang="en-US" sz="1100"/>
            <a:t>40%	28.6%</a:t>
          </a:r>
        </a:p>
        <a:p>
          <a:r>
            <a:rPr lang="en-US" sz="1100"/>
            <a:t>43%	30%</a:t>
          </a:r>
        </a:p>
        <a:p>
          <a:r>
            <a:rPr lang="en-US" sz="1100"/>
            <a:t>50%	33%</a:t>
          </a:r>
        </a:p>
        <a:p>
          <a:r>
            <a:rPr lang="en-US" sz="1100"/>
            <a:t>75%	42.9%</a:t>
          </a:r>
        </a:p>
        <a:p>
          <a:r>
            <a:rPr lang="en-US" sz="1100"/>
            <a:t>100%	50%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09DE0-B795-4556-828C-A9CFB44F865A}">
  <sheetPr codeName="Trang_tính7"/>
  <dimension ref="A1:AF25"/>
  <sheetViews>
    <sheetView workbookViewId="0">
      <selection activeCell="M27" sqref="M27"/>
    </sheetView>
  </sheetViews>
  <sheetFormatPr defaultRowHeight="15" x14ac:dyDescent="0.25"/>
  <cols>
    <col min="2" max="2" width="14.85546875" bestFit="1" customWidth="1"/>
    <col min="3" max="3" width="12.42578125" customWidth="1"/>
    <col min="4" max="5" width="14.85546875" bestFit="1" customWidth="1"/>
    <col min="8" max="9" width="14.85546875" bestFit="1" customWidth="1"/>
    <col min="10" max="10" width="8.42578125" bestFit="1" customWidth="1"/>
    <col min="12" max="12" width="13.28515625" bestFit="1" customWidth="1"/>
    <col min="13" max="13" width="14.85546875" bestFit="1" customWidth="1"/>
    <col min="14" max="14" width="11.140625" bestFit="1" customWidth="1"/>
    <col min="15" max="24" width="0" hidden="1" customWidth="1"/>
    <col min="30" max="30" width="19.140625" customWidth="1"/>
    <col min="31" max="31" width="11" customWidth="1"/>
  </cols>
  <sheetData>
    <row r="1" spans="1:32" x14ac:dyDescent="0.25">
      <c r="A1" s="1" t="s">
        <v>0</v>
      </c>
    </row>
    <row r="2" spans="1:32" x14ac:dyDescent="0.25">
      <c r="A2" t="s">
        <v>75</v>
      </c>
    </row>
    <row r="4" spans="1:32" x14ac:dyDescent="0.25">
      <c r="A4" s="1" t="s">
        <v>5</v>
      </c>
      <c r="G4" s="1" t="s">
        <v>4</v>
      </c>
      <c r="L4" s="1" t="s">
        <v>15</v>
      </c>
      <c r="AD4" s="1" t="s">
        <v>78</v>
      </c>
    </row>
    <row r="5" spans="1:32" ht="60" x14ac:dyDescent="0.25">
      <c r="A5" s="2" t="s">
        <v>13</v>
      </c>
      <c r="B5" s="2" t="s">
        <v>1</v>
      </c>
      <c r="C5" s="2" t="s">
        <v>150</v>
      </c>
      <c r="D5" s="20" t="s">
        <v>152</v>
      </c>
      <c r="E5" s="2" t="s">
        <v>151</v>
      </c>
      <c r="F5" s="2"/>
      <c r="G5" s="2" t="s">
        <v>14</v>
      </c>
      <c r="H5" s="2" t="s">
        <v>3</v>
      </c>
      <c r="I5" s="2" t="s">
        <v>2</v>
      </c>
      <c r="J5" s="3" t="s">
        <v>6</v>
      </c>
      <c r="K5" s="2"/>
      <c r="L5" s="2" t="s">
        <v>16</v>
      </c>
      <c r="M5" s="2" t="s">
        <v>90</v>
      </c>
      <c r="N5" s="2" t="s">
        <v>91</v>
      </c>
      <c r="AD5" t="s">
        <v>7</v>
      </c>
      <c r="AE5" t="s">
        <v>42</v>
      </c>
      <c r="AF5" t="s">
        <v>47</v>
      </c>
    </row>
    <row r="6" spans="1:32" x14ac:dyDescent="0.25">
      <c r="A6">
        <v>1</v>
      </c>
      <c r="B6" s="6">
        <f>PhiDongCuonKeoPUR(A6)</f>
        <v>353571.42859999998</v>
      </c>
      <c r="C6">
        <v>1250</v>
      </c>
      <c r="D6" s="7">
        <f>$A6*$C6</f>
        <v>1250</v>
      </c>
      <c r="E6" s="7">
        <f>B6+C6</f>
        <v>354821.42859999998</v>
      </c>
      <c r="G6" s="4">
        <v>0.9</v>
      </c>
      <c r="H6" s="7">
        <f t="shared" ref="H6:H22" si="0">B6*(1+G6)</f>
        <v>671785.71433999995</v>
      </c>
      <c r="I6" s="7">
        <f t="shared" ref="I6:I22" si="1">H6-B6</f>
        <v>318214.28573999996</v>
      </c>
      <c r="J6" s="4">
        <f>I6/H6</f>
        <v>0.47368421052631576</v>
      </c>
      <c r="L6" s="7">
        <f t="shared" ref="L6:L22" si="2">H6/A6</f>
        <v>671785.71433999995</v>
      </c>
      <c r="AD6" t="s">
        <v>81</v>
      </c>
      <c r="AE6" s="5">
        <v>350000</v>
      </c>
    </row>
    <row r="7" spans="1:32" x14ac:dyDescent="0.25">
      <c r="A7">
        <v>5</v>
      </c>
      <c r="B7" s="6">
        <f t="shared" ref="B7:B22" si="3">PhiDongCuonKeoPUR(A7)</f>
        <v>367857.14289999998</v>
      </c>
      <c r="C7">
        <v>1250</v>
      </c>
      <c r="D7" s="7">
        <f t="shared" ref="D7:D22" si="4">$A7*$C7</f>
        <v>6250</v>
      </c>
      <c r="E7" s="7">
        <f t="shared" ref="E7:E22" si="5">B7+C7</f>
        <v>369107.14289999998</v>
      </c>
      <c r="G7" s="4">
        <v>0.9</v>
      </c>
      <c r="H7" s="7">
        <f t="shared" si="0"/>
        <v>698928.57150999992</v>
      </c>
      <c r="I7" s="7">
        <f t="shared" si="1"/>
        <v>331071.42860999994</v>
      </c>
      <c r="J7" s="4">
        <f t="shared" ref="J7:J22" si="6">I7/H7</f>
        <v>0.47368421052631576</v>
      </c>
      <c r="L7" s="7">
        <f t="shared" si="2"/>
        <v>139785.71430199998</v>
      </c>
      <c r="M7" s="7">
        <f>(H7-$H$6)</f>
        <v>27142.857169999974</v>
      </c>
      <c r="N7" s="7">
        <f t="shared" ref="N7:N21" si="7">M7/A7</f>
        <v>5428.571433999995</v>
      </c>
      <c r="AD7" t="s">
        <v>82</v>
      </c>
      <c r="AE7">
        <v>0</v>
      </c>
      <c r="AF7" t="s">
        <v>79</v>
      </c>
    </row>
    <row r="8" spans="1:32" x14ac:dyDescent="0.25">
      <c r="A8" s="21">
        <v>10</v>
      </c>
      <c r="B8" s="22">
        <f t="shared" si="3"/>
        <v>385714.28570000001</v>
      </c>
      <c r="C8" s="21">
        <v>1250</v>
      </c>
      <c r="D8" s="23">
        <f t="shared" si="4"/>
        <v>12500</v>
      </c>
      <c r="E8" s="23">
        <f t="shared" si="5"/>
        <v>386964.28570000001</v>
      </c>
      <c r="F8" s="21"/>
      <c r="G8" s="24">
        <v>0.75</v>
      </c>
      <c r="H8" s="23">
        <f t="shared" si="0"/>
        <v>674999.99997500004</v>
      </c>
      <c r="I8" s="23">
        <f t="shared" si="1"/>
        <v>289285.71427500003</v>
      </c>
      <c r="J8" s="24">
        <f t="shared" si="6"/>
        <v>0.4285714285714286</v>
      </c>
      <c r="L8" s="7">
        <f t="shared" si="2"/>
        <v>67499.99999750001</v>
      </c>
      <c r="M8" s="7">
        <f t="shared" ref="M8:M21" si="8">(H8-$H$6)</f>
        <v>3214.2856350000948</v>
      </c>
      <c r="N8" s="7">
        <f t="shared" si="7"/>
        <v>321.42856350000949</v>
      </c>
      <c r="AD8" t="s">
        <v>95</v>
      </c>
      <c r="AE8" s="5">
        <v>8000</v>
      </c>
      <c r="AF8" t="s">
        <v>79</v>
      </c>
    </row>
    <row r="9" spans="1:32" x14ac:dyDescent="0.25">
      <c r="A9">
        <v>20</v>
      </c>
      <c r="B9" s="6">
        <f t="shared" si="3"/>
        <v>421428.57140000002</v>
      </c>
      <c r="C9">
        <v>1250</v>
      </c>
      <c r="D9" s="7">
        <f t="shared" si="4"/>
        <v>25000</v>
      </c>
      <c r="E9" s="7">
        <f t="shared" si="5"/>
        <v>422678.57140000002</v>
      </c>
      <c r="G9" s="4">
        <v>0.9</v>
      </c>
      <c r="H9" s="7">
        <f t="shared" si="0"/>
        <v>800714.28565999994</v>
      </c>
      <c r="I9" s="7">
        <f t="shared" si="1"/>
        <v>379285.71425999992</v>
      </c>
      <c r="J9" s="4">
        <f t="shared" si="6"/>
        <v>0.47368421052631571</v>
      </c>
      <c r="L9" s="7">
        <f t="shared" si="2"/>
        <v>40035.714282999994</v>
      </c>
      <c r="M9" s="7">
        <f t="shared" si="8"/>
        <v>128928.57131999999</v>
      </c>
      <c r="N9" s="7">
        <f t="shared" si="7"/>
        <v>6446.4285659999996</v>
      </c>
      <c r="AE9" s="5"/>
    </row>
    <row r="10" spans="1:32" x14ac:dyDescent="0.25">
      <c r="A10">
        <v>30</v>
      </c>
      <c r="B10" s="6">
        <f t="shared" si="3"/>
        <v>457142.85710000002</v>
      </c>
      <c r="C10">
        <v>1250</v>
      </c>
      <c r="D10" s="7">
        <f t="shared" si="4"/>
        <v>37500</v>
      </c>
      <c r="E10" s="7">
        <f t="shared" si="5"/>
        <v>458392.85710000002</v>
      </c>
      <c r="G10" s="4">
        <v>0.9</v>
      </c>
      <c r="H10" s="7">
        <f t="shared" si="0"/>
        <v>868571.42848999996</v>
      </c>
      <c r="I10" s="7">
        <f t="shared" si="1"/>
        <v>411428.57138999994</v>
      </c>
      <c r="J10" s="4">
        <f t="shared" si="6"/>
        <v>0.47368421052631576</v>
      </c>
      <c r="L10" s="7">
        <f t="shared" si="2"/>
        <v>28952.380949666665</v>
      </c>
      <c r="M10" s="7">
        <f t="shared" si="8"/>
        <v>196785.71415000001</v>
      </c>
      <c r="N10" s="7">
        <f t="shared" si="7"/>
        <v>6559.5238050000007</v>
      </c>
      <c r="AE10" s="5"/>
    </row>
    <row r="11" spans="1:32" x14ac:dyDescent="0.25">
      <c r="A11">
        <v>40</v>
      </c>
      <c r="B11" s="6">
        <f t="shared" si="3"/>
        <v>492857.14289999998</v>
      </c>
      <c r="C11">
        <v>1250</v>
      </c>
      <c r="D11" s="7">
        <f t="shared" si="4"/>
        <v>50000</v>
      </c>
      <c r="E11" s="7">
        <f t="shared" si="5"/>
        <v>494107.14289999998</v>
      </c>
      <c r="G11" s="4">
        <v>0.9</v>
      </c>
      <c r="H11" s="7">
        <f t="shared" si="0"/>
        <v>936428.57150999992</v>
      </c>
      <c r="I11" s="7">
        <f t="shared" si="1"/>
        <v>443571.42860999994</v>
      </c>
      <c r="J11" s="4">
        <f t="shared" si="6"/>
        <v>0.47368421052631576</v>
      </c>
      <c r="L11" s="7">
        <f t="shared" si="2"/>
        <v>23410.714287749997</v>
      </c>
      <c r="M11" s="7">
        <f t="shared" si="8"/>
        <v>264642.85716999997</v>
      </c>
      <c r="N11" s="7">
        <f t="shared" si="7"/>
        <v>6616.0714292499997</v>
      </c>
      <c r="AD11" t="s">
        <v>76</v>
      </c>
      <c r="AE11" s="5"/>
    </row>
    <row r="12" spans="1:32" x14ac:dyDescent="0.25">
      <c r="A12">
        <v>50</v>
      </c>
      <c r="B12" s="6">
        <f t="shared" si="3"/>
        <v>528571.42859999998</v>
      </c>
      <c r="C12">
        <v>1250</v>
      </c>
      <c r="D12" s="7">
        <f t="shared" si="4"/>
        <v>62500</v>
      </c>
      <c r="E12" s="7">
        <f t="shared" si="5"/>
        <v>529821.42859999998</v>
      </c>
      <c r="G12" s="4">
        <v>0.9</v>
      </c>
      <c r="H12" s="7">
        <f t="shared" si="0"/>
        <v>1004285.7143399999</v>
      </c>
      <c r="I12" s="7">
        <f t="shared" si="1"/>
        <v>475714.28573999996</v>
      </c>
      <c r="J12" s="4">
        <f t="shared" si="6"/>
        <v>0.47368421052631576</v>
      </c>
      <c r="L12" s="7">
        <f t="shared" si="2"/>
        <v>20085.714286799997</v>
      </c>
      <c r="M12" s="7">
        <f t="shared" si="8"/>
        <v>332500</v>
      </c>
      <c r="N12" s="7">
        <f t="shared" si="7"/>
        <v>6650</v>
      </c>
      <c r="AD12" t="s">
        <v>77</v>
      </c>
    </row>
    <row r="13" spans="1:32" x14ac:dyDescent="0.25">
      <c r="A13">
        <v>60</v>
      </c>
      <c r="B13" s="6">
        <f t="shared" si="3"/>
        <v>564285.71429999999</v>
      </c>
      <c r="C13">
        <v>1250</v>
      </c>
      <c r="D13" s="7">
        <f t="shared" si="4"/>
        <v>75000</v>
      </c>
      <c r="E13" s="7">
        <f t="shared" si="5"/>
        <v>565535.71429999999</v>
      </c>
      <c r="G13" s="4">
        <v>0.9</v>
      </c>
      <c r="H13" s="7">
        <f t="shared" si="0"/>
        <v>1072142.85717</v>
      </c>
      <c r="I13" s="7">
        <f t="shared" si="1"/>
        <v>507857.14286999998</v>
      </c>
      <c r="J13" s="4">
        <f t="shared" si="6"/>
        <v>0.47368421052631576</v>
      </c>
      <c r="L13" s="7">
        <f t="shared" si="2"/>
        <v>17869.047619500001</v>
      </c>
      <c r="M13" s="7">
        <f t="shared" si="8"/>
        <v>400357.14283000003</v>
      </c>
      <c r="N13" s="7">
        <f t="shared" si="7"/>
        <v>6672.6190471666669</v>
      </c>
    </row>
    <row r="14" spans="1:32" x14ac:dyDescent="0.25">
      <c r="A14">
        <v>70</v>
      </c>
      <c r="B14" s="6">
        <f t="shared" si="3"/>
        <v>600000</v>
      </c>
      <c r="C14">
        <v>1250</v>
      </c>
      <c r="D14" s="7">
        <f t="shared" si="4"/>
        <v>87500</v>
      </c>
      <c r="E14" s="7">
        <f t="shared" si="5"/>
        <v>601250</v>
      </c>
      <c r="G14" s="4">
        <v>0.9</v>
      </c>
      <c r="H14" s="7">
        <f t="shared" si="0"/>
        <v>1140000</v>
      </c>
      <c r="I14" s="7">
        <f t="shared" si="1"/>
        <v>540000</v>
      </c>
      <c r="J14" s="4">
        <f t="shared" si="6"/>
        <v>0.47368421052631576</v>
      </c>
      <c r="L14" s="7">
        <f t="shared" si="2"/>
        <v>16285.714285714286</v>
      </c>
      <c r="M14" s="7">
        <f t="shared" si="8"/>
        <v>468214.28566000005</v>
      </c>
      <c r="N14" s="7">
        <f t="shared" si="7"/>
        <v>6688.7755094285721</v>
      </c>
    </row>
    <row r="15" spans="1:32" x14ac:dyDescent="0.25">
      <c r="A15">
        <v>80</v>
      </c>
      <c r="B15" s="6">
        <f t="shared" si="3"/>
        <v>635714.28570000001</v>
      </c>
      <c r="C15">
        <v>1250</v>
      </c>
      <c r="D15" s="7">
        <f t="shared" si="4"/>
        <v>100000</v>
      </c>
      <c r="E15" s="7">
        <f t="shared" si="5"/>
        <v>636964.28570000001</v>
      </c>
      <c r="G15" s="4">
        <v>0.9</v>
      </c>
      <c r="H15" s="7">
        <f t="shared" si="0"/>
        <v>1207857.14283</v>
      </c>
      <c r="I15" s="7">
        <f t="shared" si="1"/>
        <v>572142.85713000002</v>
      </c>
      <c r="J15" s="4">
        <f t="shared" si="6"/>
        <v>0.47368421052631582</v>
      </c>
      <c r="L15" s="7">
        <f t="shared" si="2"/>
        <v>15098.214285375001</v>
      </c>
      <c r="M15" s="7">
        <f t="shared" si="8"/>
        <v>536071.42849000008</v>
      </c>
      <c r="N15" s="7">
        <f t="shared" si="7"/>
        <v>6700.8928561250013</v>
      </c>
    </row>
    <row r="16" spans="1:32" x14ac:dyDescent="0.25">
      <c r="A16">
        <v>90</v>
      </c>
      <c r="B16" s="6">
        <f t="shared" si="3"/>
        <v>671428.57140000002</v>
      </c>
      <c r="C16">
        <v>1250</v>
      </c>
      <c r="D16" s="7">
        <f t="shared" si="4"/>
        <v>112500</v>
      </c>
      <c r="E16" s="7">
        <f t="shared" si="5"/>
        <v>672678.57140000002</v>
      </c>
      <c r="G16" s="4">
        <v>0.9</v>
      </c>
      <c r="H16" s="7">
        <f t="shared" si="0"/>
        <v>1275714.2856600001</v>
      </c>
      <c r="I16" s="7">
        <f t="shared" si="1"/>
        <v>604285.71426000004</v>
      </c>
      <c r="J16" s="4">
        <f t="shared" si="6"/>
        <v>0.47368421052631582</v>
      </c>
      <c r="L16" s="7">
        <f t="shared" si="2"/>
        <v>14174.603174</v>
      </c>
      <c r="M16" s="7">
        <f t="shared" si="8"/>
        <v>603928.5713200001</v>
      </c>
      <c r="N16" s="7">
        <f t="shared" si="7"/>
        <v>6710.3174591111119</v>
      </c>
    </row>
    <row r="17" spans="1:14" x14ac:dyDescent="0.25">
      <c r="A17" s="21">
        <v>100</v>
      </c>
      <c r="B17" s="22">
        <f t="shared" si="3"/>
        <v>707142.85710000002</v>
      </c>
      <c r="C17" s="21">
        <v>1250</v>
      </c>
      <c r="D17" s="23">
        <f t="shared" si="4"/>
        <v>125000</v>
      </c>
      <c r="E17" s="23">
        <f t="shared" si="5"/>
        <v>708392.85710000002</v>
      </c>
      <c r="F17" s="21"/>
      <c r="G17" s="24">
        <v>0.33300000000000002</v>
      </c>
      <c r="H17" s="23">
        <f t="shared" si="0"/>
        <v>942621.42851430003</v>
      </c>
      <c r="I17" s="23">
        <f t="shared" si="1"/>
        <v>235478.57141430001</v>
      </c>
      <c r="J17" s="24">
        <f t="shared" si="6"/>
        <v>0.24981245311327832</v>
      </c>
      <c r="K17" s="21"/>
      <c r="L17" s="23">
        <f t="shared" si="2"/>
        <v>9426.2142851429999</v>
      </c>
      <c r="M17" s="23">
        <f t="shared" si="8"/>
        <v>270835.71417430008</v>
      </c>
      <c r="N17" s="23">
        <f t="shared" si="7"/>
        <v>2708.3571417430007</v>
      </c>
    </row>
    <row r="18" spans="1:14" x14ac:dyDescent="0.25">
      <c r="A18">
        <v>150</v>
      </c>
      <c r="B18" s="6">
        <f t="shared" si="3"/>
        <v>885714.28570000001</v>
      </c>
      <c r="C18">
        <v>1250</v>
      </c>
      <c r="D18" s="7">
        <f t="shared" si="4"/>
        <v>187500</v>
      </c>
      <c r="E18" s="7">
        <f t="shared" si="5"/>
        <v>886964.28570000001</v>
      </c>
      <c r="G18" s="4">
        <v>0.9</v>
      </c>
      <c r="H18" s="7">
        <f t="shared" si="0"/>
        <v>1682857.14283</v>
      </c>
      <c r="I18" s="7">
        <f t="shared" si="1"/>
        <v>797142.85713000002</v>
      </c>
      <c r="J18" s="4">
        <f t="shared" si="6"/>
        <v>0.47368421052631582</v>
      </c>
      <c r="L18" s="7">
        <f t="shared" si="2"/>
        <v>11219.047618866667</v>
      </c>
      <c r="M18" s="7">
        <f t="shared" si="8"/>
        <v>1011071.4284900001</v>
      </c>
      <c r="N18" s="7">
        <f t="shared" si="7"/>
        <v>6740.4761899333334</v>
      </c>
    </row>
    <row r="19" spans="1:14" x14ac:dyDescent="0.25">
      <c r="A19">
        <v>200</v>
      </c>
      <c r="B19" s="6">
        <f t="shared" si="3"/>
        <v>1064285.7143000001</v>
      </c>
      <c r="C19">
        <v>1250</v>
      </c>
      <c r="D19" s="7">
        <f t="shared" si="4"/>
        <v>250000</v>
      </c>
      <c r="E19" s="7">
        <f t="shared" si="5"/>
        <v>1065535.7143000001</v>
      </c>
      <c r="G19" s="4">
        <v>0.9</v>
      </c>
      <c r="H19" s="7">
        <f t="shared" si="0"/>
        <v>2022142.8571700002</v>
      </c>
      <c r="I19" s="7">
        <f t="shared" si="1"/>
        <v>957857.1428700001</v>
      </c>
      <c r="J19" s="4">
        <f t="shared" si="6"/>
        <v>0.47368421052631576</v>
      </c>
      <c r="L19" s="7">
        <f t="shared" si="2"/>
        <v>10110.714285850001</v>
      </c>
      <c r="M19" s="7">
        <f t="shared" si="8"/>
        <v>1350357.1428300003</v>
      </c>
      <c r="N19" s="7">
        <f t="shared" si="7"/>
        <v>6751.7857141500017</v>
      </c>
    </row>
    <row r="20" spans="1:14" x14ac:dyDescent="0.25">
      <c r="A20">
        <v>300</v>
      </c>
      <c r="B20" s="6">
        <f t="shared" si="3"/>
        <v>1421428.5714</v>
      </c>
      <c r="C20">
        <v>1250</v>
      </c>
      <c r="D20" s="7">
        <f t="shared" si="4"/>
        <v>375000</v>
      </c>
      <c r="E20" s="7">
        <f t="shared" si="5"/>
        <v>1422678.5714</v>
      </c>
      <c r="G20" s="4">
        <v>0.9</v>
      </c>
      <c r="H20" s="7">
        <f t="shared" si="0"/>
        <v>2700714.2856600001</v>
      </c>
      <c r="I20" s="7">
        <f t="shared" si="1"/>
        <v>1279285.71426</v>
      </c>
      <c r="J20" s="4">
        <f t="shared" si="6"/>
        <v>0.47368421052631582</v>
      </c>
      <c r="L20" s="7">
        <f t="shared" si="2"/>
        <v>9002.380952200001</v>
      </c>
      <c r="M20" s="7">
        <f t="shared" si="8"/>
        <v>2028928.5713200001</v>
      </c>
      <c r="N20" s="7">
        <f t="shared" si="7"/>
        <v>6763.0952377333333</v>
      </c>
    </row>
    <row r="21" spans="1:14" x14ac:dyDescent="0.25">
      <c r="A21">
        <v>400</v>
      </c>
      <c r="B21" s="6">
        <f t="shared" si="3"/>
        <v>1778571.4286</v>
      </c>
      <c r="C21">
        <v>1250</v>
      </c>
      <c r="D21" s="7">
        <f t="shared" si="4"/>
        <v>500000</v>
      </c>
      <c r="E21" s="7">
        <f t="shared" si="5"/>
        <v>1779821.4286</v>
      </c>
      <c r="G21" s="4">
        <v>0.9</v>
      </c>
      <c r="H21" s="7">
        <f t="shared" si="0"/>
        <v>3379285.7143399999</v>
      </c>
      <c r="I21" s="7">
        <f t="shared" si="1"/>
        <v>1600714.28574</v>
      </c>
      <c r="J21" s="4">
        <f t="shared" si="6"/>
        <v>0.47368421052631576</v>
      </c>
      <c r="L21" s="7">
        <f t="shared" si="2"/>
        <v>8448.2142858499992</v>
      </c>
      <c r="M21" s="7">
        <f t="shared" si="8"/>
        <v>2707500</v>
      </c>
      <c r="N21" s="7">
        <f t="shared" si="7"/>
        <v>6768.75</v>
      </c>
    </row>
    <row r="22" spans="1:14" x14ac:dyDescent="0.25">
      <c r="A22">
        <v>500</v>
      </c>
      <c r="B22" s="6">
        <f t="shared" si="3"/>
        <v>2135714.2856999999</v>
      </c>
      <c r="C22">
        <v>1250</v>
      </c>
      <c r="D22" s="7">
        <f t="shared" si="4"/>
        <v>625000</v>
      </c>
      <c r="E22" s="7">
        <f t="shared" si="5"/>
        <v>2136964.2856999999</v>
      </c>
      <c r="G22" s="4">
        <v>0.9</v>
      </c>
      <c r="H22" s="7">
        <f t="shared" si="0"/>
        <v>4057857.1428299998</v>
      </c>
      <c r="I22" s="7">
        <f t="shared" si="1"/>
        <v>1922142.8571299999</v>
      </c>
      <c r="J22" s="4">
        <f t="shared" si="6"/>
        <v>0.47368421052631576</v>
      </c>
      <c r="L22" s="7">
        <f t="shared" si="2"/>
        <v>8115.7142856599994</v>
      </c>
      <c r="M22" s="7"/>
    </row>
    <row r="23" spans="1:14" x14ac:dyDescent="0.25">
      <c r="B23" s="6"/>
      <c r="G23" s="4"/>
      <c r="H23" s="7"/>
      <c r="I23" s="7"/>
      <c r="J23" s="4"/>
      <c r="L23" s="7"/>
      <c r="M23" s="7"/>
    </row>
    <row r="24" spans="1:14" x14ac:dyDescent="0.25">
      <c r="B24" s="6"/>
      <c r="G24" s="4"/>
      <c r="H24" s="7"/>
      <c r="I24" s="7"/>
      <c r="J24" s="4"/>
      <c r="L24" s="7"/>
      <c r="M24" s="7"/>
    </row>
    <row r="25" spans="1:14" x14ac:dyDescent="0.25">
      <c r="B25" s="6"/>
      <c r="G25" s="4"/>
      <c r="H25" s="7"/>
      <c r="I25" s="7"/>
      <c r="J25" s="4"/>
      <c r="L25" s="7"/>
      <c r="M25" s="7"/>
    </row>
  </sheetData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4B4E1-5615-45AF-9296-36074AE7485B}">
  <sheetPr codeName="Trang_tính6"/>
  <dimension ref="A1:AC25"/>
  <sheetViews>
    <sheetView workbookViewId="0">
      <selection activeCell="H17" sqref="H17"/>
    </sheetView>
  </sheetViews>
  <sheetFormatPr defaultRowHeight="15" x14ac:dyDescent="0.25"/>
  <cols>
    <col min="2" max="2" width="14.85546875" bestFit="1" customWidth="1"/>
    <col min="4" max="4" width="13.28515625" bestFit="1" customWidth="1"/>
    <col min="5" max="5" width="14.85546875" bestFit="1" customWidth="1"/>
    <col min="6" max="6" width="13.28515625" bestFit="1" customWidth="1"/>
    <col min="7" max="7" width="8.42578125" bestFit="1" customWidth="1"/>
    <col min="8" max="8" width="14.85546875" bestFit="1" customWidth="1"/>
    <col min="9" max="10" width="13.28515625" bestFit="1" customWidth="1"/>
    <col min="11" max="11" width="11.140625" bestFit="1" customWidth="1"/>
    <col min="12" max="21" width="0" hidden="1" customWidth="1"/>
    <col min="27" max="27" width="17.140625" customWidth="1"/>
  </cols>
  <sheetData>
    <row r="1" spans="1:29" x14ac:dyDescent="0.25">
      <c r="A1" s="1" t="s">
        <v>0</v>
      </c>
    </row>
    <row r="2" spans="1:29" x14ac:dyDescent="0.25">
      <c r="A2" t="s">
        <v>153</v>
      </c>
    </row>
    <row r="4" spans="1:29" x14ac:dyDescent="0.25">
      <c r="A4" s="1" t="s">
        <v>5</v>
      </c>
      <c r="G4" s="1" t="s">
        <v>4</v>
      </c>
      <c r="L4" s="1" t="s">
        <v>15</v>
      </c>
      <c r="AA4" s="1" t="s">
        <v>73</v>
      </c>
    </row>
    <row r="5" spans="1:29" ht="105" x14ac:dyDescent="0.25">
      <c r="A5" s="2" t="s">
        <v>13</v>
      </c>
      <c r="B5" s="2" t="s">
        <v>1</v>
      </c>
      <c r="C5" s="2" t="s">
        <v>150</v>
      </c>
      <c r="D5" s="20" t="s">
        <v>152</v>
      </c>
      <c r="E5" s="2" t="s">
        <v>151</v>
      </c>
      <c r="F5" s="2"/>
      <c r="G5" s="2" t="s">
        <v>14</v>
      </c>
      <c r="H5" s="2" t="s">
        <v>3</v>
      </c>
      <c r="I5" s="2" t="s">
        <v>2</v>
      </c>
      <c r="J5" s="3" t="s">
        <v>6</v>
      </c>
      <c r="K5" s="2"/>
      <c r="L5" s="2" t="s">
        <v>16</v>
      </c>
      <c r="M5" s="2" t="s">
        <v>90</v>
      </c>
      <c r="N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PhiDongCuonKeoEVA(A6)</f>
        <v>201250</v>
      </c>
      <c r="C6">
        <v>1250</v>
      </c>
      <c r="D6" s="7">
        <f>$A6*$C6</f>
        <v>1250</v>
      </c>
      <c r="E6" s="7">
        <f>B6+C6</f>
        <v>202500</v>
      </c>
      <c r="G6" s="4">
        <v>0.9</v>
      </c>
      <c r="H6" s="7">
        <f t="shared" ref="H6:H22" si="0">B6*(1+G6)</f>
        <v>382375</v>
      </c>
      <c r="I6" s="7">
        <f t="shared" ref="I6:I22" si="1">H6-B6</f>
        <v>181125</v>
      </c>
      <c r="J6" s="4">
        <f>I6/H6</f>
        <v>0.47368421052631576</v>
      </c>
      <c r="L6" s="7">
        <f t="shared" ref="L6:L22" si="2">H6/A6</f>
        <v>382375</v>
      </c>
      <c r="AA6" t="s">
        <v>81</v>
      </c>
      <c r="AB6" s="5">
        <v>200000</v>
      </c>
    </row>
    <row r="7" spans="1:29" x14ac:dyDescent="0.25">
      <c r="A7">
        <v>5</v>
      </c>
      <c r="B7" s="6">
        <f t="shared" ref="B7:B22" si="3">PhiDongCuonKeoEVA(A7)</f>
        <v>206250</v>
      </c>
      <c r="C7">
        <v>1250</v>
      </c>
      <c r="D7" s="7">
        <f t="shared" ref="D7:D22" si="4">$A7*$C7</f>
        <v>6250</v>
      </c>
      <c r="E7" s="7">
        <f t="shared" ref="E7:E22" si="5">B7+C7</f>
        <v>207500</v>
      </c>
      <c r="G7" s="4">
        <v>0.9</v>
      </c>
      <c r="H7" s="7">
        <f t="shared" si="0"/>
        <v>391875</v>
      </c>
      <c r="I7" s="7">
        <f t="shared" si="1"/>
        <v>185625</v>
      </c>
      <c r="J7" s="4">
        <f t="shared" ref="J7:J22" si="6">I7/H7</f>
        <v>0.47368421052631576</v>
      </c>
      <c r="L7" s="7">
        <f t="shared" si="2"/>
        <v>78375</v>
      </c>
      <c r="M7" s="7">
        <f>(H7-$H$6)</f>
        <v>9500</v>
      </c>
      <c r="N7" s="7">
        <f t="shared" ref="N7:N21" si="7">M7/A7</f>
        <v>1900</v>
      </c>
      <c r="AA7" t="s">
        <v>82</v>
      </c>
      <c r="AB7">
        <v>0</v>
      </c>
      <c r="AC7" t="s">
        <v>67</v>
      </c>
    </row>
    <row r="8" spans="1:29" x14ac:dyDescent="0.25">
      <c r="A8" s="21">
        <v>10</v>
      </c>
      <c r="B8" s="22">
        <f t="shared" si="3"/>
        <v>212500</v>
      </c>
      <c r="C8" s="21">
        <v>1250</v>
      </c>
      <c r="D8" s="23">
        <f t="shared" si="4"/>
        <v>12500</v>
      </c>
      <c r="E8" s="23">
        <f t="shared" si="5"/>
        <v>213750</v>
      </c>
      <c r="F8" s="21"/>
      <c r="G8" s="24">
        <v>0.75</v>
      </c>
      <c r="H8" s="23">
        <f t="shared" si="0"/>
        <v>371875</v>
      </c>
      <c r="I8" s="23">
        <f t="shared" si="1"/>
        <v>159375</v>
      </c>
      <c r="J8" s="24">
        <f t="shared" si="6"/>
        <v>0.42857142857142855</v>
      </c>
      <c r="L8" s="7">
        <f t="shared" si="2"/>
        <v>37187.5</v>
      </c>
      <c r="M8" s="7">
        <f t="shared" ref="M8:M21" si="8">(H8-$H$6)</f>
        <v>-10500</v>
      </c>
      <c r="N8" s="7">
        <f t="shared" si="7"/>
        <v>-1050</v>
      </c>
      <c r="AA8" t="s">
        <v>94</v>
      </c>
      <c r="AB8" s="5">
        <v>3000</v>
      </c>
      <c r="AC8" t="s">
        <v>67</v>
      </c>
    </row>
    <row r="9" spans="1:29" x14ac:dyDescent="0.25">
      <c r="A9">
        <v>20</v>
      </c>
      <c r="B9" s="6">
        <f t="shared" si="3"/>
        <v>225000</v>
      </c>
      <c r="C9">
        <v>1250</v>
      </c>
      <c r="D9" s="7">
        <f t="shared" si="4"/>
        <v>25000</v>
      </c>
      <c r="E9" s="7">
        <f t="shared" si="5"/>
        <v>226250</v>
      </c>
      <c r="G9" s="4">
        <v>0.9</v>
      </c>
      <c r="H9" s="7">
        <f t="shared" si="0"/>
        <v>427500</v>
      </c>
      <c r="I9" s="7">
        <f t="shared" si="1"/>
        <v>202500</v>
      </c>
      <c r="J9" s="4">
        <f t="shared" si="6"/>
        <v>0.47368421052631576</v>
      </c>
      <c r="L9" s="7">
        <f t="shared" si="2"/>
        <v>21375</v>
      </c>
      <c r="M9" s="7">
        <f t="shared" si="8"/>
        <v>45125</v>
      </c>
      <c r="N9" s="7">
        <f t="shared" si="7"/>
        <v>2256.25</v>
      </c>
      <c r="AB9" s="5"/>
    </row>
    <row r="10" spans="1:29" x14ac:dyDescent="0.25">
      <c r="A10">
        <v>30</v>
      </c>
      <c r="B10" s="6">
        <f t="shared" si="3"/>
        <v>237500</v>
      </c>
      <c r="C10">
        <v>1250</v>
      </c>
      <c r="D10" s="7">
        <f t="shared" si="4"/>
        <v>37500</v>
      </c>
      <c r="E10" s="7">
        <f t="shared" si="5"/>
        <v>238750</v>
      </c>
      <c r="G10" s="4">
        <v>0.9</v>
      </c>
      <c r="H10" s="7">
        <f t="shared" si="0"/>
        <v>451250</v>
      </c>
      <c r="I10" s="7">
        <f t="shared" si="1"/>
        <v>213750</v>
      </c>
      <c r="J10" s="4">
        <f t="shared" si="6"/>
        <v>0.47368421052631576</v>
      </c>
      <c r="L10" s="7">
        <f t="shared" si="2"/>
        <v>15041.666666666666</v>
      </c>
      <c r="M10" s="7">
        <f t="shared" si="8"/>
        <v>68875</v>
      </c>
      <c r="N10" s="7">
        <f t="shared" si="7"/>
        <v>2295.8333333333335</v>
      </c>
      <c r="AB10" s="5"/>
    </row>
    <row r="11" spans="1:29" x14ac:dyDescent="0.25">
      <c r="A11">
        <v>40</v>
      </c>
      <c r="B11" s="6">
        <f t="shared" si="3"/>
        <v>250000</v>
      </c>
      <c r="C11">
        <v>1250</v>
      </c>
      <c r="D11" s="7">
        <f t="shared" si="4"/>
        <v>50000</v>
      </c>
      <c r="E11" s="7">
        <f t="shared" si="5"/>
        <v>251250</v>
      </c>
      <c r="G11" s="4">
        <v>0.9</v>
      </c>
      <c r="H11" s="7">
        <f t="shared" si="0"/>
        <v>475000</v>
      </c>
      <c r="I11" s="7">
        <f t="shared" si="1"/>
        <v>225000</v>
      </c>
      <c r="J11" s="4">
        <f t="shared" si="6"/>
        <v>0.47368421052631576</v>
      </c>
      <c r="L11" s="7">
        <f t="shared" si="2"/>
        <v>11875</v>
      </c>
      <c r="M11" s="7">
        <f t="shared" si="8"/>
        <v>92625</v>
      </c>
      <c r="N11" s="7">
        <f t="shared" si="7"/>
        <v>2315.625</v>
      </c>
      <c r="AA11" t="s">
        <v>96</v>
      </c>
      <c r="AB11" s="5"/>
    </row>
    <row r="12" spans="1:29" x14ac:dyDescent="0.25">
      <c r="A12">
        <v>50</v>
      </c>
      <c r="B12" s="6">
        <f t="shared" si="3"/>
        <v>262500</v>
      </c>
      <c r="C12">
        <v>1250</v>
      </c>
      <c r="D12" s="7">
        <f t="shared" si="4"/>
        <v>62500</v>
      </c>
      <c r="E12" s="7">
        <f t="shared" si="5"/>
        <v>263750</v>
      </c>
      <c r="G12" s="4">
        <v>0.9</v>
      </c>
      <c r="H12" s="7">
        <f t="shared" si="0"/>
        <v>498750</v>
      </c>
      <c r="I12" s="7">
        <f t="shared" si="1"/>
        <v>236250</v>
      </c>
      <c r="J12" s="4">
        <f t="shared" si="6"/>
        <v>0.47368421052631576</v>
      </c>
      <c r="L12" s="7">
        <f t="shared" si="2"/>
        <v>9975</v>
      </c>
      <c r="M12" s="7">
        <f t="shared" si="8"/>
        <v>116375</v>
      </c>
      <c r="N12" s="7">
        <f t="shared" si="7"/>
        <v>2327.5</v>
      </c>
      <c r="AA12" t="s">
        <v>97</v>
      </c>
    </row>
    <row r="13" spans="1:29" x14ac:dyDescent="0.25">
      <c r="A13">
        <v>60</v>
      </c>
      <c r="B13" s="6">
        <f t="shared" si="3"/>
        <v>275000</v>
      </c>
      <c r="C13">
        <v>1250</v>
      </c>
      <c r="D13" s="7">
        <f t="shared" si="4"/>
        <v>75000</v>
      </c>
      <c r="E13" s="7">
        <f t="shared" si="5"/>
        <v>276250</v>
      </c>
      <c r="G13" s="4">
        <v>0.9</v>
      </c>
      <c r="H13" s="7">
        <f t="shared" si="0"/>
        <v>522500</v>
      </c>
      <c r="I13" s="7">
        <f t="shared" si="1"/>
        <v>247500</v>
      </c>
      <c r="J13" s="4">
        <f t="shared" si="6"/>
        <v>0.47368421052631576</v>
      </c>
      <c r="L13" s="7">
        <f t="shared" si="2"/>
        <v>8708.3333333333339</v>
      </c>
      <c r="M13" s="7">
        <f t="shared" si="8"/>
        <v>140125</v>
      </c>
      <c r="N13" s="7">
        <f t="shared" si="7"/>
        <v>2335.4166666666665</v>
      </c>
    </row>
    <row r="14" spans="1:29" x14ac:dyDescent="0.25">
      <c r="A14">
        <v>70</v>
      </c>
      <c r="B14" s="6">
        <f t="shared" si="3"/>
        <v>287500</v>
      </c>
      <c r="C14">
        <v>1250</v>
      </c>
      <c r="D14" s="7">
        <f t="shared" si="4"/>
        <v>87500</v>
      </c>
      <c r="E14" s="7">
        <f t="shared" si="5"/>
        <v>288750</v>
      </c>
      <c r="G14" s="4">
        <v>0.9</v>
      </c>
      <c r="H14" s="7">
        <f t="shared" si="0"/>
        <v>546250</v>
      </c>
      <c r="I14" s="7">
        <f t="shared" si="1"/>
        <v>258750</v>
      </c>
      <c r="J14" s="4">
        <f t="shared" si="6"/>
        <v>0.47368421052631576</v>
      </c>
      <c r="L14" s="7">
        <f t="shared" si="2"/>
        <v>7803.5714285714284</v>
      </c>
      <c r="M14" s="7">
        <f t="shared" si="8"/>
        <v>163875</v>
      </c>
      <c r="N14" s="7">
        <f t="shared" si="7"/>
        <v>2341.0714285714284</v>
      </c>
    </row>
    <row r="15" spans="1:29" x14ac:dyDescent="0.25">
      <c r="A15">
        <v>80</v>
      </c>
      <c r="B15" s="6">
        <f t="shared" si="3"/>
        <v>300000</v>
      </c>
      <c r="C15">
        <v>1250</v>
      </c>
      <c r="D15" s="7">
        <f t="shared" si="4"/>
        <v>100000</v>
      </c>
      <c r="E15" s="7">
        <f t="shared" si="5"/>
        <v>301250</v>
      </c>
      <c r="G15" s="4">
        <v>0.9</v>
      </c>
      <c r="H15" s="7">
        <f t="shared" si="0"/>
        <v>570000</v>
      </c>
      <c r="I15" s="7">
        <f t="shared" si="1"/>
        <v>270000</v>
      </c>
      <c r="J15" s="4">
        <f t="shared" si="6"/>
        <v>0.47368421052631576</v>
      </c>
      <c r="L15" s="7">
        <f t="shared" si="2"/>
        <v>7125</v>
      </c>
      <c r="M15" s="7">
        <f t="shared" si="8"/>
        <v>187625</v>
      </c>
      <c r="N15" s="7">
        <f t="shared" si="7"/>
        <v>2345.3125</v>
      </c>
    </row>
    <row r="16" spans="1:29" x14ac:dyDescent="0.25">
      <c r="A16">
        <v>90</v>
      </c>
      <c r="B16" s="6">
        <f t="shared" si="3"/>
        <v>312500</v>
      </c>
      <c r="C16">
        <v>1250</v>
      </c>
      <c r="D16" s="7">
        <f t="shared" si="4"/>
        <v>112500</v>
      </c>
      <c r="E16" s="7">
        <f t="shared" si="5"/>
        <v>313750</v>
      </c>
      <c r="G16" s="4">
        <v>0.9</v>
      </c>
      <c r="H16" s="7">
        <f t="shared" si="0"/>
        <v>593750</v>
      </c>
      <c r="I16" s="7">
        <f t="shared" si="1"/>
        <v>281250</v>
      </c>
      <c r="J16" s="4">
        <f t="shared" si="6"/>
        <v>0.47368421052631576</v>
      </c>
      <c r="L16" s="7">
        <f t="shared" si="2"/>
        <v>6597.2222222222226</v>
      </c>
      <c r="M16" s="7">
        <f t="shared" si="8"/>
        <v>211375</v>
      </c>
      <c r="N16" s="7">
        <f t="shared" si="7"/>
        <v>2348.6111111111113</v>
      </c>
    </row>
    <row r="17" spans="1:14" x14ac:dyDescent="0.25">
      <c r="A17" s="21">
        <v>100</v>
      </c>
      <c r="B17" s="22">
        <f t="shared" si="3"/>
        <v>325000</v>
      </c>
      <c r="C17" s="21">
        <v>1250</v>
      </c>
      <c r="D17" s="23">
        <f t="shared" si="4"/>
        <v>125000</v>
      </c>
      <c r="E17" s="23">
        <f t="shared" si="5"/>
        <v>326250</v>
      </c>
      <c r="F17" s="21"/>
      <c r="G17" s="24">
        <v>0.75</v>
      </c>
      <c r="H17" s="23">
        <f t="shared" si="0"/>
        <v>568750</v>
      </c>
      <c r="I17" s="23">
        <f t="shared" si="1"/>
        <v>243750</v>
      </c>
      <c r="J17" s="24">
        <f t="shared" si="6"/>
        <v>0.42857142857142855</v>
      </c>
      <c r="K17" s="21"/>
      <c r="L17" s="23">
        <f t="shared" si="2"/>
        <v>5687.5</v>
      </c>
      <c r="M17" s="23">
        <f t="shared" si="8"/>
        <v>186375</v>
      </c>
      <c r="N17" s="23">
        <f t="shared" si="7"/>
        <v>1863.75</v>
      </c>
    </row>
    <row r="18" spans="1:14" x14ac:dyDescent="0.25">
      <c r="A18">
        <v>150</v>
      </c>
      <c r="B18" s="6">
        <f t="shared" si="3"/>
        <v>387500</v>
      </c>
      <c r="C18">
        <v>1250</v>
      </c>
      <c r="D18" s="7">
        <f t="shared" si="4"/>
        <v>187500</v>
      </c>
      <c r="E18" s="7">
        <f t="shared" si="5"/>
        <v>388750</v>
      </c>
      <c r="G18" s="4">
        <v>0.9</v>
      </c>
      <c r="H18" s="7">
        <f t="shared" si="0"/>
        <v>736250</v>
      </c>
      <c r="I18" s="7">
        <f t="shared" si="1"/>
        <v>348750</v>
      </c>
      <c r="J18" s="4">
        <f t="shared" si="6"/>
        <v>0.47368421052631576</v>
      </c>
      <c r="L18" s="7">
        <f t="shared" si="2"/>
        <v>4908.333333333333</v>
      </c>
      <c r="M18" s="7">
        <f t="shared" si="8"/>
        <v>353875</v>
      </c>
      <c r="N18" s="7">
        <f t="shared" si="7"/>
        <v>2359.1666666666665</v>
      </c>
    </row>
    <row r="19" spans="1:14" x14ac:dyDescent="0.25">
      <c r="A19">
        <v>200</v>
      </c>
      <c r="B19" s="6">
        <f t="shared" si="3"/>
        <v>450000</v>
      </c>
      <c r="C19">
        <v>1250</v>
      </c>
      <c r="D19" s="7">
        <f t="shared" si="4"/>
        <v>250000</v>
      </c>
      <c r="E19" s="7">
        <f t="shared" si="5"/>
        <v>451250</v>
      </c>
      <c r="G19" s="4">
        <v>0.9</v>
      </c>
      <c r="H19" s="7">
        <f t="shared" si="0"/>
        <v>855000</v>
      </c>
      <c r="I19" s="7">
        <f t="shared" si="1"/>
        <v>405000</v>
      </c>
      <c r="J19" s="4">
        <f t="shared" si="6"/>
        <v>0.47368421052631576</v>
      </c>
      <c r="L19" s="7">
        <f t="shared" si="2"/>
        <v>4275</v>
      </c>
      <c r="M19" s="7">
        <f t="shared" si="8"/>
        <v>472625</v>
      </c>
      <c r="N19" s="7">
        <f t="shared" si="7"/>
        <v>2363.125</v>
      </c>
    </row>
    <row r="20" spans="1:14" x14ac:dyDescent="0.25">
      <c r="A20">
        <v>300</v>
      </c>
      <c r="B20" s="6">
        <f t="shared" si="3"/>
        <v>575000</v>
      </c>
      <c r="C20">
        <v>1250</v>
      </c>
      <c r="D20" s="7">
        <f t="shared" si="4"/>
        <v>375000</v>
      </c>
      <c r="E20" s="7">
        <f t="shared" si="5"/>
        <v>576250</v>
      </c>
      <c r="G20" s="4">
        <v>0.9</v>
      </c>
      <c r="H20" s="7">
        <f t="shared" si="0"/>
        <v>1092500</v>
      </c>
      <c r="I20" s="7">
        <f t="shared" si="1"/>
        <v>517500</v>
      </c>
      <c r="J20" s="4">
        <f t="shared" si="6"/>
        <v>0.47368421052631576</v>
      </c>
      <c r="L20" s="7">
        <f t="shared" si="2"/>
        <v>3641.6666666666665</v>
      </c>
      <c r="M20" s="7">
        <f t="shared" si="8"/>
        <v>710125</v>
      </c>
      <c r="N20" s="7">
        <f t="shared" si="7"/>
        <v>2367.0833333333335</v>
      </c>
    </row>
    <row r="21" spans="1:14" x14ac:dyDescent="0.25">
      <c r="A21">
        <v>400</v>
      </c>
      <c r="B21" s="6">
        <f t="shared" si="3"/>
        <v>700000</v>
      </c>
      <c r="C21">
        <v>1250</v>
      </c>
      <c r="D21" s="7">
        <f t="shared" si="4"/>
        <v>500000</v>
      </c>
      <c r="E21" s="7">
        <f t="shared" si="5"/>
        <v>701250</v>
      </c>
      <c r="G21" s="4">
        <v>0.9</v>
      </c>
      <c r="H21" s="7">
        <f t="shared" si="0"/>
        <v>1330000</v>
      </c>
      <c r="I21" s="7">
        <f t="shared" si="1"/>
        <v>630000</v>
      </c>
      <c r="J21" s="4">
        <f t="shared" si="6"/>
        <v>0.47368421052631576</v>
      </c>
      <c r="L21" s="7">
        <f t="shared" si="2"/>
        <v>3325</v>
      </c>
      <c r="M21" s="7">
        <f t="shared" si="8"/>
        <v>947625</v>
      </c>
      <c r="N21" s="7">
        <f t="shared" si="7"/>
        <v>2369.0625</v>
      </c>
    </row>
    <row r="22" spans="1:14" x14ac:dyDescent="0.25">
      <c r="A22">
        <v>500</v>
      </c>
      <c r="B22" s="6">
        <f t="shared" si="3"/>
        <v>825000</v>
      </c>
      <c r="C22">
        <v>1250</v>
      </c>
      <c r="D22" s="7">
        <f t="shared" si="4"/>
        <v>625000</v>
      </c>
      <c r="E22" s="7">
        <f t="shared" si="5"/>
        <v>826250</v>
      </c>
      <c r="G22" s="4">
        <v>0.9</v>
      </c>
      <c r="H22" s="7">
        <f t="shared" si="0"/>
        <v>1567500</v>
      </c>
      <c r="I22" s="7">
        <f t="shared" si="1"/>
        <v>742500</v>
      </c>
      <c r="J22" s="4">
        <f t="shared" si="6"/>
        <v>0.47368421052631576</v>
      </c>
      <c r="L22" s="7">
        <f t="shared" si="2"/>
        <v>3135</v>
      </c>
      <c r="M22" s="7"/>
    </row>
    <row r="23" spans="1:14" x14ac:dyDescent="0.25">
      <c r="B23" s="6"/>
      <c r="G23" s="4"/>
      <c r="H23" s="7"/>
      <c r="I23" s="7"/>
      <c r="J23" s="4"/>
      <c r="L23" s="7"/>
      <c r="M23" s="7"/>
    </row>
    <row r="24" spans="1:14" x14ac:dyDescent="0.25">
      <c r="B24" s="6"/>
      <c r="G24" s="4"/>
      <c r="H24" s="7"/>
      <c r="I24" s="7"/>
      <c r="J24" s="4"/>
      <c r="L24" s="7"/>
      <c r="M24" s="7"/>
    </row>
    <row r="25" spans="1:14" x14ac:dyDescent="0.25">
      <c r="B25" s="6"/>
      <c r="D25" s="4"/>
      <c r="E25" s="7"/>
      <c r="F25" s="7"/>
      <c r="G25" s="4"/>
      <c r="I25" s="7"/>
      <c r="J25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F48EC-FC9B-4F8B-8DE9-B4441FD254BD}">
  <sheetPr codeName="Trang_tính5"/>
  <dimension ref="A1:AC25"/>
  <sheetViews>
    <sheetView topLeftCell="E1" workbookViewId="0">
      <selection activeCell="AA8" sqref="AA8"/>
    </sheetView>
  </sheetViews>
  <sheetFormatPr defaultRowHeight="15" x14ac:dyDescent="0.25"/>
  <cols>
    <col min="2" max="2" width="14.85546875" bestFit="1" customWidth="1"/>
    <col min="5" max="6" width="14.85546875" bestFit="1" customWidth="1"/>
    <col min="7" max="7" width="8.42578125" bestFit="1" customWidth="1"/>
    <col min="9" max="9" width="13.28515625" bestFit="1" customWidth="1"/>
    <col min="10" max="10" width="14.85546875" bestFit="1" customWidth="1"/>
    <col min="11" max="11" width="11.140625" bestFit="1" customWidth="1"/>
    <col min="27" max="27" width="24.5703125" bestFit="1" customWidth="1"/>
  </cols>
  <sheetData>
    <row r="1" spans="1:29" x14ac:dyDescent="0.25">
      <c r="A1" s="1" t="s">
        <v>0</v>
      </c>
    </row>
    <row r="2" spans="1:29" x14ac:dyDescent="0.25">
      <c r="A2" t="s">
        <v>66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72</v>
      </c>
    </row>
    <row r="5" spans="1:29" ht="60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98</v>
      </c>
      <c r="J5" s="2" t="s">
        <v>90</v>
      </c>
      <c r="K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PhiDongKimLong(A6)</f>
        <v>126583.3333</v>
      </c>
      <c r="D6" s="4">
        <v>0.9</v>
      </c>
      <c r="E6" s="7">
        <f>B6*(1+D6)</f>
        <v>240508.33326999997</v>
      </c>
      <c r="F6" s="7">
        <f>E6-B6</f>
        <v>113924.99996999998</v>
      </c>
      <c r="G6" s="4">
        <f>F6/E6</f>
        <v>0.47368421052631576</v>
      </c>
      <c r="I6" s="7">
        <f t="shared" ref="I6:I25" si="0">E6/A6</f>
        <v>240508.33326999997</v>
      </c>
      <c r="AA6" t="s">
        <v>81</v>
      </c>
      <c r="AB6" s="5">
        <v>150000</v>
      </c>
      <c r="AC6" t="s">
        <v>74</v>
      </c>
    </row>
    <row r="7" spans="1:29" x14ac:dyDescent="0.25">
      <c r="A7">
        <v>50</v>
      </c>
      <c r="B7" s="6">
        <f t="shared" ref="B7:B25" si="1">PhiDongKimLong(A7)</f>
        <v>204166.6667</v>
      </c>
      <c r="D7" s="4">
        <v>0.9</v>
      </c>
      <c r="E7" s="7">
        <f t="shared" ref="E7:E25" si="2">B7*(1+D7)</f>
        <v>387916.66673</v>
      </c>
      <c r="F7" s="7">
        <f t="shared" ref="F7:F25" si="3">E7-B7</f>
        <v>183750.00003</v>
      </c>
      <c r="G7" s="4">
        <f t="shared" ref="G7:G25" si="4">F7/E7</f>
        <v>0.47368421052631576</v>
      </c>
      <c r="I7" s="7">
        <f t="shared" si="0"/>
        <v>7758.3333345999999</v>
      </c>
      <c r="J7" s="7">
        <f>(E7-$E$6)</f>
        <v>147408.33346000002</v>
      </c>
      <c r="K7" s="7">
        <f>J7/A7</f>
        <v>2948.1666692000003</v>
      </c>
      <c r="AA7" t="s">
        <v>80</v>
      </c>
      <c r="AB7">
        <v>0</v>
      </c>
      <c r="AC7" t="s">
        <v>79</v>
      </c>
    </row>
    <row r="8" spans="1:29" x14ac:dyDescent="0.25">
      <c r="A8">
        <v>100</v>
      </c>
      <c r="B8" s="6">
        <f t="shared" si="1"/>
        <v>283333.3333</v>
      </c>
      <c r="D8" s="4">
        <v>0.9</v>
      </c>
      <c r="E8" s="7">
        <f t="shared" si="2"/>
        <v>538333.33326999994</v>
      </c>
      <c r="F8" s="7">
        <f t="shared" si="3"/>
        <v>254999.99996999995</v>
      </c>
      <c r="G8" s="4">
        <f t="shared" si="4"/>
        <v>0.47368421052631576</v>
      </c>
      <c r="I8" s="7">
        <f t="shared" si="0"/>
        <v>5383.3333326999991</v>
      </c>
      <c r="J8" s="7">
        <f t="shared" ref="J8:J21" si="5">(E8-$E$6)</f>
        <v>297825</v>
      </c>
      <c r="K8" s="7">
        <f t="shared" ref="K8:K21" si="6">J8/A8</f>
        <v>2978.25</v>
      </c>
      <c r="AA8" t="s">
        <v>99</v>
      </c>
      <c r="AB8" s="5">
        <v>3000</v>
      </c>
      <c r="AC8" t="s">
        <v>67</v>
      </c>
    </row>
    <row r="9" spans="1:29" x14ac:dyDescent="0.25">
      <c r="A9">
        <v>150</v>
      </c>
      <c r="B9" s="6">
        <f t="shared" si="1"/>
        <v>362500</v>
      </c>
      <c r="D9" s="4">
        <v>0.9</v>
      </c>
      <c r="E9" s="7">
        <f t="shared" si="2"/>
        <v>688750</v>
      </c>
      <c r="F9" s="7">
        <f t="shared" si="3"/>
        <v>326250</v>
      </c>
      <c r="G9" s="4">
        <f t="shared" si="4"/>
        <v>0.47368421052631576</v>
      </c>
      <c r="I9" s="7">
        <f t="shared" si="0"/>
        <v>4591.666666666667</v>
      </c>
      <c r="J9" s="7">
        <f t="shared" si="5"/>
        <v>448241.66673000006</v>
      </c>
      <c r="K9" s="7">
        <f t="shared" si="6"/>
        <v>2988.2777782000003</v>
      </c>
      <c r="AB9" s="5"/>
    </row>
    <row r="10" spans="1:29" x14ac:dyDescent="0.25">
      <c r="A10">
        <v>200</v>
      </c>
      <c r="B10" s="6">
        <f t="shared" si="1"/>
        <v>441666.6667</v>
      </c>
      <c r="D10" s="4">
        <v>0.9</v>
      </c>
      <c r="E10" s="7">
        <f t="shared" si="2"/>
        <v>839166.66672999994</v>
      </c>
      <c r="F10" s="7">
        <f t="shared" si="3"/>
        <v>397500.00002999994</v>
      </c>
      <c r="G10" s="4">
        <f t="shared" si="4"/>
        <v>0.47368421052631576</v>
      </c>
      <c r="I10" s="7">
        <f t="shared" si="0"/>
        <v>4195.83333365</v>
      </c>
      <c r="J10" s="7">
        <f t="shared" si="5"/>
        <v>598658.33345999999</v>
      </c>
      <c r="K10" s="7">
        <f t="shared" si="6"/>
        <v>2993.2916673</v>
      </c>
      <c r="AA10" t="s">
        <v>100</v>
      </c>
      <c r="AB10" s="5"/>
    </row>
    <row r="11" spans="1:29" x14ac:dyDescent="0.25">
      <c r="A11">
        <v>250</v>
      </c>
      <c r="B11" s="6">
        <f t="shared" si="1"/>
        <v>520833.3333</v>
      </c>
      <c r="D11" s="4">
        <v>0.9</v>
      </c>
      <c r="E11" s="7">
        <f t="shared" si="2"/>
        <v>989583.33326999994</v>
      </c>
      <c r="F11" s="7">
        <f t="shared" si="3"/>
        <v>468749.99996999995</v>
      </c>
      <c r="G11" s="4">
        <f t="shared" si="4"/>
        <v>0.47368421052631576</v>
      </c>
      <c r="I11" s="7">
        <f t="shared" si="0"/>
        <v>3958.3333330799996</v>
      </c>
      <c r="J11" s="7">
        <f t="shared" si="5"/>
        <v>749075</v>
      </c>
      <c r="K11" s="7">
        <f t="shared" si="6"/>
        <v>2996.3</v>
      </c>
      <c r="AA11" t="s">
        <v>71</v>
      </c>
      <c r="AB11" s="5"/>
    </row>
    <row r="12" spans="1:29" x14ac:dyDescent="0.25">
      <c r="A12">
        <v>300</v>
      </c>
      <c r="B12" s="6">
        <f t="shared" si="1"/>
        <v>600000</v>
      </c>
      <c r="D12" s="4">
        <v>0.9</v>
      </c>
      <c r="E12" s="7">
        <f t="shared" si="2"/>
        <v>1140000</v>
      </c>
      <c r="F12" s="7">
        <f t="shared" si="3"/>
        <v>540000</v>
      </c>
      <c r="G12" s="4">
        <f t="shared" si="4"/>
        <v>0.47368421052631576</v>
      </c>
      <c r="I12" s="7">
        <f t="shared" si="0"/>
        <v>3800</v>
      </c>
      <c r="J12" s="7">
        <f t="shared" si="5"/>
        <v>899491.66673000006</v>
      </c>
      <c r="K12" s="7">
        <f t="shared" si="6"/>
        <v>2998.3055557666667</v>
      </c>
    </row>
    <row r="13" spans="1:29" x14ac:dyDescent="0.25">
      <c r="A13">
        <v>350</v>
      </c>
      <c r="B13" s="6">
        <f t="shared" si="1"/>
        <v>679166.66669999994</v>
      </c>
      <c r="D13" s="4">
        <v>0.9</v>
      </c>
      <c r="E13" s="7">
        <f t="shared" si="2"/>
        <v>1290416.6667299999</v>
      </c>
      <c r="F13" s="7">
        <f t="shared" si="3"/>
        <v>611250.00003</v>
      </c>
      <c r="G13" s="4">
        <f t="shared" si="4"/>
        <v>0.47368421052631582</v>
      </c>
      <c r="I13" s="7">
        <f t="shared" si="0"/>
        <v>3686.9047620857141</v>
      </c>
      <c r="J13" s="7">
        <f t="shared" si="5"/>
        <v>1049908.3334599999</v>
      </c>
      <c r="K13" s="7">
        <f t="shared" si="6"/>
        <v>2999.7380955999997</v>
      </c>
    </row>
    <row r="14" spans="1:29" x14ac:dyDescent="0.25">
      <c r="A14">
        <v>400</v>
      </c>
      <c r="B14" s="6">
        <f t="shared" si="1"/>
        <v>758333.33330000006</v>
      </c>
      <c r="D14" s="4">
        <v>0.9</v>
      </c>
      <c r="E14" s="7">
        <f t="shared" si="2"/>
        <v>1440833.3332700001</v>
      </c>
      <c r="F14" s="7">
        <f t="shared" si="3"/>
        <v>682499.99997</v>
      </c>
      <c r="G14" s="4">
        <f t="shared" si="4"/>
        <v>0.47368421052631576</v>
      </c>
      <c r="I14" s="7">
        <f t="shared" si="0"/>
        <v>3602.083333175</v>
      </c>
      <c r="J14" s="7">
        <f t="shared" si="5"/>
        <v>1200325</v>
      </c>
      <c r="K14" s="7">
        <f t="shared" si="6"/>
        <v>3000.8125</v>
      </c>
    </row>
    <row r="15" spans="1:29" x14ac:dyDescent="0.25">
      <c r="A15">
        <v>450</v>
      </c>
      <c r="B15" s="6">
        <f t="shared" si="1"/>
        <v>837500</v>
      </c>
      <c r="D15" s="4">
        <v>0.9</v>
      </c>
      <c r="E15" s="7">
        <f t="shared" si="2"/>
        <v>1591250</v>
      </c>
      <c r="F15" s="7">
        <f t="shared" si="3"/>
        <v>753750</v>
      </c>
      <c r="G15" s="4">
        <f t="shared" si="4"/>
        <v>0.47368421052631576</v>
      </c>
      <c r="I15" s="7">
        <f t="shared" si="0"/>
        <v>3536.1111111111113</v>
      </c>
      <c r="J15" s="7">
        <f t="shared" si="5"/>
        <v>1350741.6667299999</v>
      </c>
      <c r="K15" s="7">
        <f t="shared" si="6"/>
        <v>3001.6481482888889</v>
      </c>
    </row>
    <row r="16" spans="1:29" x14ac:dyDescent="0.25">
      <c r="A16">
        <v>500</v>
      </c>
      <c r="B16" s="6">
        <f t="shared" si="1"/>
        <v>916666.66669999994</v>
      </c>
      <c r="D16" s="4">
        <v>0.9</v>
      </c>
      <c r="E16" s="7">
        <f t="shared" si="2"/>
        <v>1741666.6667299997</v>
      </c>
      <c r="F16" s="7">
        <f t="shared" si="3"/>
        <v>825000.00002999976</v>
      </c>
      <c r="G16" s="4">
        <f t="shared" si="4"/>
        <v>0.47368421052631571</v>
      </c>
      <c r="I16" s="7">
        <f t="shared" si="0"/>
        <v>3483.3333334599993</v>
      </c>
      <c r="J16" s="7">
        <f t="shared" si="5"/>
        <v>1501158.3334599996</v>
      </c>
      <c r="K16" s="7">
        <f t="shared" si="6"/>
        <v>3002.3166669199991</v>
      </c>
    </row>
    <row r="17" spans="1:11" x14ac:dyDescent="0.25">
      <c r="A17">
        <v>600</v>
      </c>
      <c r="B17" s="6">
        <f t="shared" si="1"/>
        <v>1075000</v>
      </c>
      <c r="D17" s="4">
        <v>0.9</v>
      </c>
      <c r="E17" s="7">
        <f t="shared" si="2"/>
        <v>2042500</v>
      </c>
      <c r="F17" s="7">
        <f t="shared" si="3"/>
        <v>967500</v>
      </c>
      <c r="G17" s="4">
        <f t="shared" si="4"/>
        <v>0.47368421052631576</v>
      </c>
      <c r="I17" s="7">
        <f t="shared" si="0"/>
        <v>3404.1666666666665</v>
      </c>
      <c r="J17" s="7">
        <f t="shared" si="5"/>
        <v>1801991.6667299999</v>
      </c>
      <c r="K17" s="7">
        <f t="shared" si="6"/>
        <v>3003.3194445499998</v>
      </c>
    </row>
    <row r="18" spans="1:11" x14ac:dyDescent="0.25">
      <c r="A18">
        <v>700</v>
      </c>
      <c r="B18" s="6">
        <f t="shared" si="1"/>
        <v>1233333.3333000001</v>
      </c>
      <c r="D18" s="4">
        <v>0.9</v>
      </c>
      <c r="E18" s="7">
        <f t="shared" si="2"/>
        <v>2343333.3332699998</v>
      </c>
      <c r="F18" s="7">
        <f t="shared" si="3"/>
        <v>1109999.9999699998</v>
      </c>
      <c r="G18" s="4">
        <f t="shared" si="4"/>
        <v>0.47368421052631571</v>
      </c>
      <c r="I18" s="7">
        <f t="shared" si="0"/>
        <v>3347.6190475285712</v>
      </c>
      <c r="J18" s="7">
        <f t="shared" si="5"/>
        <v>2102825</v>
      </c>
      <c r="K18" s="7">
        <f t="shared" si="6"/>
        <v>3004.0357142857142</v>
      </c>
    </row>
    <row r="19" spans="1:11" x14ac:dyDescent="0.25">
      <c r="A19">
        <v>800</v>
      </c>
      <c r="B19" s="6">
        <f t="shared" si="1"/>
        <v>1391666.6666999999</v>
      </c>
      <c r="D19" s="4">
        <v>0.9</v>
      </c>
      <c r="E19" s="7">
        <f t="shared" si="2"/>
        <v>2644166.6667299997</v>
      </c>
      <c r="F19" s="7">
        <f t="shared" si="3"/>
        <v>1252500.0000299998</v>
      </c>
      <c r="G19" s="4">
        <f t="shared" si="4"/>
        <v>0.47368421052631576</v>
      </c>
      <c r="I19" s="7">
        <f t="shared" si="0"/>
        <v>3305.2083334124995</v>
      </c>
      <c r="J19" s="7">
        <f t="shared" si="5"/>
        <v>2403658.3334599999</v>
      </c>
      <c r="K19" s="7">
        <f t="shared" si="6"/>
        <v>3004.572916825</v>
      </c>
    </row>
    <row r="20" spans="1:11" x14ac:dyDescent="0.25">
      <c r="A20">
        <v>900</v>
      </c>
      <c r="B20" s="6">
        <f t="shared" si="1"/>
        <v>1550000</v>
      </c>
      <c r="D20" s="4">
        <v>0.9</v>
      </c>
      <c r="E20" s="7">
        <f t="shared" si="2"/>
        <v>2945000</v>
      </c>
      <c r="F20" s="7">
        <f t="shared" si="3"/>
        <v>1395000</v>
      </c>
      <c r="G20" s="4">
        <f t="shared" si="4"/>
        <v>0.47368421052631576</v>
      </c>
      <c r="I20" s="7">
        <f t="shared" si="0"/>
        <v>3272.2222222222222</v>
      </c>
      <c r="J20" s="7">
        <f t="shared" si="5"/>
        <v>2704491.6667300002</v>
      </c>
      <c r="K20" s="7">
        <f t="shared" si="6"/>
        <v>3004.9907408111112</v>
      </c>
    </row>
    <row r="21" spans="1:11" x14ac:dyDescent="0.25">
      <c r="A21">
        <v>1000</v>
      </c>
      <c r="B21" s="6">
        <f t="shared" si="1"/>
        <v>1708333.3333000001</v>
      </c>
      <c r="D21" s="4">
        <v>0.9</v>
      </c>
      <c r="E21" s="7">
        <f t="shared" si="2"/>
        <v>3245833.3332699998</v>
      </c>
      <c r="F21" s="7">
        <f t="shared" si="3"/>
        <v>1537499.9999699998</v>
      </c>
      <c r="G21" s="4">
        <f t="shared" si="4"/>
        <v>0.47368421052631576</v>
      </c>
      <c r="I21" s="7">
        <f t="shared" si="0"/>
        <v>3245.8333332699999</v>
      </c>
      <c r="J21" s="7">
        <f t="shared" si="5"/>
        <v>3005325</v>
      </c>
      <c r="K21" s="7">
        <f t="shared" si="6"/>
        <v>3005.3249999999998</v>
      </c>
    </row>
    <row r="22" spans="1:11" x14ac:dyDescent="0.25">
      <c r="A22">
        <v>1200</v>
      </c>
      <c r="B22" s="6">
        <f t="shared" si="1"/>
        <v>2025000</v>
      </c>
      <c r="D22" s="4">
        <v>0.9</v>
      </c>
      <c r="E22" s="7">
        <f t="shared" si="2"/>
        <v>3847500</v>
      </c>
      <c r="F22" s="7">
        <f t="shared" si="3"/>
        <v>1822500</v>
      </c>
      <c r="G22" s="4">
        <f t="shared" si="4"/>
        <v>0.47368421052631576</v>
      </c>
      <c r="I22" s="7">
        <f t="shared" si="0"/>
        <v>3206.25</v>
      </c>
      <c r="J22" s="7"/>
    </row>
    <row r="23" spans="1:11" x14ac:dyDescent="0.25">
      <c r="A23">
        <v>1400</v>
      </c>
      <c r="B23" s="6">
        <f t="shared" si="1"/>
        <v>2341666.6666999999</v>
      </c>
      <c r="D23" s="4">
        <v>0.9</v>
      </c>
      <c r="E23" s="7">
        <f t="shared" si="2"/>
        <v>4449166.6667299997</v>
      </c>
      <c r="F23" s="7">
        <f t="shared" si="3"/>
        <v>2107500.0000299998</v>
      </c>
      <c r="G23" s="4">
        <f t="shared" si="4"/>
        <v>0.47368421052631576</v>
      </c>
      <c r="I23" s="7">
        <f t="shared" si="0"/>
        <v>3177.9761905214282</v>
      </c>
      <c r="J23" s="7"/>
    </row>
    <row r="24" spans="1:11" x14ac:dyDescent="0.25">
      <c r="A24">
        <v>1500</v>
      </c>
      <c r="B24" s="6">
        <f t="shared" si="1"/>
        <v>2500000</v>
      </c>
      <c r="D24" s="4">
        <v>0.9</v>
      </c>
      <c r="E24" s="7">
        <f t="shared" si="2"/>
        <v>4750000</v>
      </c>
      <c r="F24" s="7">
        <f t="shared" si="3"/>
        <v>2250000</v>
      </c>
      <c r="G24" s="4">
        <f t="shared" si="4"/>
        <v>0.47368421052631576</v>
      </c>
      <c r="I24" s="7">
        <f t="shared" si="0"/>
        <v>3166.6666666666665</v>
      </c>
      <c r="J24" s="7"/>
    </row>
    <row r="25" spans="1:11" x14ac:dyDescent="0.25">
      <c r="A25">
        <v>2000</v>
      </c>
      <c r="B25" s="6">
        <f t="shared" si="1"/>
        <v>3291666.6666999999</v>
      </c>
      <c r="D25" s="4">
        <v>0.9</v>
      </c>
      <c r="E25" s="7">
        <f t="shared" si="2"/>
        <v>6254166.6667299997</v>
      </c>
      <c r="F25" s="7">
        <f t="shared" si="3"/>
        <v>2962500.0000299998</v>
      </c>
      <c r="G25" s="4">
        <f t="shared" si="4"/>
        <v>0.47368421052631576</v>
      </c>
      <c r="I25" s="7">
        <f t="shared" si="0"/>
        <v>3127.0833333649998</v>
      </c>
      <c r="J25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48F46-2D67-44E3-8452-D31EBDF9BFDF}">
  <sheetPr codeName="Trang_tính4"/>
  <dimension ref="A1:AC25"/>
  <sheetViews>
    <sheetView workbookViewId="0">
      <selection activeCell="B7" sqref="B7"/>
    </sheetView>
  </sheetViews>
  <sheetFormatPr defaultRowHeight="15" x14ac:dyDescent="0.25"/>
  <cols>
    <col min="2" max="2" width="13.28515625" bestFit="1" customWidth="1"/>
    <col min="5" max="6" width="13.28515625" bestFit="1" customWidth="1"/>
    <col min="7" max="7" width="8.42578125" bestFit="1" customWidth="1"/>
    <col min="9" max="9" width="13.28515625" bestFit="1" customWidth="1"/>
    <col min="27" max="27" width="17.140625" customWidth="1"/>
  </cols>
  <sheetData>
    <row r="1" spans="1:29" x14ac:dyDescent="0.25">
      <c r="A1" s="1" t="s">
        <v>49</v>
      </c>
    </row>
    <row r="3" spans="1:29" x14ac:dyDescent="0.25">
      <c r="A3" t="s">
        <v>40</v>
      </c>
      <c r="B3">
        <f xml:space="preserve"> 0.32*0.25</f>
        <v>0.08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53</v>
      </c>
    </row>
    <row r="5" spans="1:29" ht="45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16</v>
      </c>
      <c r="J5" s="2" t="s">
        <v>41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PhiMayCanGap(A6)</f>
        <v>82583.333299999998</v>
      </c>
      <c r="D6" s="4">
        <v>0.9</v>
      </c>
      <c r="E6" s="7">
        <f>B6*(1+D6)</f>
        <v>156908.33327</v>
      </c>
      <c r="F6" s="7">
        <f>E6-B6</f>
        <v>74324.999970000004</v>
      </c>
      <c r="G6" s="4">
        <f>F6/E6</f>
        <v>0.47368421052631582</v>
      </c>
      <c r="I6" s="7">
        <f t="shared" ref="I6:I25" si="0">E6/A6</f>
        <v>156908.33327</v>
      </c>
      <c r="J6" s="7"/>
      <c r="AA6" t="s">
        <v>54</v>
      </c>
      <c r="AB6" s="5">
        <v>200000</v>
      </c>
    </row>
    <row r="7" spans="1:29" x14ac:dyDescent="0.25">
      <c r="A7">
        <v>50</v>
      </c>
      <c r="B7" s="6">
        <f t="shared" ref="B7:B25" si="1">PhiMayCanGap(A7)</f>
        <v>86666.666700000002</v>
      </c>
      <c r="D7" s="4">
        <v>0.9</v>
      </c>
      <c r="E7" s="7">
        <f t="shared" ref="E7:E25" si="2">B7*(1+D7)</f>
        <v>164666.66673</v>
      </c>
      <c r="F7" s="7">
        <f t="shared" ref="F7:F25" si="3">E7-B7</f>
        <v>78000.000029999996</v>
      </c>
      <c r="G7" s="4">
        <f t="shared" ref="G7:G25" si="4">F7/E7</f>
        <v>0.47368421052631576</v>
      </c>
      <c r="I7" s="7">
        <f t="shared" si="0"/>
        <v>3293.3333345999999</v>
      </c>
      <c r="J7" s="7"/>
      <c r="AA7" t="s">
        <v>55</v>
      </c>
      <c r="AB7" s="5">
        <v>500</v>
      </c>
      <c r="AC7" t="s">
        <v>50</v>
      </c>
    </row>
    <row r="8" spans="1:29" x14ac:dyDescent="0.25">
      <c r="A8">
        <v>100</v>
      </c>
      <c r="B8" s="6">
        <f t="shared" si="1"/>
        <v>90833.333299999998</v>
      </c>
      <c r="D8" s="4">
        <v>0.9</v>
      </c>
      <c r="E8" s="7">
        <f t="shared" si="2"/>
        <v>172583.33327</v>
      </c>
      <c r="F8" s="7">
        <f t="shared" si="3"/>
        <v>81749.999970000004</v>
      </c>
      <c r="G8" s="4">
        <f t="shared" si="4"/>
        <v>0.47368421052631582</v>
      </c>
      <c r="I8" s="7">
        <f t="shared" si="0"/>
        <v>1725.8333327</v>
      </c>
      <c r="J8" s="7"/>
      <c r="AA8" t="s">
        <v>51</v>
      </c>
      <c r="AB8" s="5">
        <v>20000</v>
      </c>
      <c r="AC8" t="s">
        <v>52</v>
      </c>
    </row>
    <row r="9" spans="1:29" x14ac:dyDescent="0.25">
      <c r="A9">
        <v>150</v>
      </c>
      <c r="B9" s="6">
        <f t="shared" si="1"/>
        <v>95000</v>
      </c>
      <c r="D9" s="4">
        <v>0.9</v>
      </c>
      <c r="E9" s="7">
        <f t="shared" si="2"/>
        <v>180500</v>
      </c>
      <c r="F9" s="7">
        <f t="shared" si="3"/>
        <v>85500</v>
      </c>
      <c r="G9" s="4">
        <f t="shared" si="4"/>
        <v>0.47368421052631576</v>
      </c>
      <c r="I9" s="7">
        <f t="shared" si="0"/>
        <v>1203.3333333333333</v>
      </c>
      <c r="J9" s="7"/>
    </row>
    <row r="10" spans="1:29" x14ac:dyDescent="0.25">
      <c r="A10">
        <v>200</v>
      </c>
      <c r="B10" s="6">
        <f t="shared" si="1"/>
        <v>99166.666700000002</v>
      </c>
      <c r="D10" s="4">
        <v>0.9</v>
      </c>
      <c r="E10" s="7">
        <f t="shared" si="2"/>
        <v>188416.66673</v>
      </c>
      <c r="F10" s="7">
        <f t="shared" si="3"/>
        <v>89250.000029999996</v>
      </c>
      <c r="G10" s="4">
        <f t="shared" si="4"/>
        <v>0.47368421052631576</v>
      </c>
      <c r="I10" s="7">
        <f t="shared" si="0"/>
        <v>942.08333364999999</v>
      </c>
      <c r="J10" s="7"/>
    </row>
    <row r="11" spans="1:29" x14ac:dyDescent="0.25">
      <c r="A11">
        <v>250</v>
      </c>
      <c r="B11" s="6">
        <f t="shared" si="1"/>
        <v>103333.3333</v>
      </c>
      <c r="D11" s="4">
        <v>0.9</v>
      </c>
      <c r="E11" s="7">
        <f t="shared" si="2"/>
        <v>196333.33326999997</v>
      </c>
      <c r="F11" s="7">
        <f t="shared" si="3"/>
        <v>92999.999969999975</v>
      </c>
      <c r="G11" s="4">
        <f t="shared" si="4"/>
        <v>0.47368421052631571</v>
      </c>
      <c r="I11" s="7">
        <f t="shared" si="0"/>
        <v>785.33333307999987</v>
      </c>
      <c r="J11" s="7"/>
    </row>
    <row r="12" spans="1:29" x14ac:dyDescent="0.25">
      <c r="A12">
        <v>300</v>
      </c>
      <c r="B12" s="6">
        <f t="shared" si="1"/>
        <v>107500</v>
      </c>
      <c r="D12" s="4">
        <v>0.9</v>
      </c>
      <c r="E12" s="7">
        <f t="shared" si="2"/>
        <v>204250</v>
      </c>
      <c r="F12" s="7">
        <f t="shared" si="3"/>
        <v>96750</v>
      </c>
      <c r="G12" s="4">
        <f t="shared" si="4"/>
        <v>0.47368421052631576</v>
      </c>
      <c r="I12" s="7">
        <f t="shared" si="0"/>
        <v>680.83333333333337</v>
      </c>
      <c r="J12" s="7"/>
    </row>
    <row r="13" spans="1:29" x14ac:dyDescent="0.25">
      <c r="A13">
        <v>350</v>
      </c>
      <c r="B13" s="6">
        <f t="shared" si="1"/>
        <v>111666.6667</v>
      </c>
      <c r="D13" s="4">
        <v>0.9</v>
      </c>
      <c r="E13" s="7">
        <f t="shared" si="2"/>
        <v>212166.66673</v>
      </c>
      <c r="F13" s="7">
        <f t="shared" si="3"/>
        <v>100500.00003</v>
      </c>
      <c r="G13" s="4">
        <f t="shared" si="4"/>
        <v>0.47368421052631576</v>
      </c>
      <c r="I13" s="7">
        <f t="shared" si="0"/>
        <v>606.19047637142853</v>
      </c>
      <c r="J13" s="7"/>
    </row>
    <row r="14" spans="1:29" x14ac:dyDescent="0.25">
      <c r="A14">
        <v>400</v>
      </c>
      <c r="B14" s="6">
        <f t="shared" si="1"/>
        <v>115833.3333</v>
      </c>
      <c r="D14" s="4">
        <v>0.9</v>
      </c>
      <c r="E14" s="7">
        <f t="shared" si="2"/>
        <v>220083.33326999997</v>
      </c>
      <c r="F14" s="7">
        <f t="shared" si="3"/>
        <v>104249.99996999998</v>
      </c>
      <c r="G14" s="4">
        <f t="shared" si="4"/>
        <v>0.47368421052631571</v>
      </c>
      <c r="I14" s="7">
        <f t="shared" si="0"/>
        <v>550.20833317499989</v>
      </c>
      <c r="J14" s="7"/>
    </row>
    <row r="15" spans="1:29" x14ac:dyDescent="0.25">
      <c r="A15">
        <v>450</v>
      </c>
      <c r="B15" s="6">
        <f t="shared" si="1"/>
        <v>120000</v>
      </c>
      <c r="D15" s="4">
        <v>0.9</v>
      </c>
      <c r="E15" s="7">
        <f t="shared" si="2"/>
        <v>228000</v>
      </c>
      <c r="F15" s="7">
        <f t="shared" si="3"/>
        <v>108000</v>
      </c>
      <c r="G15" s="4">
        <f t="shared" si="4"/>
        <v>0.47368421052631576</v>
      </c>
      <c r="I15" s="7">
        <f t="shared" si="0"/>
        <v>506.66666666666669</v>
      </c>
      <c r="J15" s="7"/>
    </row>
    <row r="16" spans="1:29" x14ac:dyDescent="0.25">
      <c r="A16">
        <v>500</v>
      </c>
      <c r="B16" s="6">
        <f t="shared" si="1"/>
        <v>124166.6667</v>
      </c>
      <c r="D16" s="4">
        <v>0.9</v>
      </c>
      <c r="E16" s="7">
        <f t="shared" si="2"/>
        <v>235916.66673</v>
      </c>
      <c r="F16" s="7">
        <f t="shared" si="3"/>
        <v>111750.00003</v>
      </c>
      <c r="G16" s="4">
        <f t="shared" si="4"/>
        <v>0.47368421052631576</v>
      </c>
      <c r="I16" s="7">
        <f t="shared" si="0"/>
        <v>471.83333346000001</v>
      </c>
      <c r="J16" s="7"/>
    </row>
    <row r="17" spans="1:10" x14ac:dyDescent="0.25">
      <c r="A17">
        <v>600</v>
      </c>
      <c r="B17" s="6">
        <f t="shared" si="1"/>
        <v>132500</v>
      </c>
      <c r="D17" s="4">
        <v>0.9</v>
      </c>
      <c r="E17" s="7">
        <f t="shared" si="2"/>
        <v>251750</v>
      </c>
      <c r="F17" s="7">
        <f t="shared" si="3"/>
        <v>119250</v>
      </c>
      <c r="G17" s="4">
        <f t="shared" si="4"/>
        <v>0.47368421052631576</v>
      </c>
      <c r="I17" s="7">
        <f t="shared" si="0"/>
        <v>419.58333333333331</v>
      </c>
      <c r="J17" s="7"/>
    </row>
    <row r="18" spans="1:10" x14ac:dyDescent="0.25">
      <c r="A18">
        <v>700</v>
      </c>
      <c r="B18" s="6">
        <f t="shared" si="1"/>
        <v>140833.3333</v>
      </c>
      <c r="D18" s="4">
        <v>0.9</v>
      </c>
      <c r="E18" s="7">
        <f t="shared" si="2"/>
        <v>267583.33327</v>
      </c>
      <c r="F18" s="7">
        <f t="shared" si="3"/>
        <v>126749.99997</v>
      </c>
      <c r="G18" s="4">
        <f t="shared" si="4"/>
        <v>0.47368421052631582</v>
      </c>
      <c r="I18" s="7">
        <f t="shared" si="0"/>
        <v>382.26190467142857</v>
      </c>
      <c r="J18" s="7"/>
    </row>
    <row r="19" spans="1:10" x14ac:dyDescent="0.25">
      <c r="A19">
        <v>800</v>
      </c>
      <c r="B19" s="6">
        <f t="shared" si="1"/>
        <v>149166.6667</v>
      </c>
      <c r="D19" s="4">
        <v>0.9</v>
      </c>
      <c r="E19" s="7">
        <f t="shared" si="2"/>
        <v>283416.66673</v>
      </c>
      <c r="F19" s="7">
        <f t="shared" si="3"/>
        <v>134250.00003</v>
      </c>
      <c r="G19" s="4">
        <f t="shared" si="4"/>
        <v>0.47368421052631576</v>
      </c>
      <c r="I19" s="7">
        <f t="shared" si="0"/>
        <v>354.2708334125</v>
      </c>
      <c r="J19" s="7"/>
    </row>
    <row r="20" spans="1:10" x14ac:dyDescent="0.25">
      <c r="A20">
        <v>900</v>
      </c>
      <c r="B20" s="6">
        <f t="shared" si="1"/>
        <v>157500</v>
      </c>
      <c r="D20" s="4">
        <v>0.9</v>
      </c>
      <c r="E20" s="7">
        <f t="shared" si="2"/>
        <v>299250</v>
      </c>
      <c r="F20" s="7">
        <f t="shared" si="3"/>
        <v>141750</v>
      </c>
      <c r="G20" s="4">
        <f t="shared" si="4"/>
        <v>0.47368421052631576</v>
      </c>
      <c r="I20" s="7">
        <f t="shared" si="0"/>
        <v>332.5</v>
      </c>
      <c r="J20" s="7"/>
    </row>
    <row r="21" spans="1:10" x14ac:dyDescent="0.25">
      <c r="A21">
        <v>1000</v>
      </c>
      <c r="B21" s="6">
        <f t="shared" si="1"/>
        <v>165833.3333</v>
      </c>
      <c r="D21" s="4">
        <v>0.9</v>
      </c>
      <c r="E21" s="7">
        <f t="shared" si="2"/>
        <v>315083.33327</v>
      </c>
      <c r="F21" s="7">
        <f t="shared" si="3"/>
        <v>149249.99997</v>
      </c>
      <c r="G21" s="4">
        <f t="shared" si="4"/>
        <v>0.47368421052631582</v>
      </c>
      <c r="I21" s="7">
        <f t="shared" si="0"/>
        <v>315.08333327000003</v>
      </c>
      <c r="J21" s="7"/>
    </row>
    <row r="22" spans="1:10" x14ac:dyDescent="0.25">
      <c r="A22">
        <v>1200</v>
      </c>
      <c r="B22" s="6">
        <f t="shared" si="1"/>
        <v>182500</v>
      </c>
      <c r="D22" s="4">
        <v>0.9</v>
      </c>
      <c r="E22" s="7">
        <f t="shared" si="2"/>
        <v>346750</v>
      </c>
      <c r="F22" s="7">
        <f t="shared" si="3"/>
        <v>164250</v>
      </c>
      <c r="G22" s="4">
        <f t="shared" si="4"/>
        <v>0.47368421052631576</v>
      </c>
      <c r="I22" s="7">
        <f t="shared" si="0"/>
        <v>288.95833333333331</v>
      </c>
      <c r="J22" s="7"/>
    </row>
    <row r="23" spans="1:10" x14ac:dyDescent="0.25">
      <c r="A23">
        <v>1400</v>
      </c>
      <c r="B23" s="6">
        <f t="shared" si="1"/>
        <v>199166.6667</v>
      </c>
      <c r="D23" s="4">
        <v>0.9</v>
      </c>
      <c r="E23" s="7">
        <f t="shared" si="2"/>
        <v>378416.66673</v>
      </c>
      <c r="F23" s="7">
        <f t="shared" si="3"/>
        <v>179250.00003</v>
      </c>
      <c r="G23" s="4">
        <f t="shared" si="4"/>
        <v>0.47368421052631576</v>
      </c>
      <c r="I23" s="7">
        <f t="shared" si="0"/>
        <v>270.29761909285713</v>
      </c>
      <c r="J23" s="7"/>
    </row>
    <row r="24" spans="1:10" x14ac:dyDescent="0.25">
      <c r="A24">
        <v>1500</v>
      </c>
      <c r="B24" s="6">
        <f t="shared" si="1"/>
        <v>207500</v>
      </c>
      <c r="D24" s="4">
        <v>0.9</v>
      </c>
      <c r="E24" s="7">
        <f t="shared" si="2"/>
        <v>394250</v>
      </c>
      <c r="F24" s="7">
        <f t="shared" si="3"/>
        <v>186750</v>
      </c>
      <c r="G24" s="4">
        <f t="shared" si="4"/>
        <v>0.47368421052631576</v>
      </c>
      <c r="I24" s="7">
        <f t="shared" si="0"/>
        <v>262.83333333333331</v>
      </c>
      <c r="J24" s="7"/>
    </row>
    <row r="25" spans="1:10" x14ac:dyDescent="0.25">
      <c r="A25">
        <v>2000</v>
      </c>
      <c r="B25" s="6">
        <f t="shared" si="1"/>
        <v>249166.6667</v>
      </c>
      <c r="D25" s="4">
        <v>0.9</v>
      </c>
      <c r="E25" s="7">
        <f t="shared" si="2"/>
        <v>473416.66673</v>
      </c>
      <c r="F25" s="7">
        <f t="shared" si="3"/>
        <v>224250.00003</v>
      </c>
      <c r="G25" s="4">
        <f t="shared" si="4"/>
        <v>0.47368421052631576</v>
      </c>
      <c r="I25" s="7">
        <f t="shared" si="0"/>
        <v>236.70833336499999</v>
      </c>
      <c r="J25" s="7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A115B-52C3-4174-A20A-B86A36362EF6}">
  <sheetPr codeName="Trang_tính8"/>
  <dimension ref="A1:AC36"/>
  <sheetViews>
    <sheetView workbookViewId="0">
      <selection activeCell="J4" sqref="J4:K20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10" width="14.85546875" bestFit="1" customWidth="1"/>
    <col min="11" max="11" width="11.140625" bestFit="1" customWidth="1"/>
    <col min="13" max="19" width="0" hidden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A2" t="s">
        <v>86</v>
      </c>
      <c r="AA2" s="1" t="s">
        <v>88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60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 t="s">
        <v>90</v>
      </c>
      <c r="K4" s="2" t="s">
        <v>91</v>
      </c>
      <c r="L4" s="2"/>
      <c r="M4" s="2"/>
      <c r="AA4" t="s">
        <v>81</v>
      </c>
      <c r="AB4">
        <v>990000</v>
      </c>
    </row>
    <row r="5" spans="1:29" x14ac:dyDescent="0.25">
      <c r="A5">
        <v>1</v>
      </c>
      <c r="B5" s="6">
        <f>PhiUVDinhVi(A5)</f>
        <v>1123747.6191</v>
      </c>
      <c r="D5" s="4">
        <v>0.4</v>
      </c>
      <c r="E5" s="7">
        <f>B5*(1+D5)</f>
        <v>1573246.66674</v>
      </c>
      <c r="F5" s="7">
        <f>E5-B5</f>
        <v>449499.04764</v>
      </c>
      <c r="G5" s="4">
        <f>F5/E5</f>
        <v>0.2857142857142857</v>
      </c>
      <c r="I5" s="7">
        <f>E5/A5</f>
        <v>1573246.66674</v>
      </c>
      <c r="AA5" t="s">
        <v>92</v>
      </c>
      <c r="AB5">
        <v>0</v>
      </c>
      <c r="AC5" t="s">
        <v>89</v>
      </c>
    </row>
    <row r="6" spans="1:29" x14ac:dyDescent="0.25">
      <c r="A6">
        <v>50</v>
      </c>
      <c r="B6" s="6">
        <f t="shared" ref="B6:B20" si="0">PhiUVDinhVi(A6)</f>
        <v>1144047.6191</v>
      </c>
      <c r="D6" s="4">
        <v>0.5</v>
      </c>
      <c r="E6" s="7">
        <f>B6*(1+D6)</f>
        <v>1716071.4286500001</v>
      </c>
      <c r="F6" s="7">
        <f t="shared" ref="F6:F20" si="1">E6-B6</f>
        <v>572023.80955000012</v>
      </c>
      <c r="G6" s="4">
        <f t="shared" ref="G6:G20" si="2">F6/E6</f>
        <v>0.33333333333333337</v>
      </c>
      <c r="I6" s="7">
        <f t="shared" ref="I6:I20" si="3">E6/A6</f>
        <v>34321.428573000005</v>
      </c>
      <c r="J6" s="7">
        <f>(E6-$E$5)</f>
        <v>142824.76191000012</v>
      </c>
      <c r="K6" s="7">
        <f>J6/A6</f>
        <v>2856.4952382000024</v>
      </c>
      <c r="AA6" t="s">
        <v>68</v>
      </c>
      <c r="AB6" s="5">
        <v>2000</v>
      </c>
      <c r="AC6" t="s">
        <v>89</v>
      </c>
    </row>
    <row r="7" spans="1:29" x14ac:dyDescent="0.25">
      <c r="A7">
        <v>100</v>
      </c>
      <c r="B7" s="6">
        <f t="shared" si="0"/>
        <v>1164761.9047999999</v>
      </c>
      <c r="D7" s="4">
        <v>0.5</v>
      </c>
      <c r="E7" s="7">
        <f t="shared" ref="E7:E20" si="4">B7*(1+D7)</f>
        <v>1747142.8572</v>
      </c>
      <c r="F7" s="7">
        <f t="shared" si="1"/>
        <v>582380.95240000007</v>
      </c>
      <c r="G7" s="4">
        <f t="shared" si="2"/>
        <v>0.33333333333333337</v>
      </c>
      <c r="I7" s="7">
        <f t="shared" si="3"/>
        <v>17471.428572000001</v>
      </c>
      <c r="J7" s="7">
        <f t="shared" ref="J7:J20" si="5">(E7-$E$5)</f>
        <v>173896.19045999995</v>
      </c>
      <c r="K7" s="7">
        <f t="shared" ref="K7:K20" si="6">J7/A7</f>
        <v>1738.9619045999996</v>
      </c>
      <c r="AA7" t="s">
        <v>69</v>
      </c>
      <c r="AB7" s="5">
        <v>1500</v>
      </c>
      <c r="AC7" t="s">
        <v>89</v>
      </c>
    </row>
    <row r="8" spans="1:29" x14ac:dyDescent="0.25">
      <c r="A8">
        <v>150</v>
      </c>
      <c r="B8" s="6">
        <f t="shared" si="0"/>
        <v>1185476.1905</v>
      </c>
      <c r="D8" s="4">
        <v>0.5</v>
      </c>
      <c r="E8" s="7">
        <f t="shared" si="4"/>
        <v>1778214.28575</v>
      </c>
      <c r="F8" s="7">
        <f t="shared" si="1"/>
        <v>592738.09525000001</v>
      </c>
      <c r="G8" s="4">
        <f t="shared" si="2"/>
        <v>0.33333333333333331</v>
      </c>
      <c r="I8" s="7">
        <f t="shared" si="3"/>
        <v>11854.761904999999</v>
      </c>
      <c r="J8" s="7">
        <f t="shared" si="5"/>
        <v>204967.61901000002</v>
      </c>
      <c r="K8" s="7">
        <f t="shared" si="6"/>
        <v>1366.4507934000001</v>
      </c>
      <c r="AA8" t="s">
        <v>70</v>
      </c>
      <c r="AB8" s="5">
        <v>1200</v>
      </c>
      <c r="AC8" t="s">
        <v>89</v>
      </c>
    </row>
    <row r="9" spans="1:29" x14ac:dyDescent="0.25">
      <c r="A9">
        <v>200</v>
      </c>
      <c r="B9" s="6">
        <f t="shared" si="0"/>
        <v>1206190.4763</v>
      </c>
      <c r="D9" s="4">
        <v>0.5</v>
      </c>
      <c r="E9" s="7">
        <f t="shared" si="4"/>
        <v>1809285.7144499999</v>
      </c>
      <c r="F9" s="7">
        <f t="shared" si="1"/>
        <v>603095.23814999987</v>
      </c>
      <c r="G9" s="4">
        <f t="shared" si="2"/>
        <v>0.33333333333333331</v>
      </c>
      <c r="I9" s="7">
        <f t="shared" si="3"/>
        <v>9046.428572249999</v>
      </c>
      <c r="J9" s="7">
        <f t="shared" si="5"/>
        <v>236039.04770999984</v>
      </c>
      <c r="K9" s="7">
        <f t="shared" si="6"/>
        <v>1180.1952385499992</v>
      </c>
      <c r="AA9" t="s">
        <v>93</v>
      </c>
      <c r="AB9" s="5">
        <v>1000</v>
      </c>
      <c r="AC9" t="s">
        <v>89</v>
      </c>
    </row>
    <row r="10" spans="1:29" x14ac:dyDescent="0.25">
      <c r="A10">
        <v>250</v>
      </c>
      <c r="B10" s="6">
        <f t="shared" si="0"/>
        <v>1226904.7620000001</v>
      </c>
      <c r="D10" s="4">
        <v>0.5</v>
      </c>
      <c r="E10" s="7">
        <f t="shared" si="4"/>
        <v>1840357.1430000002</v>
      </c>
      <c r="F10" s="7">
        <f t="shared" si="1"/>
        <v>613452.38100000005</v>
      </c>
      <c r="G10" s="4">
        <f t="shared" si="2"/>
        <v>0.33333333333333331</v>
      </c>
      <c r="I10" s="7">
        <f t="shared" si="3"/>
        <v>7361.4285720000007</v>
      </c>
      <c r="J10" s="7">
        <f t="shared" si="5"/>
        <v>267110.47626000014</v>
      </c>
      <c r="K10" s="7">
        <f t="shared" si="6"/>
        <v>1068.4419050400006</v>
      </c>
    </row>
    <row r="11" spans="1:29" x14ac:dyDescent="0.25">
      <c r="A11">
        <v>300</v>
      </c>
      <c r="B11" s="6">
        <f t="shared" si="0"/>
        <v>1247619.0477</v>
      </c>
      <c r="D11" s="4">
        <v>0.5</v>
      </c>
      <c r="E11" s="7">
        <f t="shared" si="4"/>
        <v>1871428.57155</v>
      </c>
      <c r="F11" s="7">
        <f t="shared" si="1"/>
        <v>623809.52385</v>
      </c>
      <c r="G11" s="4">
        <f t="shared" si="2"/>
        <v>0.33333333333333331</v>
      </c>
      <c r="I11" s="7">
        <f t="shared" si="3"/>
        <v>6238.0952385000001</v>
      </c>
      <c r="J11" s="7">
        <f t="shared" si="5"/>
        <v>298181.90480999998</v>
      </c>
      <c r="K11" s="7">
        <f t="shared" si="6"/>
        <v>993.93968269999993</v>
      </c>
    </row>
    <row r="12" spans="1:29" x14ac:dyDescent="0.25">
      <c r="A12">
        <v>350</v>
      </c>
      <c r="B12" s="6">
        <f t="shared" si="0"/>
        <v>1268333.3333999999</v>
      </c>
      <c r="D12" s="4">
        <v>0.5</v>
      </c>
      <c r="E12" s="7">
        <f t="shared" si="4"/>
        <v>1902500.0000999998</v>
      </c>
      <c r="F12" s="7">
        <f t="shared" si="1"/>
        <v>634166.66669999994</v>
      </c>
      <c r="G12" s="4">
        <f t="shared" si="2"/>
        <v>0.33333333333333331</v>
      </c>
      <c r="I12" s="7">
        <f t="shared" si="3"/>
        <v>5435.7142859999994</v>
      </c>
      <c r="J12" s="7">
        <f t="shared" si="5"/>
        <v>329253.33335999982</v>
      </c>
      <c r="K12" s="7">
        <f t="shared" si="6"/>
        <v>940.72380959999953</v>
      </c>
    </row>
    <row r="13" spans="1:29" x14ac:dyDescent="0.25">
      <c r="A13">
        <v>400</v>
      </c>
      <c r="B13" s="6">
        <f t="shared" si="0"/>
        <v>1289047.6191</v>
      </c>
      <c r="D13" s="4">
        <v>0.6</v>
      </c>
      <c r="E13" s="7">
        <f t="shared" si="4"/>
        <v>2062476.19056</v>
      </c>
      <c r="F13" s="7">
        <f t="shared" si="1"/>
        <v>773428.57146000001</v>
      </c>
      <c r="G13" s="4">
        <f t="shared" si="2"/>
        <v>0.375</v>
      </c>
      <c r="I13" s="7">
        <f t="shared" si="3"/>
        <v>5156.1904764000001</v>
      </c>
      <c r="J13" s="7">
        <f t="shared" si="5"/>
        <v>489229.52382</v>
      </c>
      <c r="K13" s="7">
        <f t="shared" si="6"/>
        <v>1223.0738095500001</v>
      </c>
    </row>
    <row r="14" spans="1:29" x14ac:dyDescent="0.25">
      <c r="A14">
        <v>450</v>
      </c>
      <c r="B14" s="6">
        <f t="shared" si="0"/>
        <v>1309761.9047999999</v>
      </c>
      <c r="D14" s="4">
        <v>0.6</v>
      </c>
      <c r="E14" s="7">
        <f t="shared" si="4"/>
        <v>2095619.0476799998</v>
      </c>
      <c r="F14" s="7">
        <f t="shared" si="1"/>
        <v>785857.14287999994</v>
      </c>
      <c r="G14" s="4">
        <f t="shared" si="2"/>
        <v>0.375</v>
      </c>
      <c r="I14" s="7">
        <f t="shared" si="3"/>
        <v>4656.9312170666662</v>
      </c>
      <c r="J14" s="7">
        <f t="shared" si="5"/>
        <v>522372.38093999983</v>
      </c>
      <c r="K14" s="7">
        <f t="shared" si="6"/>
        <v>1160.8275131999997</v>
      </c>
    </row>
    <row r="15" spans="1:29" x14ac:dyDescent="0.25">
      <c r="A15">
        <v>500</v>
      </c>
      <c r="B15" s="6">
        <f t="shared" si="0"/>
        <v>1330476.1905</v>
      </c>
      <c r="D15" s="4">
        <v>0.6</v>
      </c>
      <c r="E15" s="7">
        <f t="shared" si="4"/>
        <v>2128761.9048000001</v>
      </c>
      <c r="F15" s="7">
        <f t="shared" si="1"/>
        <v>798285.71430000011</v>
      </c>
      <c r="G15" s="4">
        <f t="shared" si="2"/>
        <v>0.375</v>
      </c>
      <c r="I15" s="7">
        <f t="shared" si="3"/>
        <v>4257.5238096000003</v>
      </c>
      <c r="J15" s="7">
        <f t="shared" si="5"/>
        <v>555515.23806000012</v>
      </c>
      <c r="K15" s="7">
        <f t="shared" si="6"/>
        <v>1111.0304761200002</v>
      </c>
    </row>
    <row r="16" spans="1:29" x14ac:dyDescent="0.25">
      <c r="A16">
        <v>600</v>
      </c>
      <c r="B16" s="6">
        <f t="shared" si="0"/>
        <v>1371904.7620000001</v>
      </c>
      <c r="D16" s="4">
        <v>0.6</v>
      </c>
      <c r="E16" s="7">
        <f t="shared" si="4"/>
        <v>2195047.6192000001</v>
      </c>
      <c r="F16" s="7">
        <f t="shared" si="1"/>
        <v>823142.85719999997</v>
      </c>
      <c r="G16" s="4">
        <f t="shared" si="2"/>
        <v>0.375</v>
      </c>
      <c r="I16" s="7">
        <f t="shared" si="3"/>
        <v>3658.412698666667</v>
      </c>
      <c r="J16" s="7">
        <f t="shared" si="5"/>
        <v>621800.95246000006</v>
      </c>
      <c r="K16" s="7">
        <f t="shared" si="6"/>
        <v>1036.3349207666668</v>
      </c>
    </row>
    <row r="17" spans="1:11" x14ac:dyDescent="0.25">
      <c r="A17">
        <v>700</v>
      </c>
      <c r="B17" s="6">
        <f t="shared" si="0"/>
        <v>1413333.3333999999</v>
      </c>
      <c r="D17" s="4">
        <v>0.6</v>
      </c>
      <c r="E17" s="7">
        <f t="shared" si="4"/>
        <v>2261333.3334399997</v>
      </c>
      <c r="F17" s="7">
        <f t="shared" si="1"/>
        <v>848000.00003999984</v>
      </c>
      <c r="G17" s="4">
        <f t="shared" si="2"/>
        <v>0.375</v>
      </c>
      <c r="I17" s="7">
        <f t="shared" si="3"/>
        <v>3230.4761906285712</v>
      </c>
      <c r="J17" s="7">
        <f t="shared" si="5"/>
        <v>688086.66669999971</v>
      </c>
      <c r="K17" s="7">
        <f t="shared" si="6"/>
        <v>982.98095242857096</v>
      </c>
    </row>
    <row r="18" spans="1:11" x14ac:dyDescent="0.25">
      <c r="A18">
        <v>800</v>
      </c>
      <c r="B18" s="6">
        <f t="shared" si="0"/>
        <v>1454761.9047999999</v>
      </c>
      <c r="D18" s="4">
        <v>0.6</v>
      </c>
      <c r="E18" s="7">
        <f t="shared" si="4"/>
        <v>2327619.0476799998</v>
      </c>
      <c r="F18" s="7">
        <f t="shared" si="1"/>
        <v>872857.14287999994</v>
      </c>
      <c r="G18" s="4">
        <f t="shared" si="2"/>
        <v>0.375</v>
      </c>
      <c r="I18" s="7">
        <f t="shared" si="3"/>
        <v>2909.5238095999998</v>
      </c>
      <c r="J18" s="7">
        <f t="shared" si="5"/>
        <v>754372.38093999983</v>
      </c>
      <c r="K18" s="7">
        <f t="shared" si="6"/>
        <v>942.96547617499982</v>
      </c>
    </row>
    <row r="19" spans="1:11" x14ac:dyDescent="0.25">
      <c r="A19">
        <v>900</v>
      </c>
      <c r="B19" s="6">
        <f t="shared" si="0"/>
        <v>1496190.4763</v>
      </c>
      <c r="D19" s="4">
        <v>0.6</v>
      </c>
      <c r="E19" s="7">
        <f t="shared" si="4"/>
        <v>2393904.7620800002</v>
      </c>
      <c r="F19" s="7">
        <f t="shared" si="1"/>
        <v>897714.28578000027</v>
      </c>
      <c r="G19" s="4">
        <f t="shared" si="2"/>
        <v>0.37500000000000006</v>
      </c>
      <c r="I19" s="7">
        <f t="shared" si="3"/>
        <v>2659.8941800888892</v>
      </c>
      <c r="J19" s="7">
        <f t="shared" si="5"/>
        <v>820658.09534000023</v>
      </c>
      <c r="K19" s="7">
        <f t="shared" si="6"/>
        <v>911.84232815555583</v>
      </c>
    </row>
    <row r="20" spans="1:11" x14ac:dyDescent="0.25">
      <c r="A20">
        <v>1000</v>
      </c>
      <c r="B20" s="6">
        <f t="shared" si="0"/>
        <v>1537619.0477</v>
      </c>
      <c r="D20" s="4">
        <v>0.6</v>
      </c>
      <c r="E20" s="7">
        <f t="shared" si="4"/>
        <v>2460190.4763199999</v>
      </c>
      <c r="F20" s="7">
        <f t="shared" si="1"/>
        <v>922571.4286199999</v>
      </c>
      <c r="G20" s="4">
        <f t="shared" si="2"/>
        <v>0.375</v>
      </c>
      <c r="I20" s="7">
        <f t="shared" si="3"/>
        <v>2460.19047632</v>
      </c>
      <c r="J20" s="7">
        <f t="shared" si="5"/>
        <v>886943.80957999988</v>
      </c>
      <c r="K20" s="7">
        <f t="shared" si="6"/>
        <v>886.94380957999988</v>
      </c>
    </row>
    <row r="21" spans="1:11" x14ac:dyDescent="0.25">
      <c r="B21" s="6"/>
      <c r="D21" s="4"/>
      <c r="E21" s="7"/>
      <c r="F21" s="7"/>
      <c r="G21" s="4"/>
      <c r="I21" s="7"/>
    </row>
    <row r="22" spans="1:11" x14ac:dyDescent="0.25">
      <c r="B22" s="6"/>
      <c r="D22" s="4"/>
      <c r="E22" s="7"/>
      <c r="F22" s="7"/>
      <c r="G22" s="4"/>
      <c r="I22" s="7"/>
    </row>
    <row r="23" spans="1:11" x14ac:dyDescent="0.25">
      <c r="B23" s="6"/>
      <c r="D23" s="4"/>
      <c r="E23" s="7"/>
      <c r="F23" s="7"/>
      <c r="G23" s="4"/>
      <c r="I23" s="7"/>
    </row>
    <row r="24" spans="1:11" x14ac:dyDescent="0.25">
      <c r="B24" s="6"/>
      <c r="D24" s="4"/>
      <c r="E24" s="7"/>
      <c r="F24" s="7"/>
      <c r="G24" s="4"/>
      <c r="I24" s="7"/>
    </row>
    <row r="25" spans="1:11" x14ac:dyDescent="0.25">
      <c r="B25" s="6"/>
      <c r="D25" s="4"/>
      <c r="E25" s="7"/>
      <c r="F25" s="7"/>
      <c r="G25" s="4"/>
      <c r="I25" s="7"/>
    </row>
    <row r="26" spans="1:11" x14ac:dyDescent="0.25">
      <c r="B26" s="6"/>
      <c r="D26" s="4"/>
      <c r="E26" s="7"/>
      <c r="F26" s="7"/>
      <c r="G26" s="4"/>
      <c r="I26" s="7"/>
    </row>
    <row r="27" spans="1:11" x14ac:dyDescent="0.25">
      <c r="B27" s="6"/>
      <c r="D27" s="4"/>
      <c r="E27" s="7"/>
      <c r="F27" s="7"/>
      <c r="G27" s="4"/>
      <c r="I27" s="7"/>
    </row>
    <row r="28" spans="1:11" x14ac:dyDescent="0.25">
      <c r="B28" s="6"/>
      <c r="D28" s="4"/>
      <c r="E28" s="7"/>
      <c r="F28" s="7"/>
      <c r="G28" s="4"/>
      <c r="I28" s="7"/>
    </row>
    <row r="29" spans="1:11" x14ac:dyDescent="0.25">
      <c r="B29" s="6"/>
      <c r="D29" s="4"/>
      <c r="E29" s="7"/>
      <c r="F29" s="7"/>
      <c r="G29" s="4"/>
      <c r="I29" s="7"/>
    </row>
    <row r="30" spans="1:11" x14ac:dyDescent="0.25">
      <c r="B30" s="6"/>
      <c r="D30" s="4"/>
      <c r="E30" s="7"/>
      <c r="F30" s="7"/>
      <c r="G30" s="4"/>
      <c r="I30" s="7"/>
    </row>
    <row r="31" spans="1:11" x14ac:dyDescent="0.25">
      <c r="B31" s="6"/>
      <c r="D31" s="4"/>
      <c r="E31" s="7"/>
      <c r="F31" s="7"/>
      <c r="G31" s="4"/>
      <c r="I31" s="7"/>
    </row>
    <row r="32" spans="1:11" x14ac:dyDescent="0.25">
      <c r="B32" s="6"/>
      <c r="D32" s="4"/>
      <c r="E32" s="7"/>
      <c r="F32" s="7"/>
      <c r="G32" s="4"/>
      <c r="I32" s="7"/>
    </row>
    <row r="33" spans="2:9" x14ac:dyDescent="0.25">
      <c r="B33" s="6"/>
      <c r="D33" s="4"/>
      <c r="E33" s="7"/>
      <c r="F33" s="7"/>
      <c r="G33" s="4"/>
      <c r="I33" s="7"/>
    </row>
    <row r="34" spans="2:9" x14ac:dyDescent="0.25">
      <c r="B34" s="6"/>
      <c r="D34" s="4"/>
      <c r="E34" s="7"/>
      <c r="F34" s="7"/>
      <c r="G34" s="4"/>
      <c r="I34" s="7"/>
    </row>
    <row r="35" spans="2:9" x14ac:dyDescent="0.25">
      <c r="B35" s="6"/>
      <c r="D35" s="4"/>
      <c r="E35" s="7"/>
      <c r="F35" s="7"/>
      <c r="G35" s="4"/>
      <c r="I35" s="7"/>
    </row>
    <row r="36" spans="2:9" x14ac:dyDescent="0.25">
      <c r="B36" s="6"/>
      <c r="D36" s="4"/>
      <c r="E36" s="7"/>
      <c r="F36" s="7"/>
      <c r="G36" s="4"/>
      <c r="I36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DCF37-6478-45C9-B216-BFB3DE983AA5}">
  <sheetPr codeName="Trang_tính3"/>
  <dimension ref="A1:AC37"/>
  <sheetViews>
    <sheetView workbookViewId="0">
      <selection activeCell="B8" sqref="B8"/>
    </sheetView>
  </sheetViews>
  <sheetFormatPr defaultRowHeight="15" x14ac:dyDescent="0.25"/>
  <cols>
    <col min="2" max="2" width="15.85546875" bestFit="1" customWidth="1"/>
    <col min="5" max="6" width="13.28515625" bestFit="1" customWidth="1"/>
    <col min="7" max="7" width="8.42578125" bestFit="1" customWidth="1"/>
    <col min="9" max="9" width="12.140625" bestFit="1" customWidth="1"/>
    <col min="10" max="10" width="13.28515625" bestFit="1" customWidth="1"/>
    <col min="11" max="11" width="9.5703125" bestFit="1" customWidth="1"/>
    <col min="14" max="17" width="0" hidden="1" customWidth="1"/>
    <col min="18" max="18" width="15.7109375" hidden="1" customWidth="1"/>
    <col min="19" max="19" width="14" hidden="1" customWidth="1"/>
    <col min="27" max="27" width="16.28515625" bestFit="1" customWidth="1"/>
    <col min="28" max="28" width="14" bestFit="1" customWidth="1"/>
  </cols>
  <sheetData>
    <row r="1" spans="1:29" x14ac:dyDescent="0.25">
      <c r="A1" s="1" t="s">
        <v>48</v>
      </c>
    </row>
    <row r="3" spans="1:29" x14ac:dyDescent="0.25">
      <c r="A3" t="s">
        <v>40</v>
      </c>
      <c r="B3">
        <f xml:space="preserve"> 0.32*0.25</f>
        <v>0.08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46</v>
      </c>
    </row>
    <row r="5" spans="1:29" ht="75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16</v>
      </c>
      <c r="J5" s="2" t="s">
        <v>90</v>
      </c>
      <c r="K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PhiMayMayCanMang(A6,0.32,0.25)</f>
        <v>91429.333400000003</v>
      </c>
      <c r="D6" s="4">
        <v>0.4</v>
      </c>
      <c r="E6" s="7">
        <f>B6*(1+D6)</f>
        <v>128001.06676</v>
      </c>
      <c r="F6" s="7">
        <f>E6-B6</f>
        <v>36571.733359999998</v>
      </c>
      <c r="G6" s="4">
        <f>F6/E6</f>
        <v>0.2857142857142857</v>
      </c>
      <c r="I6" s="7">
        <f t="shared" ref="I6:I25" si="0">E6/A6</f>
        <v>128001.06676</v>
      </c>
      <c r="AA6" t="s">
        <v>81</v>
      </c>
      <c r="AB6" s="5">
        <v>100000</v>
      </c>
    </row>
    <row r="7" spans="1:29" x14ac:dyDescent="0.25">
      <c r="A7">
        <v>50</v>
      </c>
      <c r="B7" s="6">
        <f t="shared" ref="B7:B25" si="1">PhiMayMayCanMang(A7,0.32,0.25)</f>
        <v>99239.215800000005</v>
      </c>
      <c r="D7" s="4">
        <v>0.5</v>
      </c>
      <c r="E7" s="7">
        <f t="shared" ref="E7:E25" si="2">B7*(1+D7)</f>
        <v>148858.82370000001</v>
      </c>
      <c r="F7" s="7">
        <f t="shared" ref="F7:F25" si="3">E7-B7</f>
        <v>49619.607900000003</v>
      </c>
      <c r="G7" s="4">
        <f t="shared" ref="G7:G25" si="4">F7/E7</f>
        <v>0.33333333333333331</v>
      </c>
      <c r="I7" s="7">
        <f t="shared" si="0"/>
        <v>2977.1764740000003</v>
      </c>
      <c r="J7" s="7">
        <f>(E7-$E$6)</f>
        <v>20857.756940000007</v>
      </c>
      <c r="K7" s="7">
        <f>J7/A7</f>
        <v>417.15513880000015</v>
      </c>
      <c r="AA7" t="s">
        <v>101</v>
      </c>
      <c r="AB7" s="5">
        <v>0</v>
      </c>
      <c r="AC7" t="s">
        <v>103</v>
      </c>
    </row>
    <row r="8" spans="1:29" x14ac:dyDescent="0.25">
      <c r="A8">
        <v>100</v>
      </c>
      <c r="B8" s="6">
        <f t="shared" si="1"/>
        <v>107403.9216</v>
      </c>
      <c r="D8" s="4">
        <v>0.5</v>
      </c>
      <c r="E8" s="7">
        <f t="shared" si="2"/>
        <v>161105.8824</v>
      </c>
      <c r="F8" s="7">
        <f t="shared" si="3"/>
        <v>53701.960800000001</v>
      </c>
      <c r="G8" s="4">
        <f t="shared" si="4"/>
        <v>0.33333333333333331</v>
      </c>
      <c r="I8" s="7">
        <f t="shared" si="0"/>
        <v>1611.058824</v>
      </c>
      <c r="J8" s="7">
        <f t="shared" ref="J8:J25" si="5">(E8-$E$6)</f>
        <v>33104.815640000001</v>
      </c>
      <c r="K8" s="7">
        <f t="shared" ref="K8:K25" si="6">J8/A8</f>
        <v>331.04815639999998</v>
      </c>
      <c r="AA8" t="s">
        <v>102</v>
      </c>
      <c r="AB8" s="5">
        <v>300</v>
      </c>
      <c r="AC8" t="s">
        <v>103</v>
      </c>
    </row>
    <row r="9" spans="1:29" x14ac:dyDescent="0.25">
      <c r="A9">
        <v>150</v>
      </c>
      <c r="B9" s="6">
        <f t="shared" si="1"/>
        <v>115568.6275</v>
      </c>
      <c r="D9" s="4">
        <v>0.5</v>
      </c>
      <c r="E9" s="7">
        <f t="shared" si="2"/>
        <v>173352.94125</v>
      </c>
      <c r="F9" s="7">
        <f t="shared" si="3"/>
        <v>57784.313750000001</v>
      </c>
      <c r="G9" s="4">
        <f t="shared" si="4"/>
        <v>0.33333333333333331</v>
      </c>
      <c r="I9" s="7">
        <f t="shared" si="0"/>
        <v>1155.686275</v>
      </c>
      <c r="J9" s="7">
        <f t="shared" si="5"/>
        <v>45351.874490000002</v>
      </c>
      <c r="K9" s="7">
        <f t="shared" si="6"/>
        <v>302.34582993333333</v>
      </c>
      <c r="S9" s="5"/>
      <c r="AA9" t="s">
        <v>104</v>
      </c>
      <c r="AB9" s="5">
        <v>250</v>
      </c>
      <c r="AC9" t="s">
        <v>103</v>
      </c>
    </row>
    <row r="10" spans="1:29" x14ac:dyDescent="0.25">
      <c r="A10">
        <v>200</v>
      </c>
      <c r="B10" s="6">
        <f t="shared" si="1"/>
        <v>123474.5099</v>
      </c>
      <c r="D10" s="4">
        <v>0.5</v>
      </c>
      <c r="E10" s="7">
        <f t="shared" si="2"/>
        <v>185211.76485000001</v>
      </c>
      <c r="F10" s="7">
        <f t="shared" si="3"/>
        <v>61737.254950000002</v>
      </c>
      <c r="G10" s="4">
        <f t="shared" si="4"/>
        <v>0.33333333333333331</v>
      </c>
      <c r="I10" s="7">
        <f t="shared" si="0"/>
        <v>926.05882425000004</v>
      </c>
      <c r="J10" s="7">
        <f t="shared" si="5"/>
        <v>57210.698090000005</v>
      </c>
      <c r="K10" s="7">
        <f t="shared" si="6"/>
        <v>286.05349045000003</v>
      </c>
      <c r="S10" s="5"/>
    </row>
    <row r="11" spans="1:29" x14ac:dyDescent="0.25">
      <c r="A11">
        <v>250</v>
      </c>
      <c r="B11" s="6">
        <f t="shared" si="1"/>
        <v>131380.3922</v>
      </c>
      <c r="D11" s="4">
        <v>0.5</v>
      </c>
      <c r="E11" s="7">
        <f t="shared" si="2"/>
        <v>197070.5883</v>
      </c>
      <c r="F11" s="7">
        <f t="shared" si="3"/>
        <v>65690.196100000001</v>
      </c>
      <c r="G11" s="4">
        <f t="shared" si="4"/>
        <v>0.33333333333333331</v>
      </c>
      <c r="I11" s="7">
        <f t="shared" si="0"/>
        <v>788.28235319999999</v>
      </c>
      <c r="J11" s="7">
        <f t="shared" si="5"/>
        <v>69069.521540000002</v>
      </c>
      <c r="K11" s="7">
        <f t="shared" si="6"/>
        <v>276.27808615999999</v>
      </c>
    </row>
    <row r="12" spans="1:29" x14ac:dyDescent="0.25">
      <c r="A12">
        <v>300</v>
      </c>
      <c r="B12" s="6">
        <f t="shared" si="1"/>
        <v>139545.0981</v>
      </c>
      <c r="D12" s="4">
        <v>0.5</v>
      </c>
      <c r="E12" s="7">
        <f t="shared" si="2"/>
        <v>209317.64715</v>
      </c>
      <c r="F12" s="7">
        <f t="shared" si="3"/>
        <v>69772.549050000001</v>
      </c>
      <c r="G12" s="4">
        <f t="shared" si="4"/>
        <v>0.33333333333333331</v>
      </c>
      <c r="I12" s="7">
        <f t="shared" si="0"/>
        <v>697.72549049999998</v>
      </c>
      <c r="J12" s="7">
        <f t="shared" si="5"/>
        <v>81316.580390000003</v>
      </c>
      <c r="K12" s="7">
        <f t="shared" si="6"/>
        <v>271.05526796666669</v>
      </c>
    </row>
    <row r="13" spans="1:29" x14ac:dyDescent="0.25">
      <c r="A13">
        <v>350</v>
      </c>
      <c r="B13" s="6">
        <f t="shared" si="1"/>
        <v>147709.804</v>
      </c>
      <c r="D13" s="4">
        <v>0.5</v>
      </c>
      <c r="E13" s="7">
        <f t="shared" si="2"/>
        <v>221564.70600000001</v>
      </c>
      <c r="F13" s="7">
        <f t="shared" si="3"/>
        <v>73854.902000000002</v>
      </c>
      <c r="G13" s="4">
        <f t="shared" si="4"/>
        <v>0.33333333333333331</v>
      </c>
      <c r="I13" s="7">
        <f t="shared" si="0"/>
        <v>633.04201714285716</v>
      </c>
      <c r="J13" s="7">
        <f t="shared" si="5"/>
        <v>93563.639240000004</v>
      </c>
      <c r="K13" s="7">
        <f t="shared" si="6"/>
        <v>267.32468354285714</v>
      </c>
    </row>
    <row r="14" spans="1:29" x14ac:dyDescent="0.25">
      <c r="A14">
        <v>400</v>
      </c>
      <c r="B14" s="6">
        <f t="shared" si="1"/>
        <v>155615.6863</v>
      </c>
      <c r="D14" s="4">
        <v>0.5</v>
      </c>
      <c r="E14" s="7">
        <f t="shared" si="2"/>
        <v>233423.52945</v>
      </c>
      <c r="F14" s="7">
        <f t="shared" si="3"/>
        <v>77807.843150000001</v>
      </c>
      <c r="G14" s="4">
        <f t="shared" si="4"/>
        <v>0.33333333333333331</v>
      </c>
      <c r="I14" s="7">
        <f t="shared" si="0"/>
        <v>583.55882362500006</v>
      </c>
      <c r="J14" s="7">
        <f t="shared" si="5"/>
        <v>105422.46269</v>
      </c>
      <c r="K14" s="7">
        <f t="shared" si="6"/>
        <v>263.55615672499999</v>
      </c>
    </row>
    <row r="15" spans="1:29" x14ac:dyDescent="0.25">
      <c r="A15">
        <v>450</v>
      </c>
      <c r="B15" s="6">
        <f t="shared" si="1"/>
        <v>163521.5687</v>
      </c>
      <c r="D15" s="4">
        <v>0.5</v>
      </c>
      <c r="E15" s="7">
        <f t="shared" si="2"/>
        <v>245282.35305000001</v>
      </c>
      <c r="F15" s="7">
        <f t="shared" si="3"/>
        <v>81760.784350000002</v>
      </c>
      <c r="G15" s="4">
        <f t="shared" si="4"/>
        <v>0.33333333333333331</v>
      </c>
      <c r="I15" s="7">
        <f t="shared" si="0"/>
        <v>545.07189566666671</v>
      </c>
      <c r="J15" s="7">
        <f t="shared" si="5"/>
        <v>117281.28629</v>
      </c>
      <c r="K15" s="7">
        <f t="shared" si="6"/>
        <v>260.62508064444444</v>
      </c>
    </row>
    <row r="16" spans="1:29" x14ac:dyDescent="0.25">
      <c r="A16">
        <v>500</v>
      </c>
      <c r="B16" s="6">
        <f t="shared" si="1"/>
        <v>171686.2746</v>
      </c>
      <c r="D16" s="4">
        <v>0.5</v>
      </c>
      <c r="E16" s="7">
        <f t="shared" si="2"/>
        <v>257529.41190000001</v>
      </c>
      <c r="F16" s="7">
        <f t="shared" si="3"/>
        <v>85843.137300000002</v>
      </c>
      <c r="G16" s="4">
        <f t="shared" si="4"/>
        <v>0.33333333333333331</v>
      </c>
      <c r="I16" s="7">
        <f t="shared" si="0"/>
        <v>515.05882380000003</v>
      </c>
      <c r="J16" s="7">
        <f t="shared" si="5"/>
        <v>129528.34514</v>
      </c>
      <c r="K16" s="7">
        <f t="shared" si="6"/>
        <v>259.05669028</v>
      </c>
    </row>
    <row r="17" spans="1:11" x14ac:dyDescent="0.25">
      <c r="A17">
        <v>600</v>
      </c>
      <c r="B17" s="6">
        <f t="shared" si="1"/>
        <v>187756.8628</v>
      </c>
      <c r="D17" s="4">
        <v>0.5</v>
      </c>
      <c r="E17" s="7">
        <f t="shared" si="2"/>
        <v>281635.2942</v>
      </c>
      <c r="F17" s="7">
        <f t="shared" si="3"/>
        <v>93878.431400000001</v>
      </c>
      <c r="G17" s="4">
        <f t="shared" si="4"/>
        <v>0.33333333333333331</v>
      </c>
      <c r="I17" s="7">
        <f t="shared" si="0"/>
        <v>469.392157</v>
      </c>
      <c r="J17" s="7">
        <f t="shared" si="5"/>
        <v>153634.22743999999</v>
      </c>
      <c r="K17" s="7">
        <f t="shared" si="6"/>
        <v>256.05704573333333</v>
      </c>
    </row>
    <row r="18" spans="1:11" x14ac:dyDescent="0.25">
      <c r="A18">
        <v>700</v>
      </c>
      <c r="B18" s="6">
        <f t="shared" si="1"/>
        <v>203827.451</v>
      </c>
      <c r="D18" s="4">
        <v>0.5</v>
      </c>
      <c r="E18" s="7">
        <f t="shared" si="2"/>
        <v>305741.1765</v>
      </c>
      <c r="F18" s="7">
        <f t="shared" si="3"/>
        <v>101913.7255</v>
      </c>
      <c r="G18" s="4">
        <f t="shared" si="4"/>
        <v>0.33333333333333331</v>
      </c>
      <c r="I18" s="7">
        <f t="shared" si="0"/>
        <v>436.77310928571427</v>
      </c>
      <c r="J18" s="7">
        <f t="shared" si="5"/>
        <v>177740.10973999999</v>
      </c>
      <c r="K18" s="7">
        <f t="shared" si="6"/>
        <v>253.91444248571426</v>
      </c>
    </row>
    <row r="19" spans="1:11" x14ac:dyDescent="0.25">
      <c r="A19">
        <v>800</v>
      </c>
      <c r="B19" s="6">
        <f t="shared" si="1"/>
        <v>219898.0393</v>
      </c>
      <c r="D19" s="4">
        <v>0.5</v>
      </c>
      <c r="E19" s="7">
        <f t="shared" si="2"/>
        <v>329847.05894999998</v>
      </c>
      <c r="F19" s="7">
        <f t="shared" si="3"/>
        <v>109949.01964999997</v>
      </c>
      <c r="G19" s="4">
        <f t="shared" si="4"/>
        <v>0.33333333333333326</v>
      </c>
      <c r="I19" s="7">
        <f t="shared" si="0"/>
        <v>412.30882368749997</v>
      </c>
      <c r="J19" s="7">
        <f t="shared" si="5"/>
        <v>201845.99218999996</v>
      </c>
      <c r="K19" s="7">
        <f t="shared" si="6"/>
        <v>252.30749023749996</v>
      </c>
    </row>
    <row r="20" spans="1:11" x14ac:dyDescent="0.25">
      <c r="A20">
        <v>900</v>
      </c>
      <c r="B20" s="6">
        <f t="shared" si="1"/>
        <v>235968.6275</v>
      </c>
      <c r="D20" s="4">
        <v>0.5</v>
      </c>
      <c r="E20" s="7">
        <f t="shared" si="2"/>
        <v>353952.94125000003</v>
      </c>
      <c r="F20" s="7">
        <f t="shared" si="3"/>
        <v>117984.31375000003</v>
      </c>
      <c r="G20" s="4">
        <f t="shared" si="4"/>
        <v>0.33333333333333337</v>
      </c>
      <c r="I20" s="7">
        <f t="shared" si="0"/>
        <v>393.28104583333339</v>
      </c>
      <c r="J20" s="7">
        <f t="shared" si="5"/>
        <v>225951.87449000002</v>
      </c>
      <c r="K20" s="7">
        <f t="shared" si="6"/>
        <v>251.05763832222223</v>
      </c>
    </row>
    <row r="21" spans="1:11" x14ac:dyDescent="0.25">
      <c r="A21">
        <v>1000</v>
      </c>
      <c r="B21" s="6">
        <f t="shared" si="1"/>
        <v>252039.21580000001</v>
      </c>
      <c r="D21" s="4">
        <v>0.5</v>
      </c>
      <c r="E21" s="7">
        <f t="shared" si="2"/>
        <v>378058.82370000001</v>
      </c>
      <c r="F21" s="7">
        <f t="shared" si="3"/>
        <v>126019.6079</v>
      </c>
      <c r="G21" s="4">
        <f t="shared" si="4"/>
        <v>0.33333333333333331</v>
      </c>
      <c r="I21" s="7">
        <f t="shared" si="0"/>
        <v>378.0588237</v>
      </c>
      <c r="J21" s="7">
        <f t="shared" si="5"/>
        <v>250057.75693999999</v>
      </c>
      <c r="K21" s="7">
        <f t="shared" si="6"/>
        <v>250.05775693999999</v>
      </c>
    </row>
    <row r="22" spans="1:11" x14ac:dyDescent="0.25">
      <c r="A22">
        <v>1200</v>
      </c>
      <c r="B22" s="6">
        <f t="shared" si="1"/>
        <v>284180.3922</v>
      </c>
      <c r="D22" s="4">
        <v>0.5</v>
      </c>
      <c r="E22" s="7">
        <f t="shared" si="2"/>
        <v>426270.5883</v>
      </c>
      <c r="F22" s="7">
        <f t="shared" si="3"/>
        <v>142090.1961</v>
      </c>
      <c r="G22" s="4">
        <f t="shared" si="4"/>
        <v>0.33333333333333331</v>
      </c>
      <c r="I22" s="7">
        <f t="shared" si="0"/>
        <v>355.22549025000001</v>
      </c>
      <c r="J22" s="7">
        <f t="shared" si="5"/>
        <v>298269.52153999999</v>
      </c>
      <c r="K22" s="7">
        <f t="shared" si="6"/>
        <v>248.55793461666664</v>
      </c>
    </row>
    <row r="23" spans="1:11" x14ac:dyDescent="0.25">
      <c r="A23">
        <v>1400</v>
      </c>
      <c r="B23" s="6">
        <f t="shared" si="1"/>
        <v>316321.5687</v>
      </c>
      <c r="D23" s="4">
        <v>0.5</v>
      </c>
      <c r="E23" s="7">
        <f t="shared" si="2"/>
        <v>474482.35305000003</v>
      </c>
      <c r="F23" s="7">
        <f t="shared" si="3"/>
        <v>158160.78435000003</v>
      </c>
      <c r="G23" s="4">
        <f t="shared" si="4"/>
        <v>0.33333333333333337</v>
      </c>
      <c r="I23" s="7">
        <f t="shared" si="0"/>
        <v>338.91596646428576</v>
      </c>
      <c r="J23" s="7">
        <f t="shared" si="5"/>
        <v>346481.28629000002</v>
      </c>
      <c r="K23" s="7">
        <f t="shared" si="6"/>
        <v>247.48663306428574</v>
      </c>
    </row>
    <row r="24" spans="1:11" x14ac:dyDescent="0.25">
      <c r="A24">
        <v>1500</v>
      </c>
      <c r="B24" s="6">
        <f t="shared" si="1"/>
        <v>332392.1569</v>
      </c>
      <c r="D24" s="4">
        <v>0.5</v>
      </c>
      <c r="E24" s="7">
        <f t="shared" si="2"/>
        <v>498588.23534999997</v>
      </c>
      <c r="F24" s="7">
        <f t="shared" si="3"/>
        <v>166196.07844999997</v>
      </c>
      <c r="G24" s="4">
        <f t="shared" si="4"/>
        <v>0.33333333333333331</v>
      </c>
      <c r="I24" s="7">
        <f t="shared" si="0"/>
        <v>332.39215689999997</v>
      </c>
      <c r="J24" s="7">
        <f t="shared" si="5"/>
        <v>370587.16858999996</v>
      </c>
      <c r="K24" s="7">
        <f t="shared" si="6"/>
        <v>247.05811239333332</v>
      </c>
    </row>
    <row r="25" spans="1:11" x14ac:dyDescent="0.25">
      <c r="A25">
        <v>2000</v>
      </c>
      <c r="B25" s="6">
        <f t="shared" si="1"/>
        <v>412745.0981</v>
      </c>
      <c r="D25" s="4">
        <v>0.5</v>
      </c>
      <c r="E25" s="7">
        <f t="shared" si="2"/>
        <v>619117.64714999998</v>
      </c>
      <c r="F25" s="7">
        <f t="shared" si="3"/>
        <v>206372.54904999997</v>
      </c>
      <c r="G25" s="4">
        <f t="shared" si="4"/>
        <v>0.33333333333333331</v>
      </c>
      <c r="I25" s="7">
        <f t="shared" si="0"/>
        <v>309.55882357499996</v>
      </c>
      <c r="J25" s="7">
        <f t="shared" si="5"/>
        <v>491116.58038999996</v>
      </c>
      <c r="K25" s="7">
        <f t="shared" si="6"/>
        <v>245.55829019499998</v>
      </c>
    </row>
    <row r="26" spans="1:11" x14ac:dyDescent="0.25">
      <c r="B26" s="6"/>
      <c r="D26" s="4"/>
      <c r="E26" s="7"/>
      <c r="F26" s="7"/>
      <c r="G26" s="4"/>
      <c r="I26" s="7"/>
    </row>
    <row r="27" spans="1:11" x14ac:dyDescent="0.25">
      <c r="B27" s="6"/>
      <c r="D27" s="4"/>
      <c r="E27" s="7"/>
      <c r="F27" s="7"/>
      <c r="G27" s="4"/>
      <c r="I27" s="7"/>
    </row>
    <row r="28" spans="1:11" x14ac:dyDescent="0.25">
      <c r="B28" s="6"/>
      <c r="D28" s="4"/>
      <c r="E28" s="7"/>
      <c r="F28" s="7"/>
      <c r="G28" s="4"/>
      <c r="I28" s="7"/>
    </row>
    <row r="29" spans="1:11" x14ac:dyDescent="0.25">
      <c r="B29" s="6"/>
      <c r="D29" s="4"/>
      <c r="E29" s="7"/>
      <c r="F29" s="7"/>
      <c r="G29" s="4"/>
      <c r="I29" s="7"/>
    </row>
    <row r="30" spans="1:11" x14ac:dyDescent="0.25">
      <c r="B30" s="6"/>
      <c r="D30" s="4"/>
      <c r="E30" s="7"/>
      <c r="F30" s="7"/>
      <c r="G30" s="4"/>
      <c r="I30" s="7"/>
    </row>
    <row r="31" spans="1:11" x14ac:dyDescent="0.25">
      <c r="B31" s="6"/>
      <c r="D31" s="4"/>
      <c r="E31" s="7"/>
      <c r="F31" s="7"/>
      <c r="G31" s="4"/>
      <c r="I31" s="7"/>
    </row>
    <row r="32" spans="1:11" x14ac:dyDescent="0.25">
      <c r="B32" s="6"/>
      <c r="D32" s="4"/>
      <c r="E32" s="7"/>
      <c r="F32" s="7"/>
      <c r="G32" s="4"/>
      <c r="I32" s="7"/>
    </row>
    <row r="33" spans="2:9" x14ac:dyDescent="0.25">
      <c r="B33" s="6"/>
      <c r="D33" s="4"/>
      <c r="E33" s="7"/>
      <c r="F33" s="7"/>
      <c r="G33" s="4"/>
      <c r="I33" s="7"/>
    </row>
    <row r="34" spans="2:9" x14ac:dyDescent="0.25">
      <c r="B34" s="6"/>
      <c r="D34" s="4"/>
      <c r="E34" s="7"/>
      <c r="F34" s="7"/>
      <c r="G34" s="4"/>
      <c r="I34" s="7"/>
    </row>
    <row r="35" spans="2:9" x14ac:dyDescent="0.25">
      <c r="B35" s="6"/>
      <c r="D35" s="4"/>
      <c r="E35" s="7"/>
      <c r="F35" s="7"/>
      <c r="G35" s="4"/>
      <c r="I35" s="7"/>
    </row>
    <row r="36" spans="2:9" x14ac:dyDescent="0.25">
      <c r="B36" s="6"/>
      <c r="D36" s="4"/>
      <c r="E36" s="7"/>
      <c r="F36" s="7"/>
      <c r="G36" s="4"/>
      <c r="I36" s="7"/>
    </row>
    <row r="37" spans="2:9" x14ac:dyDescent="0.25">
      <c r="B37" s="6"/>
      <c r="D37" s="4"/>
      <c r="E37" s="7"/>
      <c r="F37" s="7"/>
      <c r="G37" s="4"/>
      <c r="I37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C45FE-914D-48B0-9836-5F0DC40E2C15}">
  <sheetPr codeName="Trang_tính9"/>
  <dimension ref="A1:AC36"/>
  <sheetViews>
    <sheetView topLeftCell="A7" workbookViewId="0">
      <selection activeCell="W31" sqref="W31"/>
    </sheetView>
  </sheetViews>
  <sheetFormatPr defaultRowHeight="15" x14ac:dyDescent="0.25"/>
  <cols>
    <col min="1" max="1" width="10.42578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9" width="12.140625" bestFit="1" customWidth="1"/>
    <col min="13" max="19" width="0" hidden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D2" s="17" t="s">
        <v>87</v>
      </c>
      <c r="AA2" s="1" t="s">
        <v>45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45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/>
      <c r="K4" s="2"/>
      <c r="L4" s="2"/>
      <c r="M4" s="2"/>
      <c r="AA4" t="s">
        <v>8</v>
      </c>
      <c r="AB4" s="5">
        <v>200000</v>
      </c>
    </row>
    <row r="5" spans="1:29" x14ac:dyDescent="0.25">
      <c r="A5">
        <v>1</v>
      </c>
      <c r="B5" s="6">
        <f>PhiMayInToner4M(A5)</f>
        <v>64087.333299999998</v>
      </c>
      <c r="D5" s="4">
        <v>0.4</v>
      </c>
      <c r="E5" s="7">
        <f>B5*(1+D5)</f>
        <v>89722.266619999995</v>
      </c>
      <c r="F5" s="7">
        <f>E5-B5</f>
        <v>25634.933319999996</v>
      </c>
      <c r="G5" s="4">
        <f>F5/E5</f>
        <v>0.2857142857142857</v>
      </c>
      <c r="I5" s="7">
        <f>E5/A5</f>
        <v>89722.266619999995</v>
      </c>
      <c r="AA5" t="s">
        <v>9</v>
      </c>
      <c r="AB5" s="5">
        <v>1000</v>
      </c>
      <c r="AC5" t="s">
        <v>83</v>
      </c>
    </row>
    <row r="6" spans="1:29" x14ac:dyDescent="0.25">
      <c r="A6">
        <v>50</v>
      </c>
      <c r="B6" s="6">
        <f t="shared" ref="B6:B36" si="0">PhiMayInToner4M(A6)</f>
        <v>101033.3333</v>
      </c>
      <c r="D6" s="4">
        <v>0.5</v>
      </c>
      <c r="E6" s="7">
        <f t="shared" ref="E6:E36" si="1">B6*(1+D6)</f>
        <v>151549.99995</v>
      </c>
      <c r="F6" s="7">
        <f t="shared" ref="F6:F36" si="2">E6-B6</f>
        <v>50516.666649999999</v>
      </c>
      <c r="G6" s="4">
        <f t="shared" ref="G6:G36" si="3">F6/E6</f>
        <v>0.33333333333333331</v>
      </c>
      <c r="I6" s="7">
        <f t="shared" ref="I6:I36" si="4">E6/A6</f>
        <v>3030.9999990000001</v>
      </c>
      <c r="AA6" t="s">
        <v>84</v>
      </c>
      <c r="AB6" s="5">
        <v>500</v>
      </c>
      <c r="AC6" t="s">
        <v>85</v>
      </c>
    </row>
    <row r="7" spans="1:29" x14ac:dyDescent="0.25">
      <c r="A7">
        <v>100</v>
      </c>
      <c r="B7" s="6">
        <f t="shared" si="0"/>
        <v>138733.3333</v>
      </c>
      <c r="D7" s="4">
        <v>0.5</v>
      </c>
      <c r="E7" s="7">
        <f t="shared" si="1"/>
        <v>208099.99995</v>
      </c>
      <c r="F7" s="7">
        <f t="shared" si="2"/>
        <v>69366.666649999999</v>
      </c>
      <c r="G7" s="4">
        <f t="shared" si="3"/>
        <v>0.33333333333333331</v>
      </c>
      <c r="I7" s="7">
        <f t="shared" si="4"/>
        <v>2080.9999994999998</v>
      </c>
      <c r="AB7" s="5"/>
    </row>
    <row r="8" spans="1:29" x14ac:dyDescent="0.25">
      <c r="A8">
        <v>150</v>
      </c>
      <c r="B8" s="6">
        <f t="shared" si="0"/>
        <v>176433.3333</v>
      </c>
      <c r="D8" s="4">
        <v>0.5</v>
      </c>
      <c r="E8" s="7">
        <f t="shared" si="1"/>
        <v>264649.99994999997</v>
      </c>
      <c r="F8" s="7">
        <f t="shared" si="2"/>
        <v>88216.66664999997</v>
      </c>
      <c r="G8" s="4">
        <f t="shared" si="3"/>
        <v>0.33333333333333326</v>
      </c>
      <c r="I8" s="7">
        <f t="shared" si="4"/>
        <v>1764.3333329999998</v>
      </c>
    </row>
    <row r="9" spans="1:29" x14ac:dyDescent="0.25">
      <c r="A9">
        <v>200</v>
      </c>
      <c r="B9" s="6">
        <f t="shared" si="0"/>
        <v>214133.3333</v>
      </c>
      <c r="D9" s="4">
        <v>0.5</v>
      </c>
      <c r="E9" s="7">
        <f t="shared" si="1"/>
        <v>321199.99994999997</v>
      </c>
      <c r="F9" s="7">
        <f t="shared" si="2"/>
        <v>107066.66664999997</v>
      </c>
      <c r="G9" s="4">
        <f t="shared" si="3"/>
        <v>0.33333333333333326</v>
      </c>
      <c r="I9" s="7">
        <f t="shared" si="4"/>
        <v>1605.9999997499999</v>
      </c>
    </row>
    <row r="10" spans="1:29" x14ac:dyDescent="0.25">
      <c r="A10">
        <v>250</v>
      </c>
      <c r="B10" s="6">
        <f t="shared" si="0"/>
        <v>251833.3333</v>
      </c>
      <c r="D10" s="4">
        <v>0.5</v>
      </c>
      <c r="E10" s="7">
        <f t="shared" si="1"/>
        <v>377749.99994999997</v>
      </c>
      <c r="F10" s="7">
        <f t="shared" si="2"/>
        <v>125916.66664999997</v>
      </c>
      <c r="G10" s="4">
        <f t="shared" si="3"/>
        <v>0.33333333333333326</v>
      </c>
      <c r="I10" s="7">
        <f t="shared" si="4"/>
        <v>1510.9999997999998</v>
      </c>
    </row>
    <row r="11" spans="1:29" x14ac:dyDescent="0.25">
      <c r="A11">
        <v>300</v>
      </c>
      <c r="B11" s="6">
        <f t="shared" si="0"/>
        <v>289533.3333</v>
      </c>
      <c r="D11" s="4">
        <v>0.5</v>
      </c>
      <c r="E11" s="7">
        <f t="shared" si="1"/>
        <v>434299.99994999997</v>
      </c>
      <c r="F11" s="7">
        <f t="shared" si="2"/>
        <v>144766.66664999997</v>
      </c>
      <c r="G11" s="4">
        <f t="shared" si="3"/>
        <v>0.33333333333333331</v>
      </c>
      <c r="I11" s="7">
        <f t="shared" si="4"/>
        <v>1447.6666664999998</v>
      </c>
    </row>
    <row r="12" spans="1:29" x14ac:dyDescent="0.25">
      <c r="A12">
        <v>350</v>
      </c>
      <c r="B12" s="6">
        <f t="shared" si="0"/>
        <v>327233.3333</v>
      </c>
      <c r="D12" s="4">
        <v>0.5</v>
      </c>
      <c r="E12" s="7">
        <f t="shared" si="1"/>
        <v>490849.99994999997</v>
      </c>
      <c r="F12" s="7">
        <f t="shared" si="2"/>
        <v>163616.66664999997</v>
      </c>
      <c r="G12" s="4">
        <f t="shared" si="3"/>
        <v>0.33333333333333331</v>
      </c>
      <c r="I12" s="7">
        <f t="shared" si="4"/>
        <v>1402.4285712857143</v>
      </c>
    </row>
    <row r="13" spans="1:29" x14ac:dyDescent="0.25">
      <c r="A13">
        <v>400</v>
      </c>
      <c r="B13" s="6">
        <f t="shared" si="0"/>
        <v>364933.3333</v>
      </c>
      <c r="D13" s="4">
        <v>0.6</v>
      </c>
      <c r="E13" s="7">
        <f t="shared" si="1"/>
        <v>583893.33328000002</v>
      </c>
      <c r="F13" s="7">
        <f t="shared" si="2"/>
        <v>218959.99998000002</v>
      </c>
      <c r="G13" s="4">
        <f t="shared" si="3"/>
        <v>0.375</v>
      </c>
      <c r="I13" s="7">
        <f t="shared" si="4"/>
        <v>1459.7333332000001</v>
      </c>
    </row>
    <row r="14" spans="1:29" x14ac:dyDescent="0.25">
      <c r="A14">
        <v>450</v>
      </c>
      <c r="B14" s="6">
        <f t="shared" si="0"/>
        <v>402633.3333</v>
      </c>
      <c r="D14" s="4">
        <v>0.6</v>
      </c>
      <c r="E14" s="7">
        <f t="shared" si="1"/>
        <v>644213.33328000002</v>
      </c>
      <c r="F14" s="7">
        <f t="shared" si="2"/>
        <v>241579.99998000002</v>
      </c>
      <c r="G14" s="4">
        <f t="shared" si="3"/>
        <v>0.375</v>
      </c>
      <c r="I14" s="7">
        <f t="shared" si="4"/>
        <v>1431.5851850666668</v>
      </c>
    </row>
    <row r="15" spans="1:29" x14ac:dyDescent="0.25">
      <c r="A15">
        <v>500</v>
      </c>
      <c r="B15" s="6">
        <f t="shared" si="0"/>
        <v>440333.3333</v>
      </c>
      <c r="D15" s="4">
        <v>0.6</v>
      </c>
      <c r="E15" s="7">
        <f t="shared" si="1"/>
        <v>704533.33328000002</v>
      </c>
      <c r="F15" s="7">
        <f t="shared" si="2"/>
        <v>264199.99998000002</v>
      </c>
      <c r="G15" s="4">
        <f t="shared" si="3"/>
        <v>0.375</v>
      </c>
      <c r="I15" s="7">
        <f t="shared" si="4"/>
        <v>1409.0666665599999</v>
      </c>
    </row>
    <row r="16" spans="1:29" x14ac:dyDescent="0.25">
      <c r="A16">
        <v>600</v>
      </c>
      <c r="B16" s="6">
        <f t="shared" si="0"/>
        <v>515733.3333</v>
      </c>
      <c r="D16" s="4">
        <v>0.6</v>
      </c>
      <c r="E16" s="7">
        <f t="shared" si="1"/>
        <v>825173.33328000002</v>
      </c>
      <c r="F16" s="7">
        <f t="shared" si="2"/>
        <v>309439.99998000002</v>
      </c>
      <c r="G16" s="4">
        <f t="shared" si="3"/>
        <v>0.375</v>
      </c>
      <c r="I16" s="7">
        <f t="shared" si="4"/>
        <v>1375.2888888</v>
      </c>
    </row>
    <row r="17" spans="1:9" x14ac:dyDescent="0.25">
      <c r="A17">
        <v>700</v>
      </c>
      <c r="B17" s="6">
        <f t="shared" si="0"/>
        <v>591133.33330000006</v>
      </c>
      <c r="D17" s="4">
        <v>0.6</v>
      </c>
      <c r="E17" s="7">
        <f t="shared" si="1"/>
        <v>945813.33328000014</v>
      </c>
      <c r="F17" s="7">
        <f t="shared" si="2"/>
        <v>354679.99998000008</v>
      </c>
      <c r="G17" s="4">
        <f t="shared" si="3"/>
        <v>0.37500000000000006</v>
      </c>
      <c r="I17" s="7">
        <f t="shared" si="4"/>
        <v>1351.1619046857145</v>
      </c>
    </row>
    <row r="18" spans="1:9" x14ac:dyDescent="0.25">
      <c r="A18">
        <v>800</v>
      </c>
      <c r="B18" s="6">
        <f t="shared" si="0"/>
        <v>666533.33330000006</v>
      </c>
      <c r="D18" s="4">
        <v>0.6</v>
      </c>
      <c r="E18" s="7">
        <f t="shared" si="1"/>
        <v>1066453.3332800001</v>
      </c>
      <c r="F18" s="7">
        <f t="shared" si="2"/>
        <v>399919.99998000008</v>
      </c>
      <c r="G18" s="4">
        <f t="shared" si="3"/>
        <v>0.375</v>
      </c>
      <c r="I18" s="7">
        <f t="shared" si="4"/>
        <v>1333.0666666000002</v>
      </c>
    </row>
    <row r="19" spans="1:9" x14ac:dyDescent="0.25">
      <c r="A19">
        <v>900</v>
      </c>
      <c r="B19" s="6">
        <f t="shared" si="0"/>
        <v>741933.33330000006</v>
      </c>
      <c r="D19" s="4">
        <v>0.6</v>
      </c>
      <c r="E19" s="7">
        <f t="shared" si="1"/>
        <v>1187093.3332800001</v>
      </c>
      <c r="F19" s="7">
        <f t="shared" si="2"/>
        <v>445159.99998000008</v>
      </c>
      <c r="G19" s="4">
        <f t="shared" si="3"/>
        <v>0.375</v>
      </c>
      <c r="I19" s="7">
        <f t="shared" si="4"/>
        <v>1318.9925925333334</v>
      </c>
    </row>
    <row r="20" spans="1:9" x14ac:dyDescent="0.25">
      <c r="A20">
        <v>1000</v>
      </c>
      <c r="B20" s="6">
        <f t="shared" si="0"/>
        <v>817333.33330000006</v>
      </c>
      <c r="D20" s="4">
        <v>0.4</v>
      </c>
      <c r="E20" s="7">
        <f t="shared" si="1"/>
        <v>1144266.66662</v>
      </c>
      <c r="F20" s="7">
        <f t="shared" si="2"/>
        <v>326933.33331999998</v>
      </c>
      <c r="G20" s="4">
        <f t="shared" si="3"/>
        <v>0.2857142857142857</v>
      </c>
      <c r="I20" s="7">
        <f t="shared" si="4"/>
        <v>1144.26666662</v>
      </c>
    </row>
    <row r="21" spans="1:9" x14ac:dyDescent="0.25">
      <c r="A21">
        <v>1200</v>
      </c>
      <c r="B21" s="6">
        <f t="shared" si="0"/>
        <v>968133.33330000006</v>
      </c>
      <c r="D21" s="4">
        <v>0.4</v>
      </c>
      <c r="E21" s="7">
        <f t="shared" si="1"/>
        <v>1355386.66662</v>
      </c>
      <c r="F21" s="7">
        <f t="shared" si="2"/>
        <v>387253.33331999998</v>
      </c>
      <c r="G21" s="4">
        <f t="shared" si="3"/>
        <v>0.2857142857142857</v>
      </c>
      <c r="I21" s="7">
        <f t="shared" si="4"/>
        <v>1129.48888885</v>
      </c>
    </row>
    <row r="22" spans="1:9" x14ac:dyDescent="0.25">
      <c r="A22">
        <v>1400</v>
      </c>
      <c r="B22" s="6">
        <f t="shared" si="0"/>
        <v>1118933.3333000001</v>
      </c>
      <c r="D22" s="4">
        <v>0.4</v>
      </c>
      <c r="E22" s="7">
        <f t="shared" si="1"/>
        <v>1566506.66662</v>
      </c>
      <c r="F22" s="7">
        <f t="shared" si="2"/>
        <v>447573.33331999998</v>
      </c>
      <c r="G22" s="4">
        <f t="shared" si="3"/>
        <v>0.2857142857142857</v>
      </c>
      <c r="I22" s="7">
        <f t="shared" si="4"/>
        <v>1118.9333333</v>
      </c>
    </row>
    <row r="23" spans="1:9" x14ac:dyDescent="0.25">
      <c r="A23">
        <v>1500</v>
      </c>
      <c r="B23" s="6">
        <f t="shared" si="0"/>
        <v>1194333.3333000001</v>
      </c>
      <c r="D23" s="4">
        <v>0.4</v>
      </c>
      <c r="E23" s="7">
        <f t="shared" si="1"/>
        <v>1672066.66662</v>
      </c>
      <c r="F23" s="7">
        <f t="shared" si="2"/>
        <v>477733.33331999998</v>
      </c>
      <c r="G23" s="4">
        <f t="shared" si="3"/>
        <v>0.2857142857142857</v>
      </c>
      <c r="I23" s="7">
        <f t="shared" si="4"/>
        <v>1114.7111110799999</v>
      </c>
    </row>
    <row r="24" spans="1:9" x14ac:dyDescent="0.25">
      <c r="A24">
        <v>2000</v>
      </c>
      <c r="B24" s="6">
        <f t="shared" si="0"/>
        <v>1571333.3333000001</v>
      </c>
      <c r="D24" s="4">
        <v>0.4</v>
      </c>
      <c r="E24" s="7">
        <f t="shared" si="1"/>
        <v>2199866.6666199998</v>
      </c>
      <c r="F24" s="7">
        <f t="shared" si="2"/>
        <v>628533.33331999974</v>
      </c>
      <c r="G24" s="4">
        <f t="shared" si="3"/>
        <v>0.28571428571428564</v>
      </c>
      <c r="I24" s="7">
        <f t="shared" si="4"/>
        <v>1099.9333333099999</v>
      </c>
    </row>
    <row r="25" spans="1:9" x14ac:dyDescent="0.25">
      <c r="A25">
        <v>2500</v>
      </c>
      <c r="B25" s="6">
        <f t="shared" si="0"/>
        <v>1948333.3333000001</v>
      </c>
      <c r="D25" s="4">
        <v>0.4</v>
      </c>
      <c r="E25" s="7">
        <f t="shared" si="1"/>
        <v>2727666.6666199998</v>
      </c>
      <c r="F25" s="7">
        <f t="shared" si="2"/>
        <v>779333.33331999974</v>
      </c>
      <c r="G25" s="4">
        <f t="shared" si="3"/>
        <v>0.28571428571428564</v>
      </c>
      <c r="I25" s="7">
        <f t="shared" si="4"/>
        <v>1091.0666666479999</v>
      </c>
    </row>
    <row r="26" spans="1:9" x14ac:dyDescent="0.25">
      <c r="A26">
        <v>3000</v>
      </c>
      <c r="B26" s="6">
        <f t="shared" si="0"/>
        <v>2325333.3333000001</v>
      </c>
      <c r="D26" s="4">
        <v>0.4</v>
      </c>
      <c r="E26" s="7">
        <f t="shared" si="1"/>
        <v>3255466.6666199998</v>
      </c>
      <c r="F26" s="7">
        <f t="shared" si="2"/>
        <v>930133.33331999974</v>
      </c>
      <c r="G26" s="4">
        <f t="shared" si="3"/>
        <v>0.28571428571428564</v>
      </c>
      <c r="I26" s="7">
        <f t="shared" si="4"/>
        <v>1085.15555554</v>
      </c>
    </row>
    <row r="27" spans="1:9" x14ac:dyDescent="0.25">
      <c r="A27">
        <v>3500</v>
      </c>
      <c r="B27" s="6">
        <f t="shared" si="0"/>
        <v>2702333.3333000001</v>
      </c>
      <c r="D27" s="4">
        <v>0.4</v>
      </c>
      <c r="E27" s="7">
        <f t="shared" si="1"/>
        <v>3783266.6666199998</v>
      </c>
      <c r="F27" s="7">
        <f t="shared" si="2"/>
        <v>1080933.3333199997</v>
      </c>
      <c r="G27" s="4">
        <f t="shared" si="3"/>
        <v>0.28571428571428564</v>
      </c>
      <c r="I27" s="7">
        <f t="shared" si="4"/>
        <v>1080.93333332</v>
      </c>
    </row>
    <row r="28" spans="1:9" x14ac:dyDescent="0.25">
      <c r="A28">
        <v>4000</v>
      </c>
      <c r="B28" s="6">
        <f t="shared" si="0"/>
        <v>3079333.3333000001</v>
      </c>
      <c r="D28" s="4">
        <v>0.4</v>
      </c>
      <c r="E28" s="7">
        <f t="shared" si="1"/>
        <v>4311066.6666200003</v>
      </c>
      <c r="F28" s="7">
        <f t="shared" si="2"/>
        <v>1231733.3333200002</v>
      </c>
      <c r="G28" s="4">
        <f t="shared" si="3"/>
        <v>0.28571428571428575</v>
      </c>
      <c r="I28" s="7">
        <f t="shared" si="4"/>
        <v>1077.7666666550001</v>
      </c>
    </row>
    <row r="29" spans="1:9" x14ac:dyDescent="0.25">
      <c r="A29">
        <v>5000</v>
      </c>
      <c r="B29" s="6">
        <f t="shared" si="0"/>
        <v>3833333.3333000001</v>
      </c>
      <c r="D29" s="4">
        <v>0.4</v>
      </c>
      <c r="E29" s="7">
        <f t="shared" si="1"/>
        <v>5366666.6666199993</v>
      </c>
      <c r="F29" s="7">
        <f t="shared" si="2"/>
        <v>1533333.3333199993</v>
      </c>
      <c r="G29" s="4">
        <f t="shared" si="3"/>
        <v>0.28571428571428559</v>
      </c>
      <c r="I29" s="7">
        <f t="shared" si="4"/>
        <v>1073.3333333239998</v>
      </c>
    </row>
    <row r="30" spans="1:9" x14ac:dyDescent="0.25">
      <c r="A30">
        <v>6000</v>
      </c>
      <c r="B30" s="6">
        <f t="shared" si="0"/>
        <v>4587333.3333000001</v>
      </c>
      <c r="D30" s="4">
        <v>0.4</v>
      </c>
      <c r="E30" s="7">
        <f t="shared" si="1"/>
        <v>6422266.6666199993</v>
      </c>
      <c r="F30" s="7">
        <f t="shared" si="2"/>
        <v>1834933.3333199993</v>
      </c>
      <c r="G30" s="4">
        <f t="shared" si="3"/>
        <v>0.28571428571428564</v>
      </c>
      <c r="I30" s="7">
        <f t="shared" si="4"/>
        <v>1070.37777777</v>
      </c>
    </row>
    <row r="31" spans="1:9" x14ac:dyDescent="0.25">
      <c r="A31">
        <v>7000</v>
      </c>
      <c r="B31" s="6">
        <f t="shared" si="0"/>
        <v>5341333.3333000001</v>
      </c>
      <c r="D31" s="4">
        <v>0.4</v>
      </c>
      <c r="E31" s="7">
        <f t="shared" si="1"/>
        <v>7477866.6666199993</v>
      </c>
      <c r="F31" s="7">
        <f t="shared" si="2"/>
        <v>2136533.3333199993</v>
      </c>
      <c r="G31" s="4">
        <f t="shared" si="3"/>
        <v>0.28571428571428564</v>
      </c>
      <c r="I31" s="7">
        <f t="shared" si="4"/>
        <v>1068.2666666599998</v>
      </c>
    </row>
    <row r="32" spans="1:9" x14ac:dyDescent="0.25">
      <c r="A32">
        <v>8000</v>
      </c>
      <c r="B32" s="6">
        <f t="shared" si="0"/>
        <v>6095333.3333000001</v>
      </c>
      <c r="D32" s="4">
        <v>0.4</v>
      </c>
      <c r="E32" s="7">
        <f t="shared" si="1"/>
        <v>8533466.6666199993</v>
      </c>
      <c r="F32" s="7">
        <f t="shared" si="2"/>
        <v>2438133.3333199993</v>
      </c>
      <c r="G32" s="4">
        <f t="shared" si="3"/>
        <v>0.28571428571428564</v>
      </c>
      <c r="I32" s="7">
        <f t="shared" si="4"/>
        <v>1066.6833333274999</v>
      </c>
    </row>
    <row r="33" spans="1:9" x14ac:dyDescent="0.25">
      <c r="A33">
        <v>9000</v>
      </c>
      <c r="B33" s="6">
        <f t="shared" si="0"/>
        <v>6849333.3333000001</v>
      </c>
      <c r="D33" s="4">
        <v>0.4</v>
      </c>
      <c r="E33" s="7">
        <f t="shared" si="1"/>
        <v>9589066.6666199993</v>
      </c>
      <c r="F33" s="7">
        <f t="shared" si="2"/>
        <v>2739733.3333199993</v>
      </c>
      <c r="G33" s="4">
        <f t="shared" si="3"/>
        <v>0.28571428571428564</v>
      </c>
      <c r="I33" s="7">
        <f t="shared" si="4"/>
        <v>1065.4518518466666</v>
      </c>
    </row>
    <row r="34" spans="1:9" x14ac:dyDescent="0.25">
      <c r="A34">
        <v>10000</v>
      </c>
      <c r="B34" s="6">
        <f t="shared" si="0"/>
        <v>7603333.3333000001</v>
      </c>
      <c r="D34" s="4">
        <v>0.4</v>
      </c>
      <c r="E34" s="7">
        <f t="shared" si="1"/>
        <v>10644666.666619999</v>
      </c>
      <c r="F34" s="7">
        <f t="shared" si="2"/>
        <v>3041333.3333199993</v>
      </c>
      <c r="G34" s="4">
        <f t="shared" si="3"/>
        <v>0.28571428571428564</v>
      </c>
      <c r="I34" s="7">
        <f t="shared" si="4"/>
        <v>1064.4666666619999</v>
      </c>
    </row>
    <row r="35" spans="1:9" x14ac:dyDescent="0.25">
      <c r="A35">
        <v>15000</v>
      </c>
      <c r="B35" s="6">
        <f t="shared" si="0"/>
        <v>11373333.3333</v>
      </c>
      <c r="D35" s="4">
        <v>0.4</v>
      </c>
      <c r="E35" s="7">
        <f t="shared" si="1"/>
        <v>15922666.666619999</v>
      </c>
      <c r="F35" s="7">
        <f t="shared" si="2"/>
        <v>4549333.3333199993</v>
      </c>
      <c r="G35" s="4">
        <f t="shared" si="3"/>
        <v>0.2857142857142857</v>
      </c>
      <c r="I35" s="7">
        <f t="shared" si="4"/>
        <v>1061.511111108</v>
      </c>
    </row>
    <row r="36" spans="1:9" x14ac:dyDescent="0.25">
      <c r="A36">
        <v>20000</v>
      </c>
      <c r="B36" s="6">
        <f t="shared" si="0"/>
        <v>15143333.3333</v>
      </c>
      <c r="D36" s="4">
        <v>0.4</v>
      </c>
      <c r="E36" s="7">
        <f t="shared" si="1"/>
        <v>21200666.666619997</v>
      </c>
      <c r="F36" s="7">
        <f t="shared" si="2"/>
        <v>6057333.3333199974</v>
      </c>
      <c r="G36" s="4">
        <f t="shared" si="3"/>
        <v>0.28571428571428564</v>
      </c>
      <c r="I36" s="7">
        <f t="shared" si="4"/>
        <v>1060.0333333309998</v>
      </c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g_tính1"/>
  <dimension ref="A1:AC36"/>
  <sheetViews>
    <sheetView workbookViewId="0">
      <selection activeCell="L25" sqref="L25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9" width="12.140625" bestFit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AA2" s="1" t="s">
        <v>45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45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/>
      <c r="K4" s="2"/>
      <c r="L4" s="2"/>
      <c r="M4" s="2"/>
      <c r="AA4" t="s">
        <v>8</v>
      </c>
      <c r="AB4" s="5">
        <f>200000+100000</f>
        <v>300000</v>
      </c>
    </row>
    <row r="5" spans="1:29" x14ac:dyDescent="0.25">
      <c r="A5">
        <v>1</v>
      </c>
      <c r="B5" s="6">
        <f>PhiMayInToner4M(A5)</f>
        <v>64087.333299999998</v>
      </c>
      <c r="D5" s="4">
        <v>0.4</v>
      </c>
      <c r="E5" s="7">
        <f>B5*(1+D5)</f>
        <v>89722.266619999995</v>
      </c>
      <c r="F5" s="7">
        <f>E5-B5</f>
        <v>25634.933319999996</v>
      </c>
      <c r="G5" s="4">
        <f>F5/E5</f>
        <v>0.2857142857142857</v>
      </c>
      <c r="I5" s="7">
        <f>E5/A5</f>
        <v>89722.266619999995</v>
      </c>
      <c r="AA5" t="s">
        <v>9</v>
      </c>
      <c r="AB5" s="5" t="s">
        <v>10</v>
      </c>
    </row>
    <row r="6" spans="1:29" x14ac:dyDescent="0.25">
      <c r="A6">
        <v>50</v>
      </c>
      <c r="B6" s="6">
        <f t="shared" ref="B6:B36" si="0">PhiMayInToner4M(A6)</f>
        <v>101033.3333</v>
      </c>
      <c r="D6" s="4">
        <v>0.5</v>
      </c>
      <c r="E6" s="7">
        <f t="shared" ref="E6:E22" si="1">B6*(1+D6)</f>
        <v>151549.99995</v>
      </c>
      <c r="F6" s="7">
        <f t="shared" ref="F6:F22" si="2">E6-B6</f>
        <v>50516.666649999999</v>
      </c>
      <c r="G6" s="4">
        <f t="shared" ref="G6:G22" si="3">F6/E6</f>
        <v>0.33333333333333331</v>
      </c>
      <c r="I6" s="7">
        <f t="shared" ref="I6:I22" si="4">E6/A6</f>
        <v>3030.9999990000001</v>
      </c>
      <c r="AA6" t="s">
        <v>11</v>
      </c>
      <c r="AB6" s="5">
        <v>300</v>
      </c>
    </row>
    <row r="7" spans="1:29" x14ac:dyDescent="0.25">
      <c r="A7">
        <v>100</v>
      </c>
      <c r="B7" s="6">
        <f t="shared" si="0"/>
        <v>138733.3333</v>
      </c>
      <c r="D7" s="4">
        <v>0.5</v>
      </c>
      <c r="E7" s="7">
        <f t="shared" si="1"/>
        <v>208099.99995</v>
      </c>
      <c r="F7" s="7">
        <f t="shared" si="2"/>
        <v>69366.666649999999</v>
      </c>
      <c r="G7" s="4">
        <f t="shared" si="3"/>
        <v>0.33333333333333331</v>
      </c>
      <c r="I7" s="7">
        <f t="shared" si="4"/>
        <v>2080.9999994999998</v>
      </c>
      <c r="AA7" t="s">
        <v>12</v>
      </c>
      <c r="AB7" s="5">
        <v>500</v>
      </c>
      <c r="AC7" t="s">
        <v>44</v>
      </c>
    </row>
    <row r="8" spans="1:29" x14ac:dyDescent="0.25">
      <c r="A8">
        <v>150</v>
      </c>
      <c r="B8" s="6">
        <f t="shared" si="0"/>
        <v>176433.3333</v>
      </c>
      <c r="D8" s="4">
        <v>0.5</v>
      </c>
      <c r="E8" s="7">
        <f t="shared" si="1"/>
        <v>264649.99994999997</v>
      </c>
      <c r="F8" s="7">
        <f t="shared" si="2"/>
        <v>88216.66664999997</v>
      </c>
      <c r="G8" s="4">
        <f t="shared" si="3"/>
        <v>0.33333333333333326</v>
      </c>
      <c r="I8" s="7">
        <f t="shared" si="4"/>
        <v>1764.3333329999998</v>
      </c>
    </row>
    <row r="9" spans="1:29" x14ac:dyDescent="0.25">
      <c r="A9">
        <v>200</v>
      </c>
      <c r="B9" s="6">
        <f t="shared" si="0"/>
        <v>214133.3333</v>
      </c>
      <c r="D9" s="4">
        <v>0.5</v>
      </c>
      <c r="E9" s="7">
        <f t="shared" si="1"/>
        <v>321199.99994999997</v>
      </c>
      <c r="F9" s="7">
        <f t="shared" si="2"/>
        <v>107066.66664999997</v>
      </c>
      <c r="G9" s="4">
        <f t="shared" si="3"/>
        <v>0.33333333333333326</v>
      </c>
      <c r="I9" s="7">
        <f t="shared" si="4"/>
        <v>1605.9999997499999</v>
      </c>
    </row>
    <row r="10" spans="1:29" x14ac:dyDescent="0.25">
      <c r="A10">
        <v>250</v>
      </c>
      <c r="B10" s="6">
        <f t="shared" si="0"/>
        <v>251833.3333</v>
      </c>
      <c r="D10" s="4">
        <v>0.5</v>
      </c>
      <c r="E10" s="7">
        <f t="shared" si="1"/>
        <v>377749.99994999997</v>
      </c>
      <c r="F10" s="7">
        <f t="shared" si="2"/>
        <v>125916.66664999997</v>
      </c>
      <c r="G10" s="4">
        <f t="shared" si="3"/>
        <v>0.33333333333333326</v>
      </c>
      <c r="I10" s="7">
        <f t="shared" si="4"/>
        <v>1510.9999997999998</v>
      </c>
    </row>
    <row r="11" spans="1:29" x14ac:dyDescent="0.25">
      <c r="A11">
        <v>300</v>
      </c>
      <c r="B11" s="6">
        <f t="shared" si="0"/>
        <v>289533.3333</v>
      </c>
      <c r="D11" s="4">
        <v>0.5</v>
      </c>
      <c r="E11" s="7">
        <f t="shared" si="1"/>
        <v>434299.99994999997</v>
      </c>
      <c r="F11" s="7">
        <f t="shared" si="2"/>
        <v>144766.66664999997</v>
      </c>
      <c r="G11" s="4">
        <f t="shared" si="3"/>
        <v>0.33333333333333331</v>
      </c>
      <c r="I11" s="7">
        <f t="shared" si="4"/>
        <v>1447.6666664999998</v>
      </c>
    </row>
    <row r="12" spans="1:29" x14ac:dyDescent="0.25">
      <c r="A12">
        <v>350</v>
      </c>
      <c r="B12" s="6">
        <f t="shared" si="0"/>
        <v>327233.3333</v>
      </c>
      <c r="D12" s="4">
        <v>0.5</v>
      </c>
      <c r="E12" s="7">
        <f t="shared" si="1"/>
        <v>490849.99994999997</v>
      </c>
      <c r="F12" s="7">
        <f t="shared" si="2"/>
        <v>163616.66664999997</v>
      </c>
      <c r="G12" s="4">
        <f t="shared" si="3"/>
        <v>0.33333333333333331</v>
      </c>
      <c r="I12" s="7">
        <f t="shared" si="4"/>
        <v>1402.4285712857143</v>
      </c>
    </row>
    <row r="13" spans="1:29" x14ac:dyDescent="0.25">
      <c r="A13">
        <v>400</v>
      </c>
      <c r="B13" s="6">
        <f t="shared" si="0"/>
        <v>364933.3333</v>
      </c>
      <c r="D13" s="4">
        <v>0.6</v>
      </c>
      <c r="E13" s="7">
        <f t="shared" si="1"/>
        <v>583893.33328000002</v>
      </c>
      <c r="F13" s="7">
        <f t="shared" si="2"/>
        <v>218959.99998000002</v>
      </c>
      <c r="G13" s="4">
        <f t="shared" si="3"/>
        <v>0.375</v>
      </c>
      <c r="I13" s="7">
        <f t="shared" si="4"/>
        <v>1459.7333332000001</v>
      </c>
    </row>
    <row r="14" spans="1:29" x14ac:dyDescent="0.25">
      <c r="A14">
        <v>450</v>
      </c>
      <c r="B14" s="6">
        <f t="shared" si="0"/>
        <v>402633.3333</v>
      </c>
      <c r="D14" s="4">
        <v>0.6</v>
      </c>
      <c r="E14" s="7">
        <f t="shared" si="1"/>
        <v>644213.33328000002</v>
      </c>
      <c r="F14" s="7">
        <f t="shared" si="2"/>
        <v>241579.99998000002</v>
      </c>
      <c r="G14" s="4">
        <f t="shared" si="3"/>
        <v>0.375</v>
      </c>
      <c r="I14" s="7">
        <f t="shared" si="4"/>
        <v>1431.5851850666668</v>
      </c>
    </row>
    <row r="15" spans="1:29" x14ac:dyDescent="0.25">
      <c r="A15">
        <v>500</v>
      </c>
      <c r="B15" s="6">
        <f t="shared" si="0"/>
        <v>440333.3333</v>
      </c>
      <c r="D15" s="4">
        <v>0.6</v>
      </c>
      <c r="E15" s="7">
        <f t="shared" si="1"/>
        <v>704533.33328000002</v>
      </c>
      <c r="F15" s="7">
        <f t="shared" si="2"/>
        <v>264199.99998000002</v>
      </c>
      <c r="G15" s="4">
        <f t="shared" si="3"/>
        <v>0.375</v>
      </c>
      <c r="I15" s="7">
        <f t="shared" si="4"/>
        <v>1409.0666665599999</v>
      </c>
    </row>
    <row r="16" spans="1:29" x14ac:dyDescent="0.25">
      <c r="A16">
        <v>600</v>
      </c>
      <c r="B16" s="6">
        <f t="shared" si="0"/>
        <v>515733.3333</v>
      </c>
      <c r="D16" s="4">
        <v>0.6</v>
      </c>
      <c r="E16" s="7">
        <f t="shared" si="1"/>
        <v>825173.33328000002</v>
      </c>
      <c r="F16" s="7">
        <f t="shared" si="2"/>
        <v>309439.99998000002</v>
      </c>
      <c r="G16" s="4">
        <f t="shared" si="3"/>
        <v>0.375</v>
      </c>
      <c r="I16" s="7">
        <f t="shared" si="4"/>
        <v>1375.2888888</v>
      </c>
    </row>
    <row r="17" spans="1:9" x14ac:dyDescent="0.25">
      <c r="A17">
        <v>700</v>
      </c>
      <c r="B17" s="6">
        <f t="shared" si="0"/>
        <v>591133.33330000006</v>
      </c>
      <c r="D17" s="4">
        <v>0.6</v>
      </c>
      <c r="E17" s="7">
        <f t="shared" si="1"/>
        <v>945813.33328000014</v>
      </c>
      <c r="F17" s="7">
        <f t="shared" si="2"/>
        <v>354679.99998000008</v>
      </c>
      <c r="G17" s="4">
        <f t="shared" si="3"/>
        <v>0.37500000000000006</v>
      </c>
      <c r="I17" s="7">
        <f t="shared" si="4"/>
        <v>1351.1619046857145</v>
      </c>
    </row>
    <row r="18" spans="1:9" x14ac:dyDescent="0.25">
      <c r="A18">
        <v>800</v>
      </c>
      <c r="B18" s="6">
        <f t="shared" si="0"/>
        <v>666533.33330000006</v>
      </c>
      <c r="D18" s="4">
        <v>0.6</v>
      </c>
      <c r="E18" s="7">
        <f t="shared" si="1"/>
        <v>1066453.3332800001</v>
      </c>
      <c r="F18" s="7">
        <f t="shared" si="2"/>
        <v>399919.99998000008</v>
      </c>
      <c r="G18" s="4">
        <f t="shared" si="3"/>
        <v>0.375</v>
      </c>
      <c r="I18" s="7">
        <f t="shared" si="4"/>
        <v>1333.0666666000002</v>
      </c>
    </row>
    <row r="19" spans="1:9" x14ac:dyDescent="0.25">
      <c r="A19">
        <v>900</v>
      </c>
      <c r="B19" s="6">
        <f t="shared" si="0"/>
        <v>741933.33330000006</v>
      </c>
      <c r="D19" s="4">
        <v>0.6</v>
      </c>
      <c r="E19" s="7">
        <f t="shared" si="1"/>
        <v>1187093.3332800001</v>
      </c>
      <c r="F19" s="7">
        <f t="shared" si="2"/>
        <v>445159.99998000008</v>
      </c>
      <c r="G19" s="4">
        <f t="shared" si="3"/>
        <v>0.375</v>
      </c>
      <c r="I19" s="7">
        <f t="shared" si="4"/>
        <v>1318.9925925333334</v>
      </c>
    </row>
    <row r="20" spans="1:9" x14ac:dyDescent="0.25">
      <c r="A20">
        <v>1000</v>
      </c>
      <c r="B20" s="6">
        <f t="shared" si="0"/>
        <v>817333.33330000006</v>
      </c>
      <c r="D20" s="4">
        <v>0.4</v>
      </c>
      <c r="E20" s="7">
        <f t="shared" si="1"/>
        <v>1144266.66662</v>
      </c>
      <c r="F20" s="7">
        <f t="shared" si="2"/>
        <v>326933.33331999998</v>
      </c>
      <c r="G20" s="4">
        <f t="shared" si="3"/>
        <v>0.2857142857142857</v>
      </c>
      <c r="I20" s="7">
        <f t="shared" si="4"/>
        <v>1144.26666662</v>
      </c>
    </row>
    <row r="21" spans="1:9" x14ac:dyDescent="0.25">
      <c r="A21">
        <v>1200</v>
      </c>
      <c r="B21" s="6">
        <f t="shared" si="0"/>
        <v>968133.33330000006</v>
      </c>
      <c r="D21" s="4">
        <v>0.4</v>
      </c>
      <c r="E21" s="7">
        <f t="shared" si="1"/>
        <v>1355386.66662</v>
      </c>
      <c r="F21" s="7">
        <f t="shared" si="2"/>
        <v>387253.33331999998</v>
      </c>
      <c r="G21" s="4">
        <f t="shared" si="3"/>
        <v>0.2857142857142857</v>
      </c>
      <c r="I21" s="7">
        <f t="shared" si="4"/>
        <v>1129.48888885</v>
      </c>
    </row>
    <row r="22" spans="1:9" x14ac:dyDescent="0.25">
      <c r="A22">
        <v>1400</v>
      </c>
      <c r="B22" s="6">
        <f t="shared" si="0"/>
        <v>1118933.3333000001</v>
      </c>
      <c r="D22" s="4">
        <v>0.4</v>
      </c>
      <c r="E22" s="7">
        <f t="shared" si="1"/>
        <v>1566506.66662</v>
      </c>
      <c r="F22" s="7">
        <f t="shared" si="2"/>
        <v>447573.33331999998</v>
      </c>
      <c r="G22" s="4">
        <f t="shared" si="3"/>
        <v>0.2857142857142857</v>
      </c>
      <c r="I22" s="7">
        <f t="shared" si="4"/>
        <v>1118.9333333</v>
      </c>
    </row>
    <row r="23" spans="1:9" x14ac:dyDescent="0.25">
      <c r="A23">
        <v>1500</v>
      </c>
      <c r="B23" s="6">
        <f t="shared" si="0"/>
        <v>1194333.3333000001</v>
      </c>
      <c r="D23" s="4">
        <v>0.4</v>
      </c>
      <c r="E23" s="7">
        <f t="shared" ref="E23:E36" si="5">B23*(1+D23)</f>
        <v>1672066.66662</v>
      </c>
      <c r="F23" s="7">
        <f t="shared" ref="F23:F36" si="6">E23-B23</f>
        <v>477733.33331999998</v>
      </c>
      <c r="G23" s="4">
        <f t="shared" ref="G23:G36" si="7">F23/E23</f>
        <v>0.2857142857142857</v>
      </c>
      <c r="I23" s="7">
        <f t="shared" ref="I23:I36" si="8">E23/A23</f>
        <v>1114.7111110799999</v>
      </c>
    </row>
    <row r="24" spans="1:9" x14ac:dyDescent="0.25">
      <c r="A24">
        <v>2000</v>
      </c>
      <c r="B24" s="6">
        <f t="shared" si="0"/>
        <v>1571333.3333000001</v>
      </c>
      <c r="D24" s="4">
        <v>0.4</v>
      </c>
      <c r="E24" s="7">
        <f t="shared" si="5"/>
        <v>2199866.6666199998</v>
      </c>
      <c r="F24" s="7">
        <f t="shared" si="6"/>
        <v>628533.33331999974</v>
      </c>
      <c r="G24" s="4">
        <f t="shared" si="7"/>
        <v>0.28571428571428564</v>
      </c>
      <c r="I24" s="7">
        <f t="shared" si="8"/>
        <v>1099.9333333099999</v>
      </c>
    </row>
    <row r="25" spans="1:9" x14ac:dyDescent="0.25">
      <c r="A25">
        <v>2500</v>
      </c>
      <c r="B25" s="6">
        <f t="shared" si="0"/>
        <v>1948333.3333000001</v>
      </c>
      <c r="D25" s="4">
        <v>0.4</v>
      </c>
      <c r="E25" s="7">
        <f t="shared" si="5"/>
        <v>2727666.6666199998</v>
      </c>
      <c r="F25" s="7">
        <f t="shared" si="6"/>
        <v>779333.33331999974</v>
      </c>
      <c r="G25" s="4">
        <f t="shared" si="7"/>
        <v>0.28571428571428564</v>
      </c>
      <c r="I25" s="7">
        <f t="shared" si="8"/>
        <v>1091.0666666479999</v>
      </c>
    </row>
    <row r="26" spans="1:9" x14ac:dyDescent="0.25">
      <c r="A26">
        <v>3000</v>
      </c>
      <c r="B26" s="6">
        <f t="shared" si="0"/>
        <v>2325333.3333000001</v>
      </c>
      <c r="D26" s="4">
        <v>0.4</v>
      </c>
      <c r="E26" s="7">
        <f t="shared" si="5"/>
        <v>3255466.6666199998</v>
      </c>
      <c r="F26" s="7">
        <f t="shared" si="6"/>
        <v>930133.33331999974</v>
      </c>
      <c r="G26" s="4">
        <f t="shared" si="7"/>
        <v>0.28571428571428564</v>
      </c>
      <c r="I26" s="7">
        <f t="shared" si="8"/>
        <v>1085.15555554</v>
      </c>
    </row>
    <row r="27" spans="1:9" x14ac:dyDescent="0.25">
      <c r="A27">
        <v>3500</v>
      </c>
      <c r="B27" s="6">
        <f t="shared" si="0"/>
        <v>2702333.3333000001</v>
      </c>
      <c r="D27" s="4">
        <v>0.4</v>
      </c>
      <c r="E27" s="7">
        <f t="shared" si="5"/>
        <v>3783266.6666199998</v>
      </c>
      <c r="F27" s="7">
        <f t="shared" si="6"/>
        <v>1080933.3333199997</v>
      </c>
      <c r="G27" s="4">
        <f t="shared" si="7"/>
        <v>0.28571428571428564</v>
      </c>
      <c r="I27" s="7">
        <f t="shared" si="8"/>
        <v>1080.93333332</v>
      </c>
    </row>
    <row r="28" spans="1:9" x14ac:dyDescent="0.25">
      <c r="A28">
        <v>4000</v>
      </c>
      <c r="B28" s="6">
        <f t="shared" si="0"/>
        <v>3079333.3333000001</v>
      </c>
      <c r="D28" s="4">
        <v>0.4</v>
      </c>
      <c r="E28" s="7">
        <f t="shared" si="5"/>
        <v>4311066.6666200003</v>
      </c>
      <c r="F28" s="7">
        <f t="shared" si="6"/>
        <v>1231733.3333200002</v>
      </c>
      <c r="G28" s="4">
        <f t="shared" si="7"/>
        <v>0.28571428571428575</v>
      </c>
      <c r="I28" s="7">
        <f t="shared" si="8"/>
        <v>1077.7666666550001</v>
      </c>
    </row>
    <row r="29" spans="1:9" x14ac:dyDescent="0.25">
      <c r="A29">
        <v>5000</v>
      </c>
      <c r="B29" s="6">
        <f t="shared" si="0"/>
        <v>3833333.3333000001</v>
      </c>
      <c r="D29" s="4">
        <v>0.4</v>
      </c>
      <c r="E29" s="7">
        <f t="shared" si="5"/>
        <v>5366666.6666199993</v>
      </c>
      <c r="F29" s="7">
        <f t="shared" si="6"/>
        <v>1533333.3333199993</v>
      </c>
      <c r="G29" s="4">
        <f t="shared" si="7"/>
        <v>0.28571428571428559</v>
      </c>
      <c r="I29" s="7">
        <f t="shared" si="8"/>
        <v>1073.3333333239998</v>
      </c>
    </row>
    <row r="30" spans="1:9" x14ac:dyDescent="0.25">
      <c r="A30">
        <v>6000</v>
      </c>
      <c r="B30" s="6">
        <f t="shared" si="0"/>
        <v>4587333.3333000001</v>
      </c>
      <c r="D30" s="4">
        <v>0.4</v>
      </c>
      <c r="E30" s="7">
        <f t="shared" si="5"/>
        <v>6422266.6666199993</v>
      </c>
      <c r="F30" s="7">
        <f t="shared" si="6"/>
        <v>1834933.3333199993</v>
      </c>
      <c r="G30" s="4">
        <f t="shared" si="7"/>
        <v>0.28571428571428564</v>
      </c>
      <c r="I30" s="7">
        <f t="shared" si="8"/>
        <v>1070.37777777</v>
      </c>
    </row>
    <row r="31" spans="1:9" x14ac:dyDescent="0.25">
      <c r="A31">
        <v>7000</v>
      </c>
      <c r="B31" s="6">
        <f t="shared" si="0"/>
        <v>5341333.3333000001</v>
      </c>
      <c r="D31" s="4">
        <v>0.4</v>
      </c>
      <c r="E31" s="7">
        <f t="shared" si="5"/>
        <v>7477866.6666199993</v>
      </c>
      <c r="F31" s="7">
        <f t="shared" si="6"/>
        <v>2136533.3333199993</v>
      </c>
      <c r="G31" s="4">
        <f t="shared" si="7"/>
        <v>0.28571428571428564</v>
      </c>
      <c r="I31" s="7">
        <f t="shared" si="8"/>
        <v>1068.2666666599998</v>
      </c>
    </row>
    <row r="32" spans="1:9" x14ac:dyDescent="0.25">
      <c r="A32">
        <v>8000</v>
      </c>
      <c r="B32" s="6">
        <f t="shared" si="0"/>
        <v>6095333.3333000001</v>
      </c>
      <c r="D32" s="4">
        <v>0.4</v>
      </c>
      <c r="E32" s="7">
        <f t="shared" si="5"/>
        <v>8533466.6666199993</v>
      </c>
      <c r="F32" s="7">
        <f t="shared" si="6"/>
        <v>2438133.3333199993</v>
      </c>
      <c r="G32" s="4">
        <f t="shared" si="7"/>
        <v>0.28571428571428564</v>
      </c>
      <c r="I32" s="7">
        <f t="shared" si="8"/>
        <v>1066.6833333274999</v>
      </c>
    </row>
    <row r="33" spans="1:9" x14ac:dyDescent="0.25">
      <c r="A33">
        <v>9000</v>
      </c>
      <c r="B33" s="6">
        <f t="shared" si="0"/>
        <v>6849333.3333000001</v>
      </c>
      <c r="D33" s="4">
        <v>0.4</v>
      </c>
      <c r="E33" s="7">
        <f t="shared" si="5"/>
        <v>9589066.6666199993</v>
      </c>
      <c r="F33" s="7">
        <f t="shared" si="6"/>
        <v>2739733.3333199993</v>
      </c>
      <c r="G33" s="4">
        <f t="shared" si="7"/>
        <v>0.28571428571428564</v>
      </c>
      <c r="I33" s="7">
        <f t="shared" si="8"/>
        <v>1065.4518518466666</v>
      </c>
    </row>
    <row r="34" spans="1:9" x14ac:dyDescent="0.25">
      <c r="A34">
        <v>10000</v>
      </c>
      <c r="B34" s="6">
        <f t="shared" si="0"/>
        <v>7603333.3333000001</v>
      </c>
      <c r="D34" s="4">
        <v>0.4</v>
      </c>
      <c r="E34" s="7">
        <f t="shared" si="5"/>
        <v>10644666.666619999</v>
      </c>
      <c r="F34" s="7">
        <f t="shared" si="6"/>
        <v>3041333.3333199993</v>
      </c>
      <c r="G34" s="4">
        <f t="shared" si="7"/>
        <v>0.28571428571428564</v>
      </c>
      <c r="I34" s="7">
        <f t="shared" si="8"/>
        <v>1064.4666666619999</v>
      </c>
    </row>
    <row r="35" spans="1:9" x14ac:dyDescent="0.25">
      <c r="A35">
        <v>15000</v>
      </c>
      <c r="B35" s="6">
        <f t="shared" si="0"/>
        <v>11373333.3333</v>
      </c>
      <c r="D35" s="4">
        <v>0.4</v>
      </c>
      <c r="E35" s="7">
        <f t="shared" si="5"/>
        <v>15922666.666619999</v>
      </c>
      <c r="F35" s="7">
        <f t="shared" si="6"/>
        <v>4549333.3333199993</v>
      </c>
      <c r="G35" s="4">
        <f t="shared" si="7"/>
        <v>0.2857142857142857</v>
      </c>
      <c r="I35" s="7">
        <f t="shared" si="8"/>
        <v>1061.511111108</v>
      </c>
    </row>
    <row r="36" spans="1:9" x14ac:dyDescent="0.25">
      <c r="A36">
        <v>20000</v>
      </c>
      <c r="B36" s="6">
        <f t="shared" si="0"/>
        <v>15143333.3333</v>
      </c>
      <c r="D36" s="4">
        <v>0.4</v>
      </c>
      <c r="E36" s="7">
        <f t="shared" si="5"/>
        <v>21200666.666619997</v>
      </c>
      <c r="F36" s="7">
        <f t="shared" si="6"/>
        <v>6057333.3333199974</v>
      </c>
      <c r="G36" s="4">
        <f t="shared" si="7"/>
        <v>0.28571428571428564</v>
      </c>
      <c r="I36" s="7">
        <f t="shared" si="8"/>
        <v>1060.0333333309998</v>
      </c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BFF2-8889-41B2-BD95-DF7DDE415399}">
  <sheetPr codeName="Trang_tính2"/>
  <dimension ref="A1:AF72"/>
  <sheetViews>
    <sheetView topLeftCell="A4" workbookViewId="0">
      <selection activeCell="B5" sqref="B5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10" width="13.28515625" bestFit="1" customWidth="1"/>
    <col min="27" max="27" width="17.28515625" customWidth="1"/>
    <col min="28" max="28" width="15" bestFit="1" customWidth="1"/>
    <col min="31" max="31" width="26.7109375" customWidth="1"/>
    <col min="32" max="32" width="14" bestFit="1" customWidth="1"/>
  </cols>
  <sheetData>
    <row r="1" spans="1:32" x14ac:dyDescent="0.25">
      <c r="A1" s="1" t="s">
        <v>17</v>
      </c>
      <c r="AA1" s="1" t="s">
        <v>21</v>
      </c>
      <c r="AE1" t="s">
        <v>105</v>
      </c>
    </row>
    <row r="2" spans="1:32" x14ac:dyDescent="0.25">
      <c r="A2" t="s">
        <v>26</v>
      </c>
      <c r="AA2" t="s">
        <v>39</v>
      </c>
    </row>
    <row r="3" spans="1:32" x14ac:dyDescent="0.25">
      <c r="A3" s="1" t="s">
        <v>5</v>
      </c>
      <c r="D3" s="1" t="s">
        <v>4</v>
      </c>
      <c r="I3" s="1" t="s">
        <v>15</v>
      </c>
      <c r="AA3" t="s">
        <v>18</v>
      </c>
      <c r="AB3" t="s">
        <v>19</v>
      </c>
      <c r="AE3" t="s">
        <v>18</v>
      </c>
      <c r="AF3" t="s">
        <v>19</v>
      </c>
    </row>
    <row r="4" spans="1:32" ht="45" x14ac:dyDescent="0.25">
      <c r="A4" s="2" t="s">
        <v>13</v>
      </c>
      <c r="B4" s="2" t="s">
        <v>280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 t="s">
        <v>281</v>
      </c>
      <c r="K4" s="2" t="s">
        <v>282</v>
      </c>
      <c r="L4" s="2"/>
      <c r="M4" s="2"/>
      <c r="R4" t="str">
        <f t="array" ref="R4:S14">_xll.AddinATools.BSFunctions.bs_Sql("SELECT * FROM MARKUP_MARGIN")</f>
        <v>Markup</v>
      </c>
      <c r="S4" t="str">
        <v>Margin</v>
      </c>
      <c r="AA4" s="8" t="s">
        <v>20</v>
      </c>
      <c r="AB4" s="5">
        <v>10000</v>
      </c>
      <c r="AE4" s="8" t="s">
        <v>20</v>
      </c>
      <c r="AF4" s="5">
        <v>100000</v>
      </c>
    </row>
    <row r="5" spans="1:32" x14ac:dyDescent="0.25">
      <c r="A5">
        <v>1</v>
      </c>
      <c r="B5" s="6">
        <f>PhiMayInToner4M(A5)</f>
        <v>64087.333299999998</v>
      </c>
      <c r="D5" s="4">
        <v>0.75</v>
      </c>
      <c r="E5" s="7">
        <f>B5*(1+D5)</f>
        <v>112152.833275</v>
      </c>
      <c r="F5" s="7">
        <f>E5-B5</f>
        <v>48065.499974999999</v>
      </c>
      <c r="G5" s="4">
        <f>F5/E5</f>
        <v>0.42857142857142855</v>
      </c>
      <c r="I5" s="23">
        <f>E5/A5</f>
        <v>112152.833275</v>
      </c>
      <c r="J5" s="7">
        <f>$E5/$A5*2</f>
        <v>224305.66654999999</v>
      </c>
      <c r="K5" s="25">
        <f>$A5/2</f>
        <v>0.5</v>
      </c>
      <c r="R5" s="4">
        <v>0.15</v>
      </c>
      <c r="S5" s="4">
        <v>0.13</v>
      </c>
      <c r="AA5" s="9" t="s">
        <v>22</v>
      </c>
      <c r="AB5" s="5">
        <v>5000</v>
      </c>
      <c r="AE5" s="9" t="s">
        <v>106</v>
      </c>
      <c r="AF5" s="5">
        <v>1500</v>
      </c>
    </row>
    <row r="6" spans="1:32" x14ac:dyDescent="0.25">
      <c r="A6">
        <v>50</v>
      </c>
      <c r="B6" s="6">
        <f t="shared" ref="B6:B36" si="0">PhiMayInToner4M(A6)</f>
        <v>101033.3333</v>
      </c>
      <c r="D6" s="4">
        <v>0.75</v>
      </c>
      <c r="E6" s="7">
        <f t="shared" ref="E6:E36" si="1">B6*(1+D6)</f>
        <v>176808.33327499998</v>
      </c>
      <c r="F6" s="7">
        <f t="shared" ref="F6:F36" si="2">E6-B6</f>
        <v>75774.999974999984</v>
      </c>
      <c r="G6" s="4">
        <f t="shared" ref="G6:G36" si="3">F6/E6</f>
        <v>0.42857142857142855</v>
      </c>
      <c r="I6" s="23">
        <f t="shared" ref="I6:I36" si="4">E6/A6</f>
        <v>3536.1666654999995</v>
      </c>
      <c r="J6" s="7">
        <f t="shared" ref="J6:J36" si="5">$E6/$A6*2</f>
        <v>7072.3333309999989</v>
      </c>
      <c r="K6" s="25">
        <f t="shared" ref="K6:K16" si="6">$A6/2</f>
        <v>25</v>
      </c>
      <c r="R6" s="4">
        <v>0.2</v>
      </c>
      <c r="S6" s="4">
        <v>0.16700000000000001</v>
      </c>
      <c r="AA6" t="s">
        <v>23</v>
      </c>
      <c r="AB6" s="5">
        <v>2000</v>
      </c>
      <c r="AE6" t="s">
        <v>107</v>
      </c>
      <c r="AF6" s="5"/>
    </row>
    <row r="7" spans="1:32" x14ac:dyDescent="0.25">
      <c r="A7">
        <v>100</v>
      </c>
      <c r="B7" s="6">
        <f t="shared" si="0"/>
        <v>138733.3333</v>
      </c>
      <c r="D7" s="4">
        <v>0.75</v>
      </c>
      <c r="E7" s="7">
        <f t="shared" si="1"/>
        <v>242783.33327499998</v>
      </c>
      <c r="F7" s="7">
        <f t="shared" si="2"/>
        <v>104049.99997499998</v>
      </c>
      <c r="G7" s="4">
        <f t="shared" si="3"/>
        <v>0.42857142857142855</v>
      </c>
      <c r="I7" s="23">
        <f t="shared" si="4"/>
        <v>2427.83333275</v>
      </c>
      <c r="J7" s="7">
        <f t="shared" si="5"/>
        <v>4855.6666654999999</v>
      </c>
      <c r="K7" s="25">
        <f t="shared" si="6"/>
        <v>50</v>
      </c>
      <c r="R7" s="4">
        <v>0.25</v>
      </c>
      <c r="S7" s="4">
        <v>0.2</v>
      </c>
      <c r="AA7" t="s">
        <v>24</v>
      </c>
      <c r="AB7" s="5" t="s">
        <v>25</v>
      </c>
      <c r="AE7" t="s">
        <v>109</v>
      </c>
      <c r="AF7" s="5"/>
    </row>
    <row r="8" spans="1:32" x14ac:dyDescent="0.25">
      <c r="A8">
        <v>150</v>
      </c>
      <c r="B8" s="6">
        <f t="shared" si="0"/>
        <v>176433.3333</v>
      </c>
      <c r="D8" s="4">
        <v>0.75</v>
      </c>
      <c r="E8" s="7">
        <f t="shared" si="1"/>
        <v>308758.33327499998</v>
      </c>
      <c r="F8" s="7">
        <f t="shared" si="2"/>
        <v>132324.99997499998</v>
      </c>
      <c r="G8" s="4">
        <f t="shared" si="3"/>
        <v>0.42857142857142855</v>
      </c>
      <c r="I8" s="23">
        <f t="shared" si="4"/>
        <v>2058.3888884999997</v>
      </c>
      <c r="J8" s="7">
        <f t="shared" si="5"/>
        <v>4116.7777769999993</v>
      </c>
      <c r="K8" s="25">
        <f t="shared" si="6"/>
        <v>75</v>
      </c>
      <c r="R8" s="4">
        <v>0.3</v>
      </c>
      <c r="S8" s="4">
        <v>0.23</v>
      </c>
      <c r="AB8" s="5"/>
    </row>
    <row r="9" spans="1:32" ht="15.75" thickBot="1" x14ac:dyDescent="0.3">
      <c r="A9">
        <v>200</v>
      </c>
      <c r="B9" s="6">
        <f t="shared" si="0"/>
        <v>214133.3333</v>
      </c>
      <c r="D9" s="4">
        <v>0.75</v>
      </c>
      <c r="E9" s="7">
        <f t="shared" si="1"/>
        <v>374733.33327499998</v>
      </c>
      <c r="F9" s="7">
        <f t="shared" si="2"/>
        <v>160599.99997499998</v>
      </c>
      <c r="G9" s="4">
        <f t="shared" si="3"/>
        <v>0.42857142857142855</v>
      </c>
      <c r="I9" s="23">
        <f t="shared" si="4"/>
        <v>1873.666666375</v>
      </c>
      <c r="J9" s="7">
        <f t="shared" si="5"/>
        <v>3747.33333275</v>
      </c>
      <c r="K9" s="25">
        <f t="shared" si="6"/>
        <v>100</v>
      </c>
      <c r="R9" s="4">
        <v>0.33300000000000002</v>
      </c>
      <c r="S9" s="4">
        <v>0.25</v>
      </c>
      <c r="AA9" t="s">
        <v>28</v>
      </c>
    </row>
    <row r="10" spans="1:32" ht="33.75" thickBot="1" x14ac:dyDescent="0.3">
      <c r="A10">
        <v>250</v>
      </c>
      <c r="B10" s="6">
        <f t="shared" si="0"/>
        <v>251833.3333</v>
      </c>
      <c r="D10" s="4">
        <v>0.75</v>
      </c>
      <c r="E10" s="7">
        <f t="shared" si="1"/>
        <v>440708.33327499998</v>
      </c>
      <c r="F10" s="7">
        <f t="shared" si="2"/>
        <v>188874.99997499998</v>
      </c>
      <c r="G10" s="4">
        <f t="shared" si="3"/>
        <v>0.42857142857142855</v>
      </c>
      <c r="I10" s="23">
        <f t="shared" si="4"/>
        <v>1762.8333330999999</v>
      </c>
      <c r="J10" s="7">
        <f t="shared" si="5"/>
        <v>3525.6666661999998</v>
      </c>
      <c r="K10" s="25">
        <f t="shared" si="6"/>
        <v>125</v>
      </c>
      <c r="R10" s="4">
        <v>0.4</v>
      </c>
      <c r="S10" s="4">
        <v>0.28599999999999998</v>
      </c>
      <c r="AA10" s="10" t="s">
        <v>29</v>
      </c>
      <c r="AB10" s="11" t="s">
        <v>30</v>
      </c>
      <c r="AC10" s="11" t="s">
        <v>16</v>
      </c>
    </row>
    <row r="11" spans="1:32" ht="17.25" thickBot="1" x14ac:dyDescent="0.3">
      <c r="A11">
        <v>300</v>
      </c>
      <c r="B11" s="6">
        <f t="shared" si="0"/>
        <v>289533.3333</v>
      </c>
      <c r="D11" s="4">
        <v>0.75</v>
      </c>
      <c r="E11" s="7">
        <f t="shared" si="1"/>
        <v>506683.33327499998</v>
      </c>
      <c r="F11" s="7">
        <f t="shared" si="2"/>
        <v>217149.99997499998</v>
      </c>
      <c r="G11" s="4">
        <f t="shared" si="3"/>
        <v>0.42857142857142855</v>
      </c>
      <c r="I11" s="23">
        <f t="shared" si="4"/>
        <v>1688.9444442499998</v>
      </c>
      <c r="J11" s="7">
        <f t="shared" si="5"/>
        <v>3377.8888884999997</v>
      </c>
      <c r="K11" s="25">
        <f t="shared" si="6"/>
        <v>150</v>
      </c>
      <c r="R11" s="4">
        <v>0.43</v>
      </c>
      <c r="S11" s="4">
        <v>0.3</v>
      </c>
      <c r="AA11" s="12">
        <v>100</v>
      </c>
      <c r="AB11" s="13" t="s">
        <v>31</v>
      </c>
      <c r="AC11" s="13">
        <v>3000</v>
      </c>
    </row>
    <row r="12" spans="1:32" ht="17.25" thickBot="1" x14ac:dyDescent="0.3">
      <c r="A12">
        <v>350</v>
      </c>
      <c r="B12" s="6">
        <f t="shared" si="0"/>
        <v>327233.3333</v>
      </c>
      <c r="D12" s="4">
        <v>0.75</v>
      </c>
      <c r="E12" s="7">
        <f t="shared" si="1"/>
        <v>572658.33327499998</v>
      </c>
      <c r="F12" s="7">
        <f t="shared" si="2"/>
        <v>245424.99997499998</v>
      </c>
      <c r="G12" s="4">
        <f t="shared" si="3"/>
        <v>0.42857142857142855</v>
      </c>
      <c r="I12" s="23">
        <f t="shared" si="4"/>
        <v>1636.1666665</v>
      </c>
      <c r="J12" s="7">
        <f t="shared" si="5"/>
        <v>3272.333333</v>
      </c>
      <c r="K12" s="25">
        <f t="shared" si="6"/>
        <v>175</v>
      </c>
      <c r="R12" s="4">
        <v>0.5</v>
      </c>
      <c r="S12" s="4">
        <v>0.33</v>
      </c>
      <c r="AA12" s="12">
        <v>200</v>
      </c>
      <c r="AB12" s="13" t="s">
        <v>32</v>
      </c>
      <c r="AC12" s="13">
        <v>2250</v>
      </c>
    </row>
    <row r="13" spans="1:32" ht="17.25" thickBot="1" x14ac:dyDescent="0.3">
      <c r="A13">
        <v>400</v>
      </c>
      <c r="B13" s="6">
        <f t="shared" si="0"/>
        <v>364933.3333</v>
      </c>
      <c r="D13" s="4">
        <v>0.75</v>
      </c>
      <c r="E13" s="7">
        <f t="shared" si="1"/>
        <v>638633.33327499998</v>
      </c>
      <c r="F13" s="7">
        <f t="shared" si="2"/>
        <v>273699.99997499998</v>
      </c>
      <c r="G13" s="4">
        <f t="shared" si="3"/>
        <v>0.42857142857142855</v>
      </c>
      <c r="I13" s="23">
        <f t="shared" si="4"/>
        <v>1596.5833331874999</v>
      </c>
      <c r="J13" s="7">
        <f t="shared" si="5"/>
        <v>3193.1666663749997</v>
      </c>
      <c r="K13" s="25">
        <f t="shared" si="6"/>
        <v>200</v>
      </c>
      <c r="R13" s="4">
        <v>0.75</v>
      </c>
      <c r="S13" s="4">
        <v>0.42899999999999999</v>
      </c>
      <c r="AA13" s="12">
        <v>300</v>
      </c>
      <c r="AB13" s="13" t="s">
        <v>33</v>
      </c>
      <c r="AC13" s="13">
        <v>1850</v>
      </c>
    </row>
    <row r="14" spans="1:32" ht="17.25" thickBot="1" x14ac:dyDescent="0.3">
      <c r="A14">
        <v>450</v>
      </c>
      <c r="B14" s="6">
        <f t="shared" si="0"/>
        <v>402633.3333</v>
      </c>
      <c r="D14" s="4">
        <v>0.75</v>
      </c>
      <c r="E14" s="7">
        <f t="shared" si="1"/>
        <v>704608.33327499998</v>
      </c>
      <c r="F14" s="7">
        <f t="shared" si="2"/>
        <v>301974.99997499998</v>
      </c>
      <c r="G14" s="4">
        <f t="shared" si="3"/>
        <v>0.42857142857142855</v>
      </c>
      <c r="I14" s="23">
        <f t="shared" si="4"/>
        <v>1565.7962961666667</v>
      </c>
      <c r="J14" s="7">
        <f t="shared" si="5"/>
        <v>3131.5925923333334</v>
      </c>
      <c r="K14" s="25">
        <f t="shared" si="6"/>
        <v>225</v>
      </c>
      <c r="R14" s="4">
        <v>1</v>
      </c>
      <c r="S14" s="4">
        <v>0.5</v>
      </c>
      <c r="AA14" s="12">
        <v>400</v>
      </c>
      <c r="AB14" s="13" t="s">
        <v>34</v>
      </c>
      <c r="AC14" s="13">
        <v>1.625</v>
      </c>
    </row>
    <row r="15" spans="1:32" ht="17.25" thickBot="1" x14ac:dyDescent="0.3">
      <c r="A15">
        <v>500</v>
      </c>
      <c r="B15" s="6">
        <f t="shared" si="0"/>
        <v>440333.3333</v>
      </c>
      <c r="D15" s="4">
        <v>0.75</v>
      </c>
      <c r="E15" s="7">
        <f t="shared" si="1"/>
        <v>770583.33327499998</v>
      </c>
      <c r="F15" s="7">
        <f t="shared" si="2"/>
        <v>330249.99997499998</v>
      </c>
      <c r="G15" s="4">
        <f t="shared" si="3"/>
        <v>0.42857142857142855</v>
      </c>
      <c r="I15" s="23">
        <f t="shared" si="4"/>
        <v>1541.1666665499999</v>
      </c>
      <c r="J15" s="7">
        <f t="shared" si="5"/>
        <v>3082.3333330999999</v>
      </c>
      <c r="K15" s="25">
        <f t="shared" si="6"/>
        <v>250</v>
      </c>
      <c r="AA15" s="12">
        <v>500</v>
      </c>
      <c r="AB15" s="13" t="s">
        <v>35</v>
      </c>
      <c r="AC15" s="13">
        <v>1500</v>
      </c>
    </row>
    <row r="16" spans="1:32" ht="17.25" thickBot="1" x14ac:dyDescent="0.3">
      <c r="A16">
        <v>600</v>
      </c>
      <c r="B16" s="6">
        <f t="shared" si="0"/>
        <v>515733.3333</v>
      </c>
      <c r="D16" s="4">
        <v>0.75</v>
      </c>
      <c r="E16" s="7">
        <f t="shared" si="1"/>
        <v>902533.33327499998</v>
      </c>
      <c r="F16" s="7">
        <f t="shared" si="2"/>
        <v>386799.99997499998</v>
      </c>
      <c r="G16" s="4">
        <f t="shared" si="3"/>
        <v>0.42857142857142855</v>
      </c>
      <c r="I16" s="23">
        <f>E16/A16</f>
        <v>1504.2222221249999</v>
      </c>
      <c r="J16" s="7">
        <f t="shared" si="5"/>
        <v>3008.4444442499998</v>
      </c>
      <c r="K16" s="25">
        <f t="shared" si="6"/>
        <v>300</v>
      </c>
      <c r="AA16" s="12">
        <v>1000</v>
      </c>
      <c r="AB16" s="13" t="s">
        <v>36</v>
      </c>
      <c r="AC16" s="13">
        <v>1400</v>
      </c>
    </row>
    <row r="17" spans="1:32" ht="17.25" thickBot="1" x14ac:dyDescent="0.3">
      <c r="A17">
        <v>700</v>
      </c>
      <c r="B17" s="6">
        <f t="shared" si="0"/>
        <v>591133.33330000006</v>
      </c>
      <c r="D17" s="4">
        <v>0.75</v>
      </c>
      <c r="E17" s="7">
        <f t="shared" si="1"/>
        <v>1034483.3332750001</v>
      </c>
      <c r="F17" s="7">
        <f t="shared" si="2"/>
        <v>443349.99997500004</v>
      </c>
      <c r="G17" s="4">
        <f t="shared" si="3"/>
        <v>0.42857142857142855</v>
      </c>
      <c r="I17" s="7">
        <f t="shared" si="4"/>
        <v>1477.8333332500001</v>
      </c>
      <c r="J17" s="7">
        <f t="shared" si="5"/>
        <v>2955.6666665000002</v>
      </c>
      <c r="K17" s="25"/>
      <c r="AA17" s="12">
        <v>5000</v>
      </c>
      <c r="AB17" s="13" t="s">
        <v>37</v>
      </c>
      <c r="AC17" s="13">
        <v>1200</v>
      </c>
    </row>
    <row r="18" spans="1:32" ht="17.25" thickBot="1" x14ac:dyDescent="0.3">
      <c r="A18">
        <v>800</v>
      </c>
      <c r="B18" s="6">
        <f t="shared" si="0"/>
        <v>666533.33330000006</v>
      </c>
      <c r="D18" s="4">
        <v>0.75</v>
      </c>
      <c r="E18" s="7">
        <f t="shared" si="1"/>
        <v>1166433.3332750001</v>
      </c>
      <c r="F18" s="7">
        <f t="shared" si="2"/>
        <v>499899.99997500004</v>
      </c>
      <c r="G18" s="4">
        <f t="shared" si="3"/>
        <v>0.42857142857142855</v>
      </c>
      <c r="I18" s="7">
        <f t="shared" si="4"/>
        <v>1458.0416665937501</v>
      </c>
      <c r="J18" s="7">
        <f t="shared" si="5"/>
        <v>2916.0833331875001</v>
      </c>
      <c r="K18" s="25"/>
      <c r="AA18" s="12">
        <v>10000</v>
      </c>
      <c r="AB18" s="13" t="s">
        <v>38</v>
      </c>
      <c r="AC18" s="13">
        <v>1000</v>
      </c>
    </row>
    <row r="19" spans="1:32" ht="17.25" thickBot="1" x14ac:dyDescent="0.3">
      <c r="A19">
        <v>900</v>
      </c>
      <c r="B19" s="6">
        <f t="shared" si="0"/>
        <v>741933.33330000006</v>
      </c>
      <c r="D19" s="4">
        <v>0.75</v>
      </c>
      <c r="E19" s="7">
        <f t="shared" si="1"/>
        <v>1298383.3332750001</v>
      </c>
      <c r="F19" s="7">
        <f t="shared" si="2"/>
        <v>556449.99997500004</v>
      </c>
      <c r="G19" s="4">
        <f t="shared" si="3"/>
        <v>0.42857142857142855</v>
      </c>
      <c r="I19" s="7">
        <f t="shared" si="4"/>
        <v>1442.6481480833334</v>
      </c>
      <c r="J19" s="7">
        <f t="shared" si="5"/>
        <v>2885.2962961666667</v>
      </c>
      <c r="K19" s="25"/>
      <c r="AA19" s="12"/>
      <c r="AB19" s="13"/>
      <c r="AC19" s="13"/>
    </row>
    <row r="20" spans="1:32" x14ac:dyDescent="0.25">
      <c r="A20">
        <v>1000</v>
      </c>
      <c r="B20" s="6">
        <f t="shared" si="0"/>
        <v>817333.33330000006</v>
      </c>
      <c r="D20" s="4">
        <v>0.75</v>
      </c>
      <c r="E20" s="7">
        <f t="shared" si="1"/>
        <v>1430333.3332750001</v>
      </c>
      <c r="F20" s="7">
        <f t="shared" si="2"/>
        <v>612999.99997500004</v>
      </c>
      <c r="G20" s="4">
        <f t="shared" si="3"/>
        <v>0.42857142857142855</v>
      </c>
      <c r="I20" s="7">
        <f t="shared" si="4"/>
        <v>1430.3333332750001</v>
      </c>
      <c r="J20" s="7">
        <f t="shared" si="5"/>
        <v>2860.6666665500002</v>
      </c>
      <c r="K20" s="25"/>
    </row>
    <row r="21" spans="1:32" x14ac:dyDescent="0.25">
      <c r="A21">
        <v>1200</v>
      </c>
      <c r="B21" s="6">
        <f t="shared" si="0"/>
        <v>968133.33330000006</v>
      </c>
      <c r="D21" s="4">
        <v>0.75</v>
      </c>
      <c r="E21" s="7">
        <f t="shared" si="1"/>
        <v>1694233.3332750001</v>
      </c>
      <c r="F21" s="7">
        <f t="shared" si="2"/>
        <v>726099.99997500004</v>
      </c>
      <c r="G21" s="4">
        <f t="shared" si="3"/>
        <v>0.42857142857142855</v>
      </c>
      <c r="I21" s="7">
        <f t="shared" si="4"/>
        <v>1411.8611110625002</v>
      </c>
      <c r="J21" s="7">
        <f t="shared" si="5"/>
        <v>2823.7222221250004</v>
      </c>
      <c r="K21" s="25"/>
    </row>
    <row r="22" spans="1:32" ht="16.5" x14ac:dyDescent="0.25">
      <c r="A22">
        <v>1400</v>
      </c>
      <c r="B22" s="6">
        <f t="shared" si="0"/>
        <v>1118933.3333000001</v>
      </c>
      <c r="D22" s="4">
        <v>0.75</v>
      </c>
      <c r="E22" s="7">
        <f t="shared" si="1"/>
        <v>1958133.3332750001</v>
      </c>
      <c r="F22" s="7">
        <f t="shared" si="2"/>
        <v>839199.99997500004</v>
      </c>
      <c r="G22" s="4">
        <f t="shared" si="3"/>
        <v>0.42857142857142855</v>
      </c>
      <c r="I22" s="7">
        <f t="shared" si="4"/>
        <v>1398.6666666250001</v>
      </c>
      <c r="J22" s="7">
        <f t="shared" si="5"/>
        <v>2797.3333332500001</v>
      </c>
      <c r="K22" s="25"/>
      <c r="AA22" s="16" t="s">
        <v>56</v>
      </c>
      <c r="AE22" s="16" t="s">
        <v>56</v>
      </c>
    </row>
    <row r="23" spans="1:32" ht="83.25" thickBot="1" x14ac:dyDescent="0.3">
      <c r="A23">
        <v>1500</v>
      </c>
      <c r="B23" s="6">
        <f t="shared" si="0"/>
        <v>1194333.3333000001</v>
      </c>
      <c r="D23" s="4">
        <v>0.4</v>
      </c>
      <c r="E23" s="7">
        <f t="shared" si="1"/>
        <v>1672066.66662</v>
      </c>
      <c r="F23" s="7">
        <f t="shared" si="2"/>
        <v>477733.33331999998</v>
      </c>
      <c r="G23" s="4">
        <f t="shared" si="3"/>
        <v>0.2857142857142857</v>
      </c>
      <c r="I23" s="7">
        <f t="shared" si="4"/>
        <v>1114.7111110799999</v>
      </c>
      <c r="J23" s="7">
        <f t="shared" si="5"/>
        <v>2229.4222221599998</v>
      </c>
      <c r="AA23" s="18" t="s">
        <v>57</v>
      </c>
      <c r="AE23" s="16" t="s">
        <v>57</v>
      </c>
    </row>
    <row r="24" spans="1:32" ht="50.25" thickBot="1" x14ac:dyDescent="0.3">
      <c r="A24">
        <v>2000</v>
      </c>
      <c r="B24" s="6">
        <f t="shared" si="0"/>
        <v>1571333.3333000001</v>
      </c>
      <c r="D24" s="4">
        <v>0.4</v>
      </c>
      <c r="E24" s="7">
        <f t="shared" si="1"/>
        <v>2199866.6666199998</v>
      </c>
      <c r="F24" s="7">
        <f t="shared" si="2"/>
        <v>628533.33331999974</v>
      </c>
      <c r="G24" s="4">
        <f t="shared" si="3"/>
        <v>0.28571428571428564</v>
      </c>
      <c r="I24" s="7">
        <f t="shared" si="4"/>
        <v>1099.9333333099999</v>
      </c>
      <c r="J24" s="7">
        <f t="shared" si="5"/>
        <v>2199.8666666199997</v>
      </c>
      <c r="AA24" s="10" t="s">
        <v>58</v>
      </c>
      <c r="AB24" s="11" t="s">
        <v>19</v>
      </c>
      <c r="AE24" s="10" t="s">
        <v>58</v>
      </c>
      <c r="AF24" s="11" t="s">
        <v>19</v>
      </c>
    </row>
    <row r="25" spans="1:32" ht="17.25" thickBot="1" x14ac:dyDescent="0.3">
      <c r="A25">
        <v>2500</v>
      </c>
      <c r="B25" s="6">
        <f t="shared" si="0"/>
        <v>1948333.3333000001</v>
      </c>
      <c r="D25" s="4">
        <v>0.4</v>
      </c>
      <c r="E25" s="7">
        <f t="shared" si="1"/>
        <v>2727666.6666199998</v>
      </c>
      <c r="F25" s="7">
        <f t="shared" si="2"/>
        <v>779333.33331999974</v>
      </c>
      <c r="G25" s="4">
        <f t="shared" si="3"/>
        <v>0.28571428571428564</v>
      </c>
      <c r="I25" s="7">
        <f t="shared" si="4"/>
        <v>1091.0666666479999</v>
      </c>
      <c r="J25" s="7">
        <f t="shared" si="5"/>
        <v>2182.1333332959998</v>
      </c>
      <c r="AA25" s="12"/>
      <c r="AB25" s="13" t="s">
        <v>59</v>
      </c>
      <c r="AE25" s="12"/>
      <c r="AF25" s="13" t="s">
        <v>108</v>
      </c>
    </row>
    <row r="26" spans="1:32" ht="17.25" thickBot="1" x14ac:dyDescent="0.3">
      <c r="A26">
        <v>3000</v>
      </c>
      <c r="B26" s="6">
        <f t="shared" si="0"/>
        <v>2325333.3333000001</v>
      </c>
      <c r="D26" s="4">
        <v>0.4</v>
      </c>
      <c r="E26" s="7">
        <f t="shared" si="1"/>
        <v>3255466.6666199998</v>
      </c>
      <c r="F26" s="7">
        <f t="shared" si="2"/>
        <v>930133.33331999974</v>
      </c>
      <c r="G26" s="4">
        <f t="shared" si="3"/>
        <v>0.28571428571428564</v>
      </c>
      <c r="I26" s="7">
        <f t="shared" si="4"/>
        <v>1085.15555554</v>
      </c>
      <c r="J26" s="7">
        <f t="shared" si="5"/>
        <v>2170.31111108</v>
      </c>
      <c r="AA26" s="12"/>
      <c r="AB26" s="13"/>
      <c r="AE26" s="12"/>
      <c r="AF26" s="13"/>
    </row>
    <row r="27" spans="1:32" ht="16.5" x14ac:dyDescent="0.25">
      <c r="A27">
        <v>3500</v>
      </c>
      <c r="B27" s="6">
        <f t="shared" si="0"/>
        <v>2702333.3333000001</v>
      </c>
      <c r="D27" s="4">
        <v>0.4</v>
      </c>
      <c r="E27" s="7">
        <f t="shared" si="1"/>
        <v>3783266.6666199998</v>
      </c>
      <c r="F27" s="7">
        <f t="shared" si="2"/>
        <v>1080933.3333199997</v>
      </c>
      <c r="G27" s="4">
        <f t="shared" si="3"/>
        <v>0.28571428571428564</v>
      </c>
      <c r="I27" s="7">
        <f t="shared" si="4"/>
        <v>1080.93333332</v>
      </c>
      <c r="J27" s="7">
        <f t="shared" si="5"/>
        <v>2161.8666666399999</v>
      </c>
      <c r="AA27" s="15"/>
    </row>
    <row r="28" spans="1:32" ht="17.25" thickBot="1" x14ac:dyDescent="0.3">
      <c r="A28">
        <v>4000</v>
      </c>
      <c r="B28" s="6">
        <f t="shared" si="0"/>
        <v>3079333.3333000001</v>
      </c>
      <c r="D28" s="4">
        <v>0.4</v>
      </c>
      <c r="E28" s="7">
        <f t="shared" si="1"/>
        <v>4311066.6666200003</v>
      </c>
      <c r="F28" s="7">
        <f t="shared" si="2"/>
        <v>1231733.3333200002</v>
      </c>
      <c r="G28" s="4">
        <f t="shared" si="3"/>
        <v>0.28571428571428575</v>
      </c>
      <c r="I28" s="7">
        <f t="shared" si="4"/>
        <v>1077.7666666550001</v>
      </c>
      <c r="J28" s="7">
        <f t="shared" si="5"/>
        <v>2155.5333333100002</v>
      </c>
      <c r="AA28" s="16" t="s">
        <v>60</v>
      </c>
    </row>
    <row r="29" spans="1:32" ht="50.25" thickBot="1" x14ac:dyDescent="0.3">
      <c r="A29">
        <v>5000</v>
      </c>
      <c r="B29" s="6">
        <f t="shared" si="0"/>
        <v>3833333.3333000001</v>
      </c>
      <c r="D29" s="4">
        <v>0.4</v>
      </c>
      <c r="E29" s="7">
        <f t="shared" si="1"/>
        <v>5366666.6666199993</v>
      </c>
      <c r="F29" s="7">
        <f t="shared" si="2"/>
        <v>1533333.3333199993</v>
      </c>
      <c r="G29" s="4">
        <f t="shared" si="3"/>
        <v>0.28571428571428559</v>
      </c>
      <c r="I29" s="7">
        <f t="shared" si="4"/>
        <v>1073.3333333239998</v>
      </c>
      <c r="J29" s="7">
        <f t="shared" si="5"/>
        <v>2146.6666666479996</v>
      </c>
      <c r="AA29" s="10" t="s">
        <v>61</v>
      </c>
      <c r="AB29" s="11" t="s">
        <v>62</v>
      </c>
    </row>
    <row r="30" spans="1:32" ht="50.25" thickBot="1" x14ac:dyDescent="0.3">
      <c r="A30">
        <v>6000</v>
      </c>
      <c r="B30" s="6">
        <f t="shared" si="0"/>
        <v>4587333.3333000001</v>
      </c>
      <c r="D30" s="4">
        <v>0.4</v>
      </c>
      <c r="E30" s="7">
        <f t="shared" si="1"/>
        <v>6422266.6666199993</v>
      </c>
      <c r="F30" s="7">
        <f t="shared" si="2"/>
        <v>1834933.3333199993</v>
      </c>
      <c r="G30" s="4">
        <f t="shared" si="3"/>
        <v>0.28571428571428564</v>
      </c>
      <c r="I30" s="7">
        <f t="shared" si="4"/>
        <v>1070.37777777</v>
      </c>
      <c r="J30" s="7">
        <f t="shared" si="5"/>
        <v>2140.7555555399999</v>
      </c>
      <c r="AA30" s="12" t="s">
        <v>63</v>
      </c>
      <c r="AB30" s="13" t="s">
        <v>62</v>
      </c>
    </row>
    <row r="31" spans="1:32" ht="50.25" thickBot="1" x14ac:dyDescent="0.3">
      <c r="A31">
        <v>7000</v>
      </c>
      <c r="B31" s="6">
        <f t="shared" si="0"/>
        <v>5341333.3333000001</v>
      </c>
      <c r="D31" s="4">
        <v>0.4</v>
      </c>
      <c r="E31" s="7">
        <f t="shared" si="1"/>
        <v>7477866.6666199993</v>
      </c>
      <c r="F31" s="7">
        <f t="shared" si="2"/>
        <v>2136533.3333199993</v>
      </c>
      <c r="G31" s="4">
        <f t="shared" si="3"/>
        <v>0.28571428571428564</v>
      </c>
      <c r="I31" s="7">
        <f t="shared" si="4"/>
        <v>1068.2666666599998</v>
      </c>
      <c r="J31" s="7">
        <f t="shared" si="5"/>
        <v>2136.5333333199997</v>
      </c>
      <c r="AA31" s="12" t="s">
        <v>63</v>
      </c>
      <c r="AB31" s="13" t="s">
        <v>65</v>
      </c>
    </row>
    <row r="32" spans="1:32" ht="16.5" x14ac:dyDescent="0.25">
      <c r="A32">
        <v>8000</v>
      </c>
      <c r="B32" s="6">
        <f t="shared" si="0"/>
        <v>6095333.3333000001</v>
      </c>
      <c r="D32" s="4">
        <v>0.4</v>
      </c>
      <c r="E32" s="7">
        <f t="shared" si="1"/>
        <v>8533466.6666199993</v>
      </c>
      <c r="F32" s="7">
        <f t="shared" si="2"/>
        <v>2438133.3333199993</v>
      </c>
      <c r="G32" s="4">
        <f t="shared" si="3"/>
        <v>0.28571428571428564</v>
      </c>
      <c r="I32" s="7">
        <f t="shared" si="4"/>
        <v>1066.6833333274999</v>
      </c>
      <c r="J32" s="7">
        <f t="shared" si="5"/>
        <v>2133.3666666549998</v>
      </c>
      <c r="AA32" s="14" t="s">
        <v>64</v>
      </c>
    </row>
    <row r="33" spans="1:10" x14ac:dyDescent="0.25">
      <c r="A33">
        <v>9000</v>
      </c>
      <c r="B33" s="6">
        <f t="shared" si="0"/>
        <v>6849333.3333000001</v>
      </c>
      <c r="D33" s="4">
        <v>0.4</v>
      </c>
      <c r="E33" s="7">
        <f t="shared" si="1"/>
        <v>9589066.6666199993</v>
      </c>
      <c r="F33" s="7">
        <f t="shared" si="2"/>
        <v>2739733.3333199993</v>
      </c>
      <c r="G33" s="4">
        <f t="shared" si="3"/>
        <v>0.28571428571428564</v>
      </c>
      <c r="I33" s="7">
        <f t="shared" si="4"/>
        <v>1065.4518518466666</v>
      </c>
      <c r="J33" s="7">
        <f t="shared" si="5"/>
        <v>2130.9037036933332</v>
      </c>
    </row>
    <row r="34" spans="1:10" x14ac:dyDescent="0.25">
      <c r="A34">
        <v>10000</v>
      </c>
      <c r="B34" s="6">
        <f t="shared" si="0"/>
        <v>7603333.3333000001</v>
      </c>
      <c r="D34" s="4">
        <v>0.4</v>
      </c>
      <c r="E34" s="7">
        <f t="shared" si="1"/>
        <v>10644666.666619999</v>
      </c>
      <c r="F34" s="7">
        <f t="shared" si="2"/>
        <v>3041333.3333199993</v>
      </c>
      <c r="G34" s="4">
        <f t="shared" si="3"/>
        <v>0.28571428571428564</v>
      </c>
      <c r="I34" s="7">
        <f t="shared" si="4"/>
        <v>1064.4666666619999</v>
      </c>
      <c r="J34" s="7">
        <f t="shared" si="5"/>
        <v>2128.9333333239997</v>
      </c>
    </row>
    <row r="35" spans="1:10" x14ac:dyDescent="0.25">
      <c r="A35">
        <v>15000</v>
      </c>
      <c r="B35" s="6">
        <f t="shared" si="0"/>
        <v>11373333.3333</v>
      </c>
      <c r="D35" s="4">
        <v>0.4</v>
      </c>
      <c r="E35" s="7">
        <f t="shared" si="1"/>
        <v>15922666.666619999</v>
      </c>
      <c r="F35" s="7">
        <f t="shared" si="2"/>
        <v>4549333.3333199993</v>
      </c>
      <c r="G35" s="4">
        <f t="shared" si="3"/>
        <v>0.2857142857142857</v>
      </c>
      <c r="I35" s="7">
        <f t="shared" si="4"/>
        <v>1061.511111108</v>
      </c>
      <c r="J35" s="7">
        <f t="shared" si="5"/>
        <v>2123.022222216</v>
      </c>
    </row>
    <row r="36" spans="1:10" x14ac:dyDescent="0.25">
      <c r="A36">
        <v>20000</v>
      </c>
      <c r="B36" s="6">
        <f t="shared" si="0"/>
        <v>15143333.3333</v>
      </c>
      <c r="D36" s="4">
        <v>0.4</v>
      </c>
      <c r="E36" s="7">
        <f t="shared" si="1"/>
        <v>21200666.666619997</v>
      </c>
      <c r="F36" s="7">
        <f t="shared" si="2"/>
        <v>6057333.3333199974</v>
      </c>
      <c r="G36" s="4">
        <f t="shared" si="3"/>
        <v>0.28571428571428564</v>
      </c>
      <c r="I36" s="7">
        <f t="shared" si="4"/>
        <v>1060.0333333309998</v>
      </c>
      <c r="J36" s="7">
        <f t="shared" si="5"/>
        <v>2120.0666666619995</v>
      </c>
    </row>
    <row r="38" spans="1:10" x14ac:dyDescent="0.25">
      <c r="A38" t="s">
        <v>27</v>
      </c>
    </row>
    <row r="39" spans="1:10" x14ac:dyDescent="0.25">
      <c r="A39" s="1" t="s">
        <v>5</v>
      </c>
      <c r="D39" s="1" t="s">
        <v>4</v>
      </c>
      <c r="I39" s="1" t="s">
        <v>15</v>
      </c>
    </row>
    <row r="40" spans="1:10" ht="45" x14ac:dyDescent="0.25">
      <c r="A40" s="2" t="s">
        <v>13</v>
      </c>
      <c r="B40" s="2" t="s">
        <v>1</v>
      </c>
      <c r="C40" s="2"/>
      <c r="D40" s="2" t="s">
        <v>14</v>
      </c>
      <c r="E40" s="2" t="s">
        <v>3</v>
      </c>
      <c r="F40" s="2" t="s">
        <v>2</v>
      </c>
      <c r="G40" s="3" t="s">
        <v>6</v>
      </c>
      <c r="H40" s="2"/>
      <c r="I40" s="2" t="s">
        <v>16</v>
      </c>
    </row>
    <row r="41" spans="1:10" x14ac:dyDescent="0.25">
      <c r="A41">
        <v>1</v>
      </c>
      <c r="B41" s="6">
        <f>PhiMayInToner1M(A41)</f>
        <v>63737.333299999998</v>
      </c>
      <c r="D41" s="4">
        <v>0.4</v>
      </c>
      <c r="E41" s="7">
        <f>B41*(1+D41)</f>
        <v>89232.266619999995</v>
      </c>
      <c r="F41" s="7">
        <f>E41-B41</f>
        <v>25494.933319999996</v>
      </c>
      <c r="G41" s="4">
        <f>F41/E41</f>
        <v>0.2857142857142857</v>
      </c>
      <c r="I41" s="7">
        <f>E41/A41</f>
        <v>89232.266619999995</v>
      </c>
    </row>
    <row r="42" spans="1:10" x14ac:dyDescent="0.25">
      <c r="A42">
        <v>50</v>
      </c>
      <c r="B42" s="6">
        <f t="shared" ref="B42:B72" si="7">PhiMayInToner1M(A42)</f>
        <v>83533.333299999998</v>
      </c>
      <c r="D42" s="4">
        <v>0.5</v>
      </c>
      <c r="E42" s="7">
        <f t="shared" ref="E42:E72" si="8">B42*(1+D42)</f>
        <v>125299.99995</v>
      </c>
      <c r="F42" s="7">
        <f t="shared" ref="F42:F72" si="9">E42-B42</f>
        <v>41766.666649999999</v>
      </c>
      <c r="G42" s="4">
        <f t="shared" ref="G42:G72" si="10">F42/E42</f>
        <v>0.33333333333333331</v>
      </c>
      <c r="I42" s="7">
        <f t="shared" ref="I42:I72" si="11">E42/A42</f>
        <v>2505.9999990000001</v>
      </c>
    </row>
    <row r="43" spans="1:10" x14ac:dyDescent="0.25">
      <c r="A43">
        <v>100</v>
      </c>
      <c r="B43" s="6">
        <f t="shared" si="7"/>
        <v>103733.3333</v>
      </c>
      <c r="D43" s="4">
        <v>0.5</v>
      </c>
      <c r="E43" s="7">
        <f t="shared" si="8"/>
        <v>155599.99995</v>
      </c>
      <c r="F43" s="7">
        <f t="shared" si="9"/>
        <v>51866.666649999999</v>
      </c>
      <c r="G43" s="4">
        <f t="shared" si="10"/>
        <v>0.33333333333333331</v>
      </c>
      <c r="I43" s="7">
        <f t="shared" si="11"/>
        <v>1555.9999995000001</v>
      </c>
    </row>
    <row r="44" spans="1:10" x14ac:dyDescent="0.25">
      <c r="A44">
        <v>150</v>
      </c>
      <c r="B44" s="6">
        <f t="shared" si="7"/>
        <v>123933.3333</v>
      </c>
      <c r="D44" s="4">
        <v>0.5</v>
      </c>
      <c r="E44" s="7">
        <f t="shared" si="8"/>
        <v>185899.99995</v>
      </c>
      <c r="F44" s="7">
        <f t="shared" si="9"/>
        <v>61966.666649999999</v>
      </c>
      <c r="G44" s="4">
        <f t="shared" si="10"/>
        <v>0.33333333333333331</v>
      </c>
      <c r="I44" s="7">
        <f t="shared" si="11"/>
        <v>1239.333333</v>
      </c>
    </row>
    <row r="45" spans="1:10" x14ac:dyDescent="0.25">
      <c r="A45">
        <v>200</v>
      </c>
      <c r="B45" s="6">
        <f t="shared" si="7"/>
        <v>144133.3333</v>
      </c>
      <c r="D45" s="4">
        <v>0.5</v>
      </c>
      <c r="E45" s="7">
        <f t="shared" si="8"/>
        <v>216199.99995</v>
      </c>
      <c r="F45" s="7">
        <f t="shared" si="9"/>
        <v>72066.666649999999</v>
      </c>
      <c r="G45" s="4">
        <f t="shared" si="10"/>
        <v>0.33333333333333331</v>
      </c>
      <c r="I45" s="7">
        <f t="shared" si="11"/>
        <v>1080.9999997499999</v>
      </c>
    </row>
    <row r="46" spans="1:10" x14ac:dyDescent="0.25">
      <c r="A46">
        <v>250</v>
      </c>
      <c r="B46" s="6">
        <f t="shared" si="7"/>
        <v>164333.3333</v>
      </c>
      <c r="D46" s="4">
        <v>0.5</v>
      </c>
      <c r="E46" s="7">
        <f t="shared" si="8"/>
        <v>246499.99995</v>
      </c>
      <c r="F46" s="7">
        <f t="shared" si="9"/>
        <v>82166.666649999999</v>
      </c>
      <c r="G46" s="4">
        <f t="shared" si="10"/>
        <v>0.33333333333333331</v>
      </c>
      <c r="I46" s="7">
        <f t="shared" si="11"/>
        <v>985.99999979999996</v>
      </c>
    </row>
    <row r="47" spans="1:10" x14ac:dyDescent="0.25">
      <c r="A47">
        <v>300</v>
      </c>
      <c r="B47" s="6">
        <f t="shared" si="7"/>
        <v>184533.3333</v>
      </c>
      <c r="D47" s="4">
        <v>0.5</v>
      </c>
      <c r="E47" s="7">
        <f t="shared" si="8"/>
        <v>276799.99994999997</v>
      </c>
      <c r="F47" s="7">
        <f t="shared" si="9"/>
        <v>92266.66664999997</v>
      </c>
      <c r="G47" s="4">
        <f t="shared" si="10"/>
        <v>0.33333333333333326</v>
      </c>
      <c r="I47" s="7">
        <f t="shared" si="11"/>
        <v>922.66666649999991</v>
      </c>
    </row>
    <row r="48" spans="1:10" x14ac:dyDescent="0.25">
      <c r="A48">
        <v>350</v>
      </c>
      <c r="B48" s="6">
        <f t="shared" si="7"/>
        <v>204733.3333</v>
      </c>
      <c r="D48" s="4">
        <v>0.5</v>
      </c>
      <c r="E48" s="7">
        <f t="shared" si="8"/>
        <v>307099.99994999997</v>
      </c>
      <c r="F48" s="7">
        <f t="shared" si="9"/>
        <v>102366.66664999997</v>
      </c>
      <c r="G48" s="4">
        <f t="shared" si="10"/>
        <v>0.33333333333333326</v>
      </c>
      <c r="I48" s="7">
        <f t="shared" si="11"/>
        <v>877.42857128571416</v>
      </c>
    </row>
    <row r="49" spans="1:9" x14ac:dyDescent="0.25">
      <c r="A49">
        <v>400</v>
      </c>
      <c r="B49" s="6">
        <f t="shared" si="7"/>
        <v>224933.3333</v>
      </c>
      <c r="D49" s="4">
        <v>0.6</v>
      </c>
      <c r="E49" s="7">
        <f t="shared" si="8"/>
        <v>359893.33328000002</v>
      </c>
      <c r="F49" s="7">
        <f t="shared" si="9"/>
        <v>134959.99998000002</v>
      </c>
      <c r="G49" s="4">
        <f t="shared" si="10"/>
        <v>0.37500000000000006</v>
      </c>
      <c r="I49" s="7">
        <f t="shared" si="11"/>
        <v>899.73333320000006</v>
      </c>
    </row>
    <row r="50" spans="1:9" x14ac:dyDescent="0.25">
      <c r="A50">
        <v>450</v>
      </c>
      <c r="B50" s="6">
        <f t="shared" si="7"/>
        <v>245133.3333</v>
      </c>
      <c r="D50" s="4">
        <v>0.6</v>
      </c>
      <c r="E50" s="7">
        <f t="shared" si="8"/>
        <v>392213.33328000002</v>
      </c>
      <c r="F50" s="7">
        <f t="shared" si="9"/>
        <v>147079.99998000002</v>
      </c>
      <c r="G50" s="4">
        <f t="shared" si="10"/>
        <v>0.37500000000000006</v>
      </c>
      <c r="I50" s="7">
        <f t="shared" si="11"/>
        <v>871.58518506666667</v>
      </c>
    </row>
    <row r="51" spans="1:9" x14ac:dyDescent="0.25">
      <c r="A51">
        <v>500</v>
      </c>
      <c r="B51" s="6">
        <f t="shared" si="7"/>
        <v>265333.3333</v>
      </c>
      <c r="D51" s="4">
        <v>0.6</v>
      </c>
      <c r="E51" s="7">
        <f t="shared" si="8"/>
        <v>424533.33328000002</v>
      </c>
      <c r="F51" s="7">
        <f t="shared" si="9"/>
        <v>159199.99998000002</v>
      </c>
      <c r="G51" s="4">
        <f t="shared" si="10"/>
        <v>0.37500000000000006</v>
      </c>
      <c r="I51" s="7">
        <f t="shared" si="11"/>
        <v>849.06666656000004</v>
      </c>
    </row>
    <row r="52" spans="1:9" x14ac:dyDescent="0.25">
      <c r="A52">
        <v>600</v>
      </c>
      <c r="B52" s="6">
        <f t="shared" si="7"/>
        <v>305733.3333</v>
      </c>
      <c r="D52" s="4">
        <v>0.6</v>
      </c>
      <c r="E52" s="7">
        <f t="shared" si="8"/>
        <v>489173.33328000002</v>
      </c>
      <c r="F52" s="7">
        <f t="shared" si="9"/>
        <v>183439.99998000002</v>
      </c>
      <c r="G52" s="4">
        <f t="shared" si="10"/>
        <v>0.37500000000000006</v>
      </c>
      <c r="I52" s="7">
        <f t="shared" si="11"/>
        <v>815.2888888</v>
      </c>
    </row>
    <row r="53" spans="1:9" x14ac:dyDescent="0.25">
      <c r="A53">
        <v>700</v>
      </c>
      <c r="B53" s="6">
        <f t="shared" si="7"/>
        <v>346133.3333</v>
      </c>
      <c r="D53" s="4">
        <v>0.6</v>
      </c>
      <c r="E53" s="7">
        <f t="shared" si="8"/>
        <v>553813.33328000002</v>
      </c>
      <c r="F53" s="7">
        <f t="shared" si="9"/>
        <v>207679.99998000002</v>
      </c>
      <c r="G53" s="4">
        <f t="shared" si="10"/>
        <v>0.375</v>
      </c>
      <c r="I53" s="7">
        <f t="shared" si="11"/>
        <v>791.16190468571426</v>
      </c>
    </row>
    <row r="54" spans="1:9" x14ac:dyDescent="0.25">
      <c r="A54">
        <v>800</v>
      </c>
      <c r="B54" s="6">
        <f t="shared" si="7"/>
        <v>386533.3333</v>
      </c>
      <c r="D54" s="4">
        <v>0.6</v>
      </c>
      <c r="E54" s="7">
        <f t="shared" si="8"/>
        <v>618453.33328000002</v>
      </c>
      <c r="F54" s="7">
        <f t="shared" si="9"/>
        <v>231919.99998000002</v>
      </c>
      <c r="G54" s="4">
        <f t="shared" si="10"/>
        <v>0.375</v>
      </c>
      <c r="I54" s="7">
        <f t="shared" si="11"/>
        <v>773.06666660000008</v>
      </c>
    </row>
    <row r="55" spans="1:9" x14ac:dyDescent="0.25">
      <c r="A55">
        <v>900</v>
      </c>
      <c r="B55" s="6">
        <f t="shared" si="7"/>
        <v>426933.3333</v>
      </c>
      <c r="D55" s="4">
        <v>0.6</v>
      </c>
      <c r="E55" s="7">
        <f t="shared" si="8"/>
        <v>683093.33328000002</v>
      </c>
      <c r="F55" s="7">
        <f t="shared" si="9"/>
        <v>256159.99998000002</v>
      </c>
      <c r="G55" s="4">
        <f t="shared" si="10"/>
        <v>0.375</v>
      </c>
      <c r="I55" s="7">
        <f t="shared" si="11"/>
        <v>758.99259253333332</v>
      </c>
    </row>
    <row r="56" spans="1:9" x14ac:dyDescent="0.25">
      <c r="A56">
        <v>1000</v>
      </c>
      <c r="B56" s="6">
        <f t="shared" si="7"/>
        <v>467333.3333</v>
      </c>
      <c r="D56" s="4">
        <v>0.4</v>
      </c>
      <c r="E56" s="7">
        <f t="shared" si="8"/>
        <v>654266.66661999992</v>
      </c>
      <c r="F56" s="7">
        <f t="shared" si="9"/>
        <v>186933.33331999992</v>
      </c>
      <c r="G56" s="4">
        <f t="shared" si="10"/>
        <v>0.28571428571428564</v>
      </c>
      <c r="I56" s="7">
        <f t="shared" si="11"/>
        <v>654.26666661999991</v>
      </c>
    </row>
    <row r="57" spans="1:9" x14ac:dyDescent="0.25">
      <c r="A57">
        <v>1200</v>
      </c>
      <c r="B57" s="6">
        <f t="shared" si="7"/>
        <v>548133.33330000006</v>
      </c>
      <c r="D57" s="4">
        <v>0.4</v>
      </c>
      <c r="E57" s="7">
        <f t="shared" si="8"/>
        <v>767386.66662000003</v>
      </c>
      <c r="F57" s="7">
        <f t="shared" si="9"/>
        <v>219253.33331999998</v>
      </c>
      <c r="G57" s="4">
        <f t="shared" si="10"/>
        <v>0.2857142857142857</v>
      </c>
      <c r="I57" s="7">
        <f t="shared" si="11"/>
        <v>639.48888885000008</v>
      </c>
    </row>
    <row r="58" spans="1:9" x14ac:dyDescent="0.25">
      <c r="A58">
        <v>1400</v>
      </c>
      <c r="B58" s="6">
        <f t="shared" si="7"/>
        <v>628933.33330000006</v>
      </c>
      <c r="D58" s="4">
        <v>0.4</v>
      </c>
      <c r="E58" s="7">
        <f t="shared" si="8"/>
        <v>880506.66662000003</v>
      </c>
      <c r="F58" s="7">
        <f t="shared" si="9"/>
        <v>251573.33331999998</v>
      </c>
      <c r="G58" s="4">
        <f t="shared" si="10"/>
        <v>0.2857142857142857</v>
      </c>
      <c r="I58" s="7">
        <f t="shared" si="11"/>
        <v>628.93333330000007</v>
      </c>
    </row>
    <row r="59" spans="1:9" x14ac:dyDescent="0.25">
      <c r="A59">
        <v>1500</v>
      </c>
      <c r="B59" s="6">
        <f t="shared" si="7"/>
        <v>669333.33330000006</v>
      </c>
      <c r="D59" s="4">
        <v>0.4</v>
      </c>
      <c r="E59" s="7">
        <f t="shared" si="8"/>
        <v>937066.66662000003</v>
      </c>
      <c r="F59" s="7">
        <f t="shared" si="9"/>
        <v>267733.33331999998</v>
      </c>
      <c r="G59" s="4">
        <f t="shared" si="10"/>
        <v>0.2857142857142857</v>
      </c>
      <c r="I59" s="7">
        <f t="shared" si="11"/>
        <v>624.71111108000002</v>
      </c>
    </row>
    <row r="60" spans="1:9" x14ac:dyDescent="0.25">
      <c r="A60">
        <v>2000</v>
      </c>
      <c r="B60" s="6">
        <f t="shared" si="7"/>
        <v>871333.33330000006</v>
      </c>
      <c r="D60" s="4">
        <v>0.4</v>
      </c>
      <c r="E60" s="7">
        <f t="shared" si="8"/>
        <v>1219866.66662</v>
      </c>
      <c r="F60" s="7">
        <f t="shared" si="9"/>
        <v>348533.33331999998</v>
      </c>
      <c r="G60" s="4">
        <f t="shared" si="10"/>
        <v>0.2857142857142857</v>
      </c>
      <c r="I60" s="7">
        <f t="shared" si="11"/>
        <v>609.93333330999997</v>
      </c>
    </row>
    <row r="61" spans="1:9" x14ac:dyDescent="0.25">
      <c r="A61">
        <v>2500</v>
      </c>
      <c r="B61" s="6">
        <f t="shared" si="7"/>
        <v>1073333.3333000001</v>
      </c>
      <c r="D61" s="4">
        <v>0.4</v>
      </c>
      <c r="E61" s="7">
        <f t="shared" si="8"/>
        <v>1502666.66662</v>
      </c>
      <c r="F61" s="7">
        <f t="shared" si="9"/>
        <v>429333.33331999998</v>
      </c>
      <c r="G61" s="4">
        <f t="shared" si="10"/>
        <v>0.2857142857142857</v>
      </c>
      <c r="I61" s="7">
        <f t="shared" si="11"/>
        <v>601.06666664800002</v>
      </c>
    </row>
    <row r="62" spans="1:9" x14ac:dyDescent="0.25">
      <c r="A62">
        <v>3000</v>
      </c>
      <c r="B62" s="6">
        <f t="shared" si="7"/>
        <v>1275333.3333000001</v>
      </c>
      <c r="D62" s="4">
        <v>0.4</v>
      </c>
      <c r="E62" s="7">
        <f t="shared" si="8"/>
        <v>1785466.66662</v>
      </c>
      <c r="F62" s="7">
        <f t="shared" si="9"/>
        <v>510133.33331999998</v>
      </c>
      <c r="G62" s="4">
        <f t="shared" si="10"/>
        <v>0.2857142857142857</v>
      </c>
      <c r="I62" s="7">
        <f t="shared" si="11"/>
        <v>595.15555554000002</v>
      </c>
    </row>
    <row r="63" spans="1:9" x14ac:dyDescent="0.25">
      <c r="A63">
        <v>3500</v>
      </c>
      <c r="B63" s="6">
        <f t="shared" si="7"/>
        <v>1477333.3333000001</v>
      </c>
      <c r="D63" s="4">
        <v>0.4</v>
      </c>
      <c r="E63" s="7">
        <f t="shared" si="8"/>
        <v>2068266.66662</v>
      </c>
      <c r="F63" s="7">
        <f t="shared" si="9"/>
        <v>590933.33331999998</v>
      </c>
      <c r="G63" s="4">
        <f t="shared" si="10"/>
        <v>0.2857142857142857</v>
      </c>
      <c r="I63" s="7">
        <f t="shared" si="11"/>
        <v>590.93333331999997</v>
      </c>
    </row>
    <row r="64" spans="1:9" x14ac:dyDescent="0.25">
      <c r="A64">
        <v>4000</v>
      </c>
      <c r="B64" s="6">
        <f t="shared" si="7"/>
        <v>1679333.3333000001</v>
      </c>
      <c r="D64" s="4">
        <v>0.4</v>
      </c>
      <c r="E64" s="7">
        <f t="shared" si="8"/>
        <v>2351066.6666199998</v>
      </c>
      <c r="F64" s="7">
        <f t="shared" si="9"/>
        <v>671733.33331999974</v>
      </c>
      <c r="G64" s="4">
        <f t="shared" si="10"/>
        <v>0.28571428571428564</v>
      </c>
      <c r="I64" s="7">
        <f t="shared" si="11"/>
        <v>587.76666665499999</v>
      </c>
    </row>
    <row r="65" spans="1:9" x14ac:dyDescent="0.25">
      <c r="A65">
        <v>5000</v>
      </c>
      <c r="B65" s="6">
        <f t="shared" si="7"/>
        <v>2083333.3333000001</v>
      </c>
      <c r="D65" s="4">
        <v>0.4</v>
      </c>
      <c r="E65" s="7">
        <f t="shared" si="8"/>
        <v>2916666.6666199998</v>
      </c>
      <c r="F65" s="7">
        <f t="shared" si="9"/>
        <v>833333.33331999974</v>
      </c>
      <c r="G65" s="4">
        <f t="shared" si="10"/>
        <v>0.28571428571428564</v>
      </c>
      <c r="I65" s="7">
        <f t="shared" si="11"/>
        <v>583.33333332399991</v>
      </c>
    </row>
    <row r="66" spans="1:9" x14ac:dyDescent="0.25">
      <c r="A66">
        <v>6000</v>
      </c>
      <c r="B66" s="6">
        <f t="shared" si="7"/>
        <v>2487333.3333000001</v>
      </c>
      <c r="D66" s="4">
        <v>0.4</v>
      </c>
      <c r="E66" s="7">
        <f t="shared" si="8"/>
        <v>3482266.6666199998</v>
      </c>
      <c r="F66" s="7">
        <f t="shared" si="9"/>
        <v>994933.33331999974</v>
      </c>
      <c r="G66" s="4">
        <f t="shared" si="10"/>
        <v>0.28571428571428564</v>
      </c>
      <c r="I66" s="7">
        <f t="shared" si="11"/>
        <v>580.37777776999997</v>
      </c>
    </row>
    <row r="67" spans="1:9" x14ac:dyDescent="0.25">
      <c r="A67">
        <v>7000</v>
      </c>
      <c r="B67" s="6">
        <f t="shared" si="7"/>
        <v>2891333.3333000001</v>
      </c>
      <c r="D67" s="4">
        <v>0.4</v>
      </c>
      <c r="E67" s="7">
        <f t="shared" si="8"/>
        <v>4047866.6666199998</v>
      </c>
      <c r="F67" s="7">
        <f t="shared" si="9"/>
        <v>1156533.3333199997</v>
      </c>
      <c r="G67" s="4">
        <f t="shared" si="10"/>
        <v>0.28571428571428564</v>
      </c>
      <c r="I67" s="7">
        <f t="shared" si="11"/>
        <v>578.26666665999994</v>
      </c>
    </row>
    <row r="68" spans="1:9" x14ac:dyDescent="0.25">
      <c r="A68">
        <v>8000</v>
      </c>
      <c r="B68" s="6">
        <f t="shared" si="7"/>
        <v>3295333.3333000001</v>
      </c>
      <c r="D68" s="4">
        <v>0.4</v>
      </c>
      <c r="E68" s="7">
        <f t="shared" si="8"/>
        <v>4613466.6666199993</v>
      </c>
      <c r="F68" s="7">
        <f t="shared" si="9"/>
        <v>1318133.3333199993</v>
      </c>
      <c r="G68" s="4">
        <f t="shared" si="10"/>
        <v>0.28571428571428559</v>
      </c>
      <c r="I68" s="7">
        <f t="shared" si="11"/>
        <v>576.68333332749989</v>
      </c>
    </row>
    <row r="69" spans="1:9" x14ac:dyDescent="0.25">
      <c r="A69">
        <v>9000</v>
      </c>
      <c r="B69" s="6">
        <f t="shared" si="7"/>
        <v>3699333.3333000001</v>
      </c>
      <c r="D69" s="4">
        <v>0.4</v>
      </c>
      <c r="E69" s="7">
        <f t="shared" si="8"/>
        <v>5179066.6666199993</v>
      </c>
      <c r="F69" s="7">
        <f t="shared" si="9"/>
        <v>1479733.3333199993</v>
      </c>
      <c r="G69" s="4">
        <f t="shared" si="10"/>
        <v>0.28571428571428559</v>
      </c>
      <c r="I69" s="7">
        <f t="shared" si="11"/>
        <v>575.45185184666661</v>
      </c>
    </row>
    <row r="70" spans="1:9" x14ac:dyDescent="0.25">
      <c r="A70">
        <v>10000</v>
      </c>
      <c r="B70" s="6">
        <f t="shared" si="7"/>
        <v>4103333.3333000001</v>
      </c>
      <c r="D70" s="4">
        <v>0.4</v>
      </c>
      <c r="E70" s="7">
        <f t="shared" si="8"/>
        <v>5744666.6666199993</v>
      </c>
      <c r="F70" s="7">
        <f t="shared" si="9"/>
        <v>1641333.3333199993</v>
      </c>
      <c r="G70" s="4">
        <f t="shared" si="10"/>
        <v>0.28571428571428564</v>
      </c>
      <c r="I70" s="7">
        <f t="shared" si="11"/>
        <v>574.46666666199997</v>
      </c>
    </row>
    <row r="71" spans="1:9" x14ac:dyDescent="0.25">
      <c r="A71">
        <v>15000</v>
      </c>
      <c r="B71" s="6">
        <f t="shared" si="7"/>
        <v>6123333.3333000001</v>
      </c>
      <c r="D71" s="4">
        <v>0.4</v>
      </c>
      <c r="E71" s="7">
        <f t="shared" si="8"/>
        <v>8572666.6666199993</v>
      </c>
      <c r="F71" s="7">
        <f t="shared" si="9"/>
        <v>2449333.3333199993</v>
      </c>
      <c r="G71" s="4">
        <f t="shared" si="10"/>
        <v>0.28571428571428564</v>
      </c>
      <c r="I71" s="7">
        <f t="shared" si="11"/>
        <v>571.51111110799991</v>
      </c>
    </row>
    <row r="72" spans="1:9" x14ac:dyDescent="0.25">
      <c r="A72">
        <v>20000</v>
      </c>
      <c r="B72" s="6">
        <f t="shared" si="7"/>
        <v>8143333.3333000001</v>
      </c>
      <c r="D72" s="4">
        <v>0.4</v>
      </c>
      <c r="E72" s="7">
        <f t="shared" si="8"/>
        <v>11400666.666619999</v>
      </c>
      <c r="F72" s="7">
        <f t="shared" si="9"/>
        <v>3257333.3333199993</v>
      </c>
      <c r="G72" s="4">
        <f t="shared" si="10"/>
        <v>0.28571428571428564</v>
      </c>
      <c r="I72" s="7">
        <f t="shared" si="11"/>
        <v>570.03333333099999</v>
      </c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42F14-3E3D-4789-A7D6-12AEF45D920A}">
  <sheetPr codeName="Trang_tính11"/>
  <dimension ref="A1:AH36"/>
  <sheetViews>
    <sheetView workbookViewId="0">
      <selection activeCell="A5" sqref="A5"/>
    </sheetView>
  </sheetViews>
  <sheetFormatPr defaultRowHeight="15" x14ac:dyDescent="0.25"/>
  <cols>
    <col min="1" max="4" width="9.7109375" customWidth="1"/>
    <col min="5" max="5" width="14.85546875" bestFit="1" customWidth="1"/>
    <col min="6" max="7" width="14.85546875" customWidth="1"/>
    <col min="8" max="8" width="4.140625" customWidth="1"/>
    <col min="9" max="9" width="10.140625" bestFit="1" customWidth="1"/>
    <col min="10" max="10" width="15.85546875" bestFit="1" customWidth="1"/>
    <col min="11" max="11" width="14.85546875" bestFit="1" customWidth="1"/>
    <col min="13" max="13" width="4.7109375" customWidth="1"/>
    <col min="14" max="14" width="13.28515625" bestFit="1" customWidth="1"/>
    <col min="18" max="24" width="0" hidden="1" customWidth="1"/>
    <col min="32" max="32" width="16.140625" customWidth="1"/>
    <col min="33" max="33" width="15" bestFit="1" customWidth="1"/>
  </cols>
  <sheetData>
    <row r="1" spans="1:34" x14ac:dyDescent="0.25">
      <c r="A1" s="1" t="s">
        <v>147</v>
      </c>
      <c r="B1" s="1"/>
      <c r="C1" s="1"/>
      <c r="D1" s="1"/>
    </row>
    <row r="2" spans="1:34" x14ac:dyDescent="0.25">
      <c r="I2" s="17" t="s">
        <v>87</v>
      </c>
      <c r="AF2" s="1" t="s">
        <v>148</v>
      </c>
    </row>
    <row r="3" spans="1:34" x14ac:dyDescent="0.25">
      <c r="A3" s="1" t="s">
        <v>5</v>
      </c>
      <c r="B3" s="1"/>
      <c r="C3" s="1"/>
      <c r="D3" s="1"/>
      <c r="I3" s="1" t="s">
        <v>4</v>
      </c>
      <c r="N3" s="1" t="s">
        <v>15</v>
      </c>
      <c r="AF3" s="1" t="s">
        <v>7</v>
      </c>
      <c r="AG3" s="1" t="s">
        <v>43</v>
      </c>
    </row>
    <row r="4" spans="1:34" ht="45" x14ac:dyDescent="0.25">
      <c r="A4" s="2" t="s">
        <v>149</v>
      </c>
      <c r="B4" s="2"/>
      <c r="C4" s="2"/>
      <c r="D4" s="2"/>
      <c r="E4" s="2" t="s">
        <v>154</v>
      </c>
      <c r="F4" s="2"/>
      <c r="G4" s="2"/>
      <c r="H4" s="2"/>
      <c r="I4" s="2" t="s">
        <v>14</v>
      </c>
      <c r="J4" s="2" t="s">
        <v>3</v>
      </c>
      <c r="K4" s="2" t="s">
        <v>2</v>
      </c>
      <c r="L4" s="3" t="s">
        <v>6</v>
      </c>
      <c r="M4" s="2"/>
      <c r="N4" s="2" t="s">
        <v>16</v>
      </c>
      <c r="O4" s="2"/>
      <c r="P4" s="2"/>
      <c r="Q4" s="2"/>
      <c r="R4" s="2"/>
      <c r="AF4" t="s">
        <v>8</v>
      </c>
      <c r="AG4" s="5">
        <v>200000</v>
      </c>
    </row>
    <row r="5" spans="1:34" x14ac:dyDescent="0.25">
      <c r="A5">
        <v>1</v>
      </c>
      <c r="E5" s="6">
        <f>PhiMayEpKimTuDong(A5)</f>
        <v>475455</v>
      </c>
      <c r="F5" s="6"/>
      <c r="G5" s="6"/>
      <c r="I5" s="4">
        <v>0.4</v>
      </c>
      <c r="J5" s="7">
        <f>E5*(1+I5)</f>
        <v>665637</v>
      </c>
      <c r="K5" s="7">
        <f>J5-E5</f>
        <v>190182</v>
      </c>
      <c r="L5" s="4">
        <f>K5/J5</f>
        <v>0.2857142857142857</v>
      </c>
      <c r="N5" s="7">
        <f>J5/A5</f>
        <v>665637</v>
      </c>
      <c r="AF5" t="s">
        <v>9</v>
      </c>
      <c r="AG5" s="5">
        <v>1000</v>
      </c>
      <c r="AH5" t="s">
        <v>83</v>
      </c>
    </row>
    <row r="6" spans="1:34" x14ac:dyDescent="0.25">
      <c r="A6">
        <v>50</v>
      </c>
      <c r="E6" s="6">
        <f t="shared" ref="E6:E36" si="0">PhiMayEpKimTuDong(A6)</f>
        <v>497750</v>
      </c>
      <c r="F6" s="6"/>
      <c r="G6" s="6"/>
      <c r="I6" s="4">
        <v>0.5</v>
      </c>
      <c r="J6" s="7">
        <f t="shared" ref="J6:J36" si="1">E6*(1+I6)</f>
        <v>746625</v>
      </c>
      <c r="K6" s="7">
        <f t="shared" ref="K6:K36" si="2">J6-E6</f>
        <v>248875</v>
      </c>
      <c r="L6" s="4">
        <f t="shared" ref="L6:L36" si="3">K6/J6</f>
        <v>0.33333333333333331</v>
      </c>
      <c r="N6" s="7">
        <f t="shared" ref="N6:N36" si="4">J6/A6</f>
        <v>14932.5</v>
      </c>
      <c r="AF6" t="s">
        <v>84</v>
      </c>
      <c r="AG6" s="5">
        <v>500</v>
      </c>
      <c r="AH6" t="s">
        <v>85</v>
      </c>
    </row>
    <row r="7" spans="1:34" x14ac:dyDescent="0.25">
      <c r="A7">
        <v>100</v>
      </c>
      <c r="E7" s="6">
        <f t="shared" si="0"/>
        <v>520500</v>
      </c>
      <c r="F7" s="6"/>
      <c r="G7" s="6"/>
      <c r="I7" s="4">
        <v>0.5</v>
      </c>
      <c r="J7" s="7">
        <f t="shared" si="1"/>
        <v>780750</v>
      </c>
      <c r="K7" s="7">
        <f t="shared" si="2"/>
        <v>260250</v>
      </c>
      <c r="L7" s="4">
        <f t="shared" si="3"/>
        <v>0.33333333333333331</v>
      </c>
      <c r="N7" s="7">
        <f t="shared" si="4"/>
        <v>7807.5</v>
      </c>
      <c r="AG7" s="5"/>
    </row>
    <row r="8" spans="1:34" x14ac:dyDescent="0.25">
      <c r="A8">
        <v>150</v>
      </c>
      <c r="E8" s="6">
        <f t="shared" si="0"/>
        <v>543250</v>
      </c>
      <c r="F8" s="6"/>
      <c r="G8" s="6"/>
      <c r="I8" s="4">
        <v>0.5</v>
      </c>
      <c r="J8" s="7">
        <f t="shared" si="1"/>
        <v>814875</v>
      </c>
      <c r="K8" s="7">
        <f t="shared" si="2"/>
        <v>271625</v>
      </c>
      <c r="L8" s="4">
        <f t="shared" si="3"/>
        <v>0.33333333333333331</v>
      </c>
      <c r="N8" s="7">
        <f t="shared" si="4"/>
        <v>5432.5</v>
      </c>
    </row>
    <row r="9" spans="1:34" x14ac:dyDescent="0.25">
      <c r="A9">
        <v>200</v>
      </c>
      <c r="E9" s="6">
        <f t="shared" si="0"/>
        <v>566000</v>
      </c>
      <c r="F9" s="6"/>
      <c r="G9" s="6"/>
      <c r="I9" s="4">
        <v>0.5</v>
      </c>
      <c r="J9" s="7">
        <f t="shared" si="1"/>
        <v>849000</v>
      </c>
      <c r="K9" s="7">
        <f t="shared" si="2"/>
        <v>283000</v>
      </c>
      <c r="L9" s="4">
        <f t="shared" si="3"/>
        <v>0.33333333333333331</v>
      </c>
      <c r="N9" s="7">
        <f t="shared" si="4"/>
        <v>4245</v>
      </c>
    </row>
    <row r="10" spans="1:34" x14ac:dyDescent="0.25">
      <c r="A10">
        <v>250</v>
      </c>
      <c r="E10" s="6">
        <f t="shared" si="0"/>
        <v>588750</v>
      </c>
      <c r="F10" s="6"/>
      <c r="G10" s="6"/>
      <c r="I10" s="4">
        <v>0.5</v>
      </c>
      <c r="J10" s="7">
        <f t="shared" si="1"/>
        <v>883125</v>
      </c>
      <c r="K10" s="7">
        <f t="shared" si="2"/>
        <v>294375</v>
      </c>
      <c r="L10" s="4">
        <f t="shared" si="3"/>
        <v>0.33333333333333331</v>
      </c>
      <c r="N10" s="7">
        <f t="shared" si="4"/>
        <v>3532.5</v>
      </c>
    </row>
    <row r="11" spans="1:34" x14ac:dyDescent="0.25">
      <c r="A11">
        <v>300</v>
      </c>
      <c r="E11" s="6">
        <f t="shared" si="0"/>
        <v>611500</v>
      </c>
      <c r="F11" s="6"/>
      <c r="G11" s="6"/>
      <c r="I11" s="4">
        <v>0.5</v>
      </c>
      <c r="J11" s="7">
        <f t="shared" si="1"/>
        <v>917250</v>
      </c>
      <c r="K11" s="7">
        <f t="shared" si="2"/>
        <v>305750</v>
      </c>
      <c r="L11" s="4">
        <f t="shared" si="3"/>
        <v>0.33333333333333331</v>
      </c>
      <c r="N11" s="7">
        <f t="shared" si="4"/>
        <v>3057.5</v>
      </c>
    </row>
    <row r="12" spans="1:34" x14ac:dyDescent="0.25">
      <c r="A12">
        <v>350</v>
      </c>
      <c r="E12" s="6">
        <f t="shared" si="0"/>
        <v>634250</v>
      </c>
      <c r="F12" s="6"/>
      <c r="G12" s="6"/>
      <c r="I12" s="4">
        <v>0.5</v>
      </c>
      <c r="J12" s="7">
        <f t="shared" si="1"/>
        <v>951375</v>
      </c>
      <c r="K12" s="7">
        <f t="shared" si="2"/>
        <v>317125</v>
      </c>
      <c r="L12" s="4">
        <f t="shared" si="3"/>
        <v>0.33333333333333331</v>
      </c>
      <c r="N12" s="7">
        <f t="shared" si="4"/>
        <v>2718.2142857142858</v>
      </c>
    </row>
    <row r="13" spans="1:34" x14ac:dyDescent="0.25">
      <c r="A13">
        <v>400</v>
      </c>
      <c r="E13" s="6">
        <f t="shared" si="0"/>
        <v>657000</v>
      </c>
      <c r="F13" s="6"/>
      <c r="G13" s="6"/>
      <c r="I13" s="4">
        <v>0.6</v>
      </c>
      <c r="J13" s="7">
        <f t="shared" si="1"/>
        <v>1051200</v>
      </c>
      <c r="K13" s="7">
        <f t="shared" si="2"/>
        <v>394200</v>
      </c>
      <c r="L13" s="4">
        <f t="shared" si="3"/>
        <v>0.375</v>
      </c>
      <c r="N13" s="7">
        <f t="shared" si="4"/>
        <v>2628</v>
      </c>
    </row>
    <row r="14" spans="1:34" x14ac:dyDescent="0.25">
      <c r="A14">
        <v>450</v>
      </c>
      <c r="E14" s="6">
        <f t="shared" si="0"/>
        <v>679750</v>
      </c>
      <c r="F14" s="6"/>
      <c r="G14" s="6"/>
      <c r="I14" s="4">
        <v>0.6</v>
      </c>
      <c r="J14" s="7">
        <f t="shared" si="1"/>
        <v>1087600</v>
      </c>
      <c r="K14" s="7">
        <f t="shared" si="2"/>
        <v>407850</v>
      </c>
      <c r="L14" s="4">
        <f t="shared" si="3"/>
        <v>0.375</v>
      </c>
      <c r="N14" s="7">
        <f t="shared" si="4"/>
        <v>2416.8888888888887</v>
      </c>
    </row>
    <row r="15" spans="1:34" x14ac:dyDescent="0.25">
      <c r="A15">
        <v>500</v>
      </c>
      <c r="E15" s="6">
        <f t="shared" si="0"/>
        <v>702500</v>
      </c>
      <c r="F15" s="6"/>
      <c r="G15" s="6"/>
      <c r="I15" s="4">
        <v>0.6</v>
      </c>
      <c r="J15" s="7">
        <f t="shared" si="1"/>
        <v>1124000</v>
      </c>
      <c r="K15" s="7">
        <f t="shared" si="2"/>
        <v>421500</v>
      </c>
      <c r="L15" s="4">
        <f t="shared" si="3"/>
        <v>0.375</v>
      </c>
      <c r="N15" s="7">
        <f t="shared" si="4"/>
        <v>2248</v>
      </c>
    </row>
    <row r="16" spans="1:34" x14ac:dyDescent="0.25">
      <c r="A16">
        <v>600</v>
      </c>
      <c r="E16" s="6">
        <f t="shared" si="0"/>
        <v>748000</v>
      </c>
      <c r="F16" s="6"/>
      <c r="G16" s="6"/>
      <c r="I16" s="4">
        <v>0.6</v>
      </c>
      <c r="J16" s="7">
        <f t="shared" si="1"/>
        <v>1196800</v>
      </c>
      <c r="K16" s="7">
        <f t="shared" si="2"/>
        <v>448800</v>
      </c>
      <c r="L16" s="4">
        <f t="shared" si="3"/>
        <v>0.375</v>
      </c>
      <c r="N16" s="7">
        <f t="shared" si="4"/>
        <v>1994.6666666666667</v>
      </c>
    </row>
    <row r="17" spans="1:14" x14ac:dyDescent="0.25">
      <c r="A17">
        <v>700</v>
      </c>
      <c r="E17" s="6">
        <f t="shared" si="0"/>
        <v>793500</v>
      </c>
      <c r="F17" s="6"/>
      <c r="G17" s="6"/>
      <c r="I17" s="4">
        <v>0.6</v>
      </c>
      <c r="J17" s="7">
        <f t="shared" si="1"/>
        <v>1269600</v>
      </c>
      <c r="K17" s="7">
        <f t="shared" si="2"/>
        <v>476100</v>
      </c>
      <c r="L17" s="4">
        <f t="shared" si="3"/>
        <v>0.375</v>
      </c>
      <c r="N17" s="7">
        <f t="shared" si="4"/>
        <v>1813.7142857142858</v>
      </c>
    </row>
    <row r="18" spans="1:14" x14ac:dyDescent="0.25">
      <c r="A18">
        <v>800</v>
      </c>
      <c r="E18" s="6">
        <f t="shared" si="0"/>
        <v>839000</v>
      </c>
      <c r="F18" s="6"/>
      <c r="G18" s="6"/>
      <c r="I18" s="4">
        <v>0.6</v>
      </c>
      <c r="J18" s="7">
        <f t="shared" si="1"/>
        <v>1342400</v>
      </c>
      <c r="K18" s="7">
        <f t="shared" si="2"/>
        <v>503400</v>
      </c>
      <c r="L18" s="4">
        <f t="shared" si="3"/>
        <v>0.375</v>
      </c>
      <c r="N18" s="7">
        <f t="shared" si="4"/>
        <v>1678</v>
      </c>
    </row>
    <row r="19" spans="1:14" x14ac:dyDescent="0.25">
      <c r="A19">
        <v>900</v>
      </c>
      <c r="E19" s="6">
        <f t="shared" si="0"/>
        <v>884500</v>
      </c>
      <c r="F19" s="6"/>
      <c r="G19" s="6"/>
      <c r="I19" s="4">
        <v>0.6</v>
      </c>
      <c r="J19" s="7">
        <f t="shared" si="1"/>
        <v>1415200</v>
      </c>
      <c r="K19" s="7">
        <f t="shared" si="2"/>
        <v>530700</v>
      </c>
      <c r="L19" s="4">
        <f t="shared" si="3"/>
        <v>0.375</v>
      </c>
      <c r="N19" s="7">
        <f t="shared" si="4"/>
        <v>1572.4444444444443</v>
      </c>
    </row>
    <row r="20" spans="1:14" x14ac:dyDescent="0.25">
      <c r="A20">
        <v>1000</v>
      </c>
      <c r="E20" s="6">
        <f t="shared" si="0"/>
        <v>930000</v>
      </c>
      <c r="F20" s="6"/>
      <c r="G20" s="6"/>
      <c r="I20" s="4">
        <v>0.4</v>
      </c>
      <c r="J20" s="7">
        <f t="shared" si="1"/>
        <v>1302000</v>
      </c>
      <c r="K20" s="7">
        <f t="shared" si="2"/>
        <v>372000</v>
      </c>
      <c r="L20" s="4">
        <f t="shared" si="3"/>
        <v>0.2857142857142857</v>
      </c>
      <c r="N20" s="7">
        <f t="shared" si="4"/>
        <v>1302</v>
      </c>
    </row>
    <row r="21" spans="1:14" x14ac:dyDescent="0.25">
      <c r="A21">
        <v>1200</v>
      </c>
      <c r="E21" s="6">
        <f t="shared" si="0"/>
        <v>1021000</v>
      </c>
      <c r="F21" s="6"/>
      <c r="G21" s="6"/>
      <c r="I21" s="4">
        <v>0.4</v>
      </c>
      <c r="J21" s="7">
        <f t="shared" si="1"/>
        <v>1429400</v>
      </c>
      <c r="K21" s="7">
        <f t="shared" si="2"/>
        <v>408400</v>
      </c>
      <c r="L21" s="4">
        <f t="shared" si="3"/>
        <v>0.2857142857142857</v>
      </c>
      <c r="N21" s="7">
        <f t="shared" si="4"/>
        <v>1191.1666666666667</v>
      </c>
    </row>
    <row r="22" spans="1:14" x14ac:dyDescent="0.25">
      <c r="A22">
        <v>1400</v>
      </c>
      <c r="E22" s="6">
        <f t="shared" si="0"/>
        <v>1112000</v>
      </c>
      <c r="F22" s="6"/>
      <c r="G22" s="6"/>
      <c r="I22" s="4">
        <v>0.4</v>
      </c>
      <c r="J22" s="7">
        <f t="shared" si="1"/>
        <v>1556800</v>
      </c>
      <c r="K22" s="7">
        <f t="shared" si="2"/>
        <v>444800</v>
      </c>
      <c r="L22" s="4">
        <f t="shared" si="3"/>
        <v>0.2857142857142857</v>
      </c>
      <c r="N22" s="7">
        <f t="shared" si="4"/>
        <v>1112</v>
      </c>
    </row>
    <row r="23" spans="1:14" x14ac:dyDescent="0.25">
      <c r="A23">
        <v>1500</v>
      </c>
      <c r="E23" s="6">
        <f t="shared" si="0"/>
        <v>1157500</v>
      </c>
      <c r="F23" s="6"/>
      <c r="G23" s="6"/>
      <c r="I23" s="4">
        <v>0.4</v>
      </c>
      <c r="J23" s="7">
        <f t="shared" si="1"/>
        <v>1620500</v>
      </c>
      <c r="K23" s="7">
        <f t="shared" si="2"/>
        <v>463000</v>
      </c>
      <c r="L23" s="4">
        <f t="shared" si="3"/>
        <v>0.2857142857142857</v>
      </c>
      <c r="N23" s="7">
        <f t="shared" si="4"/>
        <v>1080.3333333333333</v>
      </c>
    </row>
    <row r="24" spans="1:14" x14ac:dyDescent="0.25">
      <c r="A24">
        <v>2000</v>
      </c>
      <c r="E24" s="6">
        <f t="shared" si="0"/>
        <v>1385000</v>
      </c>
      <c r="F24" s="6"/>
      <c r="G24" s="6"/>
      <c r="I24" s="4">
        <v>0.4</v>
      </c>
      <c r="J24" s="7">
        <f t="shared" si="1"/>
        <v>1938999.9999999998</v>
      </c>
      <c r="K24" s="7">
        <f t="shared" si="2"/>
        <v>553999.99999999977</v>
      </c>
      <c r="L24" s="4">
        <f t="shared" si="3"/>
        <v>0.28571428571428564</v>
      </c>
      <c r="N24" s="7">
        <f t="shared" si="4"/>
        <v>969.49999999999989</v>
      </c>
    </row>
    <row r="25" spans="1:14" x14ac:dyDescent="0.25">
      <c r="A25">
        <v>2500</v>
      </c>
      <c r="E25" s="6">
        <f t="shared" si="0"/>
        <v>1612500</v>
      </c>
      <c r="F25" s="6"/>
      <c r="G25" s="6"/>
      <c r="I25" s="4">
        <v>0.4</v>
      </c>
      <c r="J25" s="7">
        <f t="shared" si="1"/>
        <v>2257500</v>
      </c>
      <c r="K25" s="7">
        <f t="shared" si="2"/>
        <v>645000</v>
      </c>
      <c r="L25" s="4">
        <f t="shared" si="3"/>
        <v>0.2857142857142857</v>
      </c>
      <c r="N25" s="7">
        <f t="shared" si="4"/>
        <v>903</v>
      </c>
    </row>
    <row r="26" spans="1:14" x14ac:dyDescent="0.25">
      <c r="A26">
        <v>3000</v>
      </c>
      <c r="E26" s="6">
        <f t="shared" si="0"/>
        <v>1840000</v>
      </c>
      <c r="F26" s="6"/>
      <c r="G26" s="6"/>
      <c r="I26" s="4">
        <v>0.4</v>
      </c>
      <c r="J26" s="7">
        <f t="shared" si="1"/>
        <v>2576000</v>
      </c>
      <c r="K26" s="7">
        <f t="shared" si="2"/>
        <v>736000</v>
      </c>
      <c r="L26" s="4">
        <f t="shared" si="3"/>
        <v>0.2857142857142857</v>
      </c>
      <c r="N26" s="7">
        <f t="shared" si="4"/>
        <v>858.66666666666663</v>
      </c>
    </row>
    <row r="27" spans="1:14" x14ac:dyDescent="0.25">
      <c r="A27">
        <v>3500</v>
      </c>
      <c r="E27" s="6">
        <f t="shared" si="0"/>
        <v>2067500</v>
      </c>
      <c r="F27" s="6"/>
      <c r="G27" s="6"/>
      <c r="I27" s="4">
        <v>0.4</v>
      </c>
      <c r="J27" s="7">
        <f t="shared" si="1"/>
        <v>2894500</v>
      </c>
      <c r="K27" s="7">
        <f t="shared" si="2"/>
        <v>827000</v>
      </c>
      <c r="L27" s="4">
        <f t="shared" si="3"/>
        <v>0.2857142857142857</v>
      </c>
      <c r="N27" s="7">
        <f t="shared" si="4"/>
        <v>827</v>
      </c>
    </row>
    <row r="28" spans="1:14" x14ac:dyDescent="0.25">
      <c r="A28">
        <v>4000</v>
      </c>
      <c r="E28" s="6">
        <f t="shared" si="0"/>
        <v>2295000</v>
      </c>
      <c r="F28" s="6"/>
      <c r="G28" s="6"/>
      <c r="I28" s="4">
        <v>0.4</v>
      </c>
      <c r="J28" s="7">
        <f t="shared" si="1"/>
        <v>3213000</v>
      </c>
      <c r="K28" s="7">
        <f t="shared" si="2"/>
        <v>918000</v>
      </c>
      <c r="L28" s="4">
        <f t="shared" si="3"/>
        <v>0.2857142857142857</v>
      </c>
      <c r="N28" s="7">
        <f t="shared" si="4"/>
        <v>803.25</v>
      </c>
    </row>
    <row r="29" spans="1:14" x14ac:dyDescent="0.25">
      <c r="A29">
        <v>5000</v>
      </c>
      <c r="E29" s="6">
        <f t="shared" si="0"/>
        <v>2750000</v>
      </c>
      <c r="F29" s="6"/>
      <c r="G29" s="6"/>
      <c r="I29" s="4">
        <v>0.4</v>
      </c>
      <c r="J29" s="7">
        <f t="shared" si="1"/>
        <v>3849999.9999999995</v>
      </c>
      <c r="K29" s="7">
        <f t="shared" si="2"/>
        <v>1099999.9999999995</v>
      </c>
      <c r="L29" s="4">
        <f t="shared" si="3"/>
        <v>0.28571428571428564</v>
      </c>
      <c r="N29" s="7">
        <f t="shared" si="4"/>
        <v>769.99999999999989</v>
      </c>
    </row>
    <row r="30" spans="1:14" x14ac:dyDescent="0.25">
      <c r="A30">
        <v>6000</v>
      </c>
      <c r="E30" s="6">
        <f t="shared" si="0"/>
        <v>3205000</v>
      </c>
      <c r="F30" s="6"/>
      <c r="G30" s="6"/>
      <c r="I30" s="4">
        <v>0.4</v>
      </c>
      <c r="J30" s="7">
        <f t="shared" si="1"/>
        <v>4487000</v>
      </c>
      <c r="K30" s="7">
        <f t="shared" si="2"/>
        <v>1282000</v>
      </c>
      <c r="L30" s="4">
        <f t="shared" si="3"/>
        <v>0.2857142857142857</v>
      </c>
      <c r="N30" s="7">
        <f t="shared" si="4"/>
        <v>747.83333333333337</v>
      </c>
    </row>
    <row r="31" spans="1:14" x14ac:dyDescent="0.25">
      <c r="A31">
        <v>7000</v>
      </c>
      <c r="E31" s="6">
        <f t="shared" si="0"/>
        <v>3660000</v>
      </c>
      <c r="F31" s="6"/>
      <c r="G31" s="6"/>
      <c r="I31" s="4">
        <v>0.4</v>
      </c>
      <c r="J31" s="7">
        <f t="shared" si="1"/>
        <v>5124000</v>
      </c>
      <c r="K31" s="7">
        <f t="shared" si="2"/>
        <v>1464000</v>
      </c>
      <c r="L31" s="4">
        <f t="shared" si="3"/>
        <v>0.2857142857142857</v>
      </c>
      <c r="N31" s="7">
        <f t="shared" si="4"/>
        <v>732</v>
      </c>
    </row>
    <row r="32" spans="1:14" x14ac:dyDescent="0.25">
      <c r="A32">
        <v>8000</v>
      </c>
      <c r="E32" s="6">
        <f t="shared" si="0"/>
        <v>4115000</v>
      </c>
      <c r="F32" s="6"/>
      <c r="G32" s="6"/>
      <c r="I32" s="4">
        <v>0.4</v>
      </c>
      <c r="J32" s="7">
        <f t="shared" si="1"/>
        <v>5761000</v>
      </c>
      <c r="K32" s="7">
        <f t="shared" si="2"/>
        <v>1646000</v>
      </c>
      <c r="L32" s="4">
        <f t="shared" si="3"/>
        <v>0.2857142857142857</v>
      </c>
      <c r="N32" s="7">
        <f t="shared" si="4"/>
        <v>720.125</v>
      </c>
    </row>
    <row r="33" spans="1:14" x14ac:dyDescent="0.25">
      <c r="A33">
        <v>9000</v>
      </c>
      <c r="E33" s="6">
        <f t="shared" si="0"/>
        <v>4570000</v>
      </c>
      <c r="F33" s="6"/>
      <c r="G33" s="6"/>
      <c r="I33" s="4">
        <v>0.4</v>
      </c>
      <c r="J33" s="7">
        <f t="shared" si="1"/>
        <v>6398000</v>
      </c>
      <c r="K33" s="7">
        <f t="shared" si="2"/>
        <v>1828000</v>
      </c>
      <c r="L33" s="4">
        <f t="shared" si="3"/>
        <v>0.2857142857142857</v>
      </c>
      <c r="N33" s="7">
        <f t="shared" si="4"/>
        <v>710.88888888888891</v>
      </c>
    </row>
    <row r="34" spans="1:14" x14ac:dyDescent="0.25">
      <c r="A34">
        <v>10000</v>
      </c>
      <c r="E34" s="6">
        <f t="shared" si="0"/>
        <v>5025000</v>
      </c>
      <c r="F34" s="6"/>
      <c r="G34" s="6"/>
      <c r="I34" s="4">
        <v>0.4</v>
      </c>
      <c r="J34" s="7">
        <f t="shared" si="1"/>
        <v>7035000</v>
      </c>
      <c r="K34" s="7">
        <f t="shared" si="2"/>
        <v>2010000</v>
      </c>
      <c r="L34" s="4">
        <f t="shared" si="3"/>
        <v>0.2857142857142857</v>
      </c>
      <c r="N34" s="7">
        <f t="shared" si="4"/>
        <v>703.5</v>
      </c>
    </row>
    <row r="35" spans="1:14" x14ac:dyDescent="0.25">
      <c r="A35">
        <v>15000</v>
      </c>
      <c r="E35" s="6">
        <f t="shared" si="0"/>
        <v>7300000</v>
      </c>
      <c r="F35" s="6"/>
      <c r="G35" s="6"/>
      <c r="I35" s="4">
        <v>0.4</v>
      </c>
      <c r="J35" s="7">
        <f t="shared" si="1"/>
        <v>10220000</v>
      </c>
      <c r="K35" s="7">
        <f t="shared" si="2"/>
        <v>2920000</v>
      </c>
      <c r="L35" s="4">
        <f t="shared" si="3"/>
        <v>0.2857142857142857</v>
      </c>
      <c r="N35" s="7">
        <f t="shared" si="4"/>
        <v>681.33333333333337</v>
      </c>
    </row>
    <row r="36" spans="1:14" x14ac:dyDescent="0.25">
      <c r="A36">
        <v>20000</v>
      </c>
      <c r="E36" s="6">
        <f t="shared" si="0"/>
        <v>9575000</v>
      </c>
      <c r="F36" s="6"/>
      <c r="G36" s="6"/>
      <c r="I36" s="4">
        <v>0.4</v>
      </c>
      <c r="J36" s="7">
        <f t="shared" si="1"/>
        <v>13405000</v>
      </c>
      <c r="K36" s="7">
        <f t="shared" si="2"/>
        <v>3830000</v>
      </c>
      <c r="L36" s="4">
        <f t="shared" si="3"/>
        <v>0.2857142857142857</v>
      </c>
      <c r="N36" s="7">
        <f t="shared" si="4"/>
        <v>670.25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BB4EC-8029-4CEA-AB7E-51DE680EDB7C}">
  <sheetPr codeName="Sheet1"/>
  <dimension ref="B2:F5"/>
  <sheetViews>
    <sheetView workbookViewId="0">
      <selection activeCell="M28" sqref="M28"/>
    </sheetView>
  </sheetViews>
  <sheetFormatPr defaultRowHeight="15" x14ac:dyDescent="0.25"/>
  <cols>
    <col min="3" max="3" width="10.5703125" bestFit="1" customWidth="1"/>
    <col min="4" max="4" width="7" bestFit="1" customWidth="1"/>
    <col min="6" max="6" width="12.140625" bestFit="1" customWidth="1"/>
  </cols>
  <sheetData>
    <row r="2" spans="2:6" x14ac:dyDescent="0.25">
      <c r="B2" t="str">
        <f t="array" ref="B2:F5">DanhSachMayIn()</f>
        <v>ma</v>
      </c>
      <c r="C2" t="str">
        <v>ten_may</v>
      </c>
      <c r="D2" t="str">
        <v>bhr</v>
      </c>
      <c r="E2" t="str">
        <v>thoi_gian_chuan_bi</v>
      </c>
      <c r="F2" t="str">
        <v>to_do_co_so</v>
      </c>
    </row>
    <row r="3" spans="2:6" x14ac:dyDescent="0.25">
      <c r="B3" t="str">
        <v>MI01</v>
      </c>
      <c r="C3" t="str">
        <v>Máy 03 001</v>
      </c>
      <c r="D3">
        <v>450000</v>
      </c>
      <c r="E3">
        <v>8.3333333333333329E-2</v>
      </c>
      <c r="F3">
        <v>0</v>
      </c>
    </row>
    <row r="4" spans="2:6" x14ac:dyDescent="0.25">
      <c r="B4" t="str">
        <v>MI02</v>
      </c>
      <c r="C4" t="str">
        <v>Máy 03 002</v>
      </c>
      <c r="D4">
        <v>500000</v>
      </c>
      <c r="E4">
        <v>8.3333333333333329E-2</v>
      </c>
      <c r="F4">
        <v>0</v>
      </c>
    </row>
    <row r="5" spans="2:6" x14ac:dyDescent="0.25">
      <c r="B5" t="str">
        <v>MI03</v>
      </c>
      <c r="C5" t="str">
        <v>Máy 03 003</v>
      </c>
      <c r="D5">
        <v>600000</v>
      </c>
      <c r="E5">
        <v>8.3333333333333329E-2</v>
      </c>
      <c r="F5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7E42-4822-4723-A438-BD1B80486773}">
  <sheetPr codeName="Trang_tính12"/>
  <dimension ref="A1:K27"/>
  <sheetViews>
    <sheetView workbookViewId="0">
      <selection activeCell="E6" sqref="E6"/>
    </sheetView>
  </sheetViews>
  <sheetFormatPr defaultRowHeight="15" x14ac:dyDescent="0.25"/>
  <cols>
    <col min="1" max="1" width="18" bestFit="1" customWidth="1"/>
    <col min="2" max="2" width="13.140625" bestFit="1" customWidth="1"/>
    <col min="3" max="3" width="14.85546875" bestFit="1" customWidth="1"/>
    <col min="4" max="4" width="15.85546875" bestFit="1" customWidth="1"/>
    <col min="5" max="5" width="21.5703125" bestFit="1" customWidth="1"/>
    <col min="6" max="6" width="14.85546875" bestFit="1" customWidth="1"/>
    <col min="8" max="8" width="16" bestFit="1" customWidth="1"/>
  </cols>
  <sheetData>
    <row r="1" spans="1:11" x14ac:dyDescent="0.25">
      <c r="A1" s="1" t="s">
        <v>168</v>
      </c>
      <c r="B1" t="s">
        <v>180</v>
      </c>
      <c r="C1" t="s">
        <v>182</v>
      </c>
    </row>
    <row r="2" spans="1:11" x14ac:dyDescent="0.25">
      <c r="A2" t="s">
        <v>169</v>
      </c>
      <c r="B2" t="s">
        <v>170</v>
      </c>
      <c r="D2" s="2" t="s">
        <v>209</v>
      </c>
      <c r="E2" t="s">
        <v>210</v>
      </c>
      <c r="J2">
        <v>1000</v>
      </c>
      <c r="K2">
        <v>120</v>
      </c>
    </row>
    <row r="3" spans="1:11" x14ac:dyDescent="0.25">
      <c r="A3" t="s">
        <v>171</v>
      </c>
      <c r="B3" t="s">
        <v>174</v>
      </c>
      <c r="C3">
        <v>24</v>
      </c>
      <c r="D3" s="25">
        <v>3000</v>
      </c>
      <c r="E3" s="27">
        <f>C3*D3</f>
        <v>72000</v>
      </c>
      <c r="J3">
        <v>2000</v>
      </c>
      <c r="K3">
        <v>88</v>
      </c>
    </row>
    <row r="4" spans="1:11" x14ac:dyDescent="0.25">
      <c r="A4" t="s">
        <v>172</v>
      </c>
      <c r="B4" t="s">
        <v>173</v>
      </c>
      <c r="J4">
        <v>3000</v>
      </c>
      <c r="K4">
        <v>78</v>
      </c>
    </row>
    <row r="5" spans="1:11" x14ac:dyDescent="0.25">
      <c r="A5" t="s">
        <v>175</v>
      </c>
      <c r="B5">
        <v>2</v>
      </c>
    </row>
    <row r="6" spans="1:11" x14ac:dyDescent="0.25">
      <c r="A6" t="s">
        <v>176</v>
      </c>
      <c r="B6">
        <v>2</v>
      </c>
      <c r="D6" t="s">
        <v>179</v>
      </c>
    </row>
    <row r="7" spans="1:11" x14ac:dyDescent="0.25">
      <c r="A7" t="s">
        <v>177</v>
      </c>
      <c r="B7">
        <v>52</v>
      </c>
      <c r="C7">
        <v>12</v>
      </c>
      <c r="D7">
        <f xml:space="preserve"> B7*C7</f>
        <v>624</v>
      </c>
    </row>
    <row r="8" spans="1:11" x14ac:dyDescent="0.25">
      <c r="A8" t="s">
        <v>178</v>
      </c>
      <c r="D8">
        <f xml:space="preserve"> B8*C8</f>
        <v>0</v>
      </c>
      <c r="E8" t="s">
        <v>183</v>
      </c>
      <c r="F8" t="s">
        <v>184</v>
      </c>
      <c r="G8" t="s">
        <v>185</v>
      </c>
    </row>
    <row r="9" spans="1:11" x14ac:dyDescent="0.25">
      <c r="D9">
        <f>SUM(D7:D8)</f>
        <v>624</v>
      </c>
      <c r="E9" t="s">
        <v>164</v>
      </c>
      <c r="F9">
        <v>850</v>
      </c>
      <c r="G9">
        <v>1</v>
      </c>
      <c r="H9" s="29">
        <f>(G9*D9)*F9</f>
        <v>530400</v>
      </c>
    </row>
    <row r="10" spans="1:11" x14ac:dyDescent="0.25">
      <c r="H10" s="29"/>
    </row>
    <row r="11" spans="1:11" ht="30" x14ac:dyDescent="0.25">
      <c r="B11" t="s">
        <v>206</v>
      </c>
      <c r="C11" t="s">
        <v>207</v>
      </c>
      <c r="D11" s="2" t="s">
        <v>208</v>
      </c>
      <c r="E11" t="s">
        <v>187</v>
      </c>
      <c r="F11" t="s">
        <v>188</v>
      </c>
      <c r="G11" t="s">
        <v>189</v>
      </c>
      <c r="H11" s="29"/>
    </row>
    <row r="12" spans="1:11" x14ac:dyDescent="0.25">
      <c r="A12" t="s">
        <v>186</v>
      </c>
      <c r="B12">
        <v>52</v>
      </c>
      <c r="C12">
        <v>10</v>
      </c>
      <c r="D12">
        <f xml:space="preserve"> B12*C12</f>
        <v>520</v>
      </c>
      <c r="E12" t="s">
        <v>160</v>
      </c>
      <c r="F12">
        <v>0.34</v>
      </c>
      <c r="G12" s="26">
        <f>($D$3*C3)/6</f>
        <v>12000</v>
      </c>
      <c r="H12" s="29">
        <f>(G12*D12)*F12</f>
        <v>2121600</v>
      </c>
    </row>
    <row r="13" spans="1:11" x14ac:dyDescent="0.25">
      <c r="G13" s="26"/>
      <c r="H13" s="29"/>
    </row>
    <row r="14" spans="1:11" x14ac:dyDescent="0.25">
      <c r="A14" t="s">
        <v>195</v>
      </c>
      <c r="B14" t="s">
        <v>196</v>
      </c>
      <c r="C14" t="s">
        <v>198</v>
      </c>
      <c r="G14" s="26"/>
      <c r="H14" s="29"/>
    </row>
    <row r="15" spans="1:11" x14ac:dyDescent="0.25">
      <c r="B15">
        <v>300</v>
      </c>
      <c r="C15">
        <f xml:space="preserve"> (3+1) * 2 + (8+1)*2</f>
        <v>26</v>
      </c>
      <c r="G15" s="26"/>
      <c r="H15" s="29"/>
    </row>
    <row r="17" spans="1:4" x14ac:dyDescent="0.25">
      <c r="A17" s="1" t="s">
        <v>199</v>
      </c>
      <c r="D17" s="26">
        <f>D3</f>
        <v>3000</v>
      </c>
    </row>
    <row r="18" spans="1:4" x14ac:dyDescent="0.25">
      <c r="C18" t="s">
        <v>191</v>
      </c>
      <c r="D18" t="s">
        <v>181</v>
      </c>
    </row>
    <row r="19" spans="1:4" x14ac:dyDescent="0.25">
      <c r="A19" t="s">
        <v>200</v>
      </c>
      <c r="C19">
        <v>1</v>
      </c>
      <c r="D19" s="28">
        <f xml:space="preserve"> PhiMayEpKimTuDong(D17*$C19)</f>
        <v>1103333.3333000001</v>
      </c>
    </row>
    <row r="20" spans="1:4" x14ac:dyDescent="0.25">
      <c r="A20" t="s">
        <v>192</v>
      </c>
      <c r="D20" s="7">
        <f>H9 + 100000</f>
        <v>630400</v>
      </c>
    </row>
    <row r="21" spans="1:4" x14ac:dyDescent="0.25">
      <c r="A21" t="s">
        <v>190</v>
      </c>
      <c r="D21" s="30">
        <f>H12</f>
        <v>2121600</v>
      </c>
    </row>
    <row r="22" spans="1:4" x14ac:dyDescent="0.25">
      <c r="A22" t="s">
        <v>193</v>
      </c>
      <c r="D22" s="30">
        <v>200000</v>
      </c>
    </row>
    <row r="23" spans="1:4" x14ac:dyDescent="0.25">
      <c r="A23" t="s">
        <v>194</v>
      </c>
      <c r="B23" t="s">
        <v>197</v>
      </c>
      <c r="C23">
        <f>D17/$B$15</f>
        <v>10</v>
      </c>
      <c r="D23" s="30">
        <f>PhiCatGiay(C23,$C$15)</f>
        <v>112152.77830000001</v>
      </c>
    </row>
    <row r="24" spans="1:4" x14ac:dyDescent="0.25">
      <c r="C24" t="s">
        <v>151</v>
      </c>
      <c r="D24" s="30">
        <f>SUM(D19:D23)</f>
        <v>4167486.1115999999</v>
      </c>
    </row>
    <row r="25" spans="1:4" x14ac:dyDescent="0.25">
      <c r="C25" t="s">
        <v>201</v>
      </c>
      <c r="D25" s="31">
        <v>0.25</v>
      </c>
    </row>
    <row r="26" spans="1:4" x14ac:dyDescent="0.25">
      <c r="C26" t="s">
        <v>202</v>
      </c>
      <c r="D26" s="7">
        <f>D24/(1-D25)</f>
        <v>5556648.1487999996</v>
      </c>
    </row>
    <row r="27" spans="1:4" x14ac:dyDescent="0.25">
      <c r="C27" t="s">
        <v>205</v>
      </c>
      <c r="D27" s="7">
        <f>D26/(E3)</f>
        <v>77.175668733333325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E8:E10" xr:uid="{1BBCF645-F3A9-4F66-9878-8134D284EFB9}">
      <formula1>OFFSET(GIA_KHUON_EP_KIM,1,0,,1)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E12:E15" xr:uid="{068D4243-F34F-4B7C-B139-1BEC04C2F191}">
      <formula1>OFFSET(GIA_NHU_EP_KIM,1,0,,1)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16D4F-25E0-4444-A9B3-CA4B9FB6551A}">
  <sheetPr codeName="Trang_tính15"/>
  <dimension ref="A1"/>
  <sheetViews>
    <sheetView workbookViewId="0">
      <selection activeCell="M30" sqref="M30"/>
    </sheetView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E804D-84A0-4F26-AA3A-0619413AC2B7}">
  <sheetPr codeName="Trang_tính16"/>
  <dimension ref="A1:J24"/>
  <sheetViews>
    <sheetView tabSelected="1" workbookViewId="0">
      <selection activeCell="I22" sqref="I22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274</v>
      </c>
    </row>
    <row r="2" spans="1:10" x14ac:dyDescent="0.25">
      <c r="A2" t="s">
        <v>290</v>
      </c>
      <c r="B2" s="35">
        <v>43609</v>
      </c>
    </row>
    <row r="3" spans="1:10" x14ac:dyDescent="0.25">
      <c r="B3" t="s">
        <v>206</v>
      </c>
      <c r="C3" t="s">
        <v>278</v>
      </c>
    </row>
    <row r="4" spans="1:10" x14ac:dyDescent="0.25">
      <c r="A4" t="s">
        <v>277</v>
      </c>
      <c r="B4">
        <v>29.7</v>
      </c>
      <c r="C4">
        <v>21</v>
      </c>
    </row>
    <row r="5" spans="1:10" ht="30" x14ac:dyDescent="0.25">
      <c r="A5" t="s">
        <v>275</v>
      </c>
      <c r="B5" s="1" t="s">
        <v>276</v>
      </c>
      <c r="E5" s="2" t="s">
        <v>300</v>
      </c>
    </row>
    <row r="6" spans="1:10" x14ac:dyDescent="0.25">
      <c r="A6" t="s">
        <v>288</v>
      </c>
      <c r="D6" s="1">
        <v>2</v>
      </c>
      <c r="E6">
        <v>2</v>
      </c>
    </row>
    <row r="7" spans="1:10" x14ac:dyDescent="0.25">
      <c r="A7" t="s">
        <v>203</v>
      </c>
      <c r="D7" s="37">
        <v>0.75</v>
      </c>
      <c r="E7" s="38" t="s">
        <v>302</v>
      </c>
    </row>
    <row r="8" spans="1:10" x14ac:dyDescent="0.25">
      <c r="B8" t="s">
        <v>284</v>
      </c>
      <c r="C8" t="s">
        <v>285</v>
      </c>
      <c r="D8" t="s">
        <v>287</v>
      </c>
      <c r="E8" t="s">
        <v>286</v>
      </c>
    </row>
    <row r="9" spans="1:10" x14ac:dyDescent="0.25">
      <c r="A9" t="s">
        <v>283</v>
      </c>
      <c r="B9" t="s">
        <v>247</v>
      </c>
      <c r="C9" t="s">
        <v>252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279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298</v>
      </c>
      <c r="E13">
        <f>E$12/$D$6 +1</f>
        <v>26</v>
      </c>
      <c r="F13">
        <f t="shared" ref="F13:J13" si="0">F$12/$D$6 +1</f>
        <v>51</v>
      </c>
      <c r="G13">
        <f t="shared" si="0"/>
        <v>76</v>
      </c>
      <c r="H13">
        <f t="shared" si="0"/>
        <v>101</v>
      </c>
      <c r="I13">
        <f t="shared" si="0"/>
        <v>126</v>
      </c>
      <c r="J13">
        <f t="shared" si="0"/>
        <v>151</v>
      </c>
    </row>
    <row r="14" spans="1:10" ht="30" x14ac:dyDescent="0.25">
      <c r="A14" s="2" t="s">
        <v>299</v>
      </c>
      <c r="E14">
        <f>E$13*$E$6</f>
        <v>52</v>
      </c>
      <c r="F14">
        <f t="shared" ref="F14:J14" si="1">F$13*$E$6</f>
        <v>102</v>
      </c>
      <c r="G14">
        <f t="shared" si="1"/>
        <v>152</v>
      </c>
      <c r="H14">
        <f t="shared" si="1"/>
        <v>202</v>
      </c>
      <c r="I14">
        <f t="shared" si="1"/>
        <v>252</v>
      </c>
      <c r="J14">
        <f t="shared" si="1"/>
        <v>302</v>
      </c>
    </row>
    <row r="15" spans="1:10" x14ac:dyDescent="0.25">
      <c r="A15" s="2" t="s">
        <v>293</v>
      </c>
      <c r="E15" s="36">
        <f>PhiMayInToner4M(E$14)</f>
        <v>102541.3333</v>
      </c>
      <c r="F15" s="36">
        <f t="shared" ref="F15:J16" si="2">PhiMayInToner4M(F$14)</f>
        <v>140241.3333</v>
      </c>
      <c r="G15" s="36">
        <f t="shared" si="2"/>
        <v>177941.3333</v>
      </c>
      <c r="H15" s="36">
        <f t="shared" si="2"/>
        <v>215641.3333</v>
      </c>
      <c r="I15" s="36">
        <f t="shared" si="2"/>
        <v>253341.3333</v>
      </c>
      <c r="J15" s="36">
        <f t="shared" si="2"/>
        <v>291041.3333</v>
      </c>
    </row>
    <row r="16" spans="1:10" x14ac:dyDescent="0.25">
      <c r="A16" s="2" t="s">
        <v>301</v>
      </c>
      <c r="E16" s="36">
        <f>E$15*2</f>
        <v>205082.6666</v>
      </c>
      <c r="F16" s="36">
        <f t="shared" ref="F16:J16" si="3">F$15*2</f>
        <v>280482.6666</v>
      </c>
      <c r="G16" s="36">
        <f t="shared" si="3"/>
        <v>355882.6666</v>
      </c>
      <c r="H16" s="36">
        <f t="shared" si="3"/>
        <v>431282.6666</v>
      </c>
      <c r="I16" s="36">
        <f t="shared" si="3"/>
        <v>506682.6666</v>
      </c>
      <c r="J16" s="36">
        <f t="shared" si="3"/>
        <v>582082.6666</v>
      </c>
    </row>
    <row r="17" spans="1:10" ht="30" x14ac:dyDescent="0.25">
      <c r="A17" s="2" t="s">
        <v>294</v>
      </c>
      <c r="E17" s="29">
        <f>E$15*(1+$D$7)</f>
        <v>179447.33327499998</v>
      </c>
      <c r="F17" s="29">
        <f>F$15*(1+$D$7)</f>
        <v>245422.33327499998</v>
      </c>
      <c r="G17" s="29">
        <f>G$15*(1+$D$7)</f>
        <v>311397.33327499998</v>
      </c>
      <c r="H17" s="29">
        <f>H$15*(1+$D$7)</f>
        <v>377372.33327499998</v>
      </c>
      <c r="I17" s="29">
        <f>I$15*(1+$D$7)</f>
        <v>443347.33327499998</v>
      </c>
      <c r="J17" s="29">
        <f>J$15*(1+$D$7)</f>
        <v>509322.33327499998</v>
      </c>
    </row>
    <row r="18" spans="1:10" ht="30" x14ac:dyDescent="0.25">
      <c r="A18" s="2" t="s">
        <v>297</v>
      </c>
      <c r="E18" s="29">
        <f>E$16*(1+$D$7)</f>
        <v>358894.66654999997</v>
      </c>
      <c r="F18" s="29">
        <f t="shared" ref="F18:J18" si="4">F$16*(1+$D$7)</f>
        <v>490844.66654999997</v>
      </c>
      <c r="G18" s="29">
        <f t="shared" si="4"/>
        <v>622794.66654999997</v>
      </c>
      <c r="H18" s="29">
        <f t="shared" si="4"/>
        <v>754744.66654999997</v>
      </c>
      <c r="I18" s="29">
        <f t="shared" si="4"/>
        <v>886694.66654999997</v>
      </c>
      <c r="J18" s="29">
        <f t="shared" si="4"/>
        <v>1018644.66655</v>
      </c>
    </row>
    <row r="19" spans="1:10" ht="30" x14ac:dyDescent="0.25">
      <c r="A19" s="2" t="s">
        <v>289</v>
      </c>
      <c r="E19" s="7">
        <f>E$17/E$13</f>
        <v>6901.8205105769221</v>
      </c>
      <c r="F19" s="7">
        <f t="shared" ref="F19:J19" si="5">F$17/F$13</f>
        <v>4812.2026132352939</v>
      </c>
      <c r="G19" s="7">
        <f t="shared" si="5"/>
        <v>4097.3333325657895</v>
      </c>
      <c r="H19" s="7">
        <f t="shared" si="5"/>
        <v>3736.3597353960395</v>
      </c>
      <c r="I19" s="7">
        <f t="shared" si="5"/>
        <v>3518.6296291666667</v>
      </c>
      <c r="J19" s="7">
        <f t="shared" si="5"/>
        <v>3372.9955846026487</v>
      </c>
    </row>
    <row r="20" spans="1:10" x14ac:dyDescent="0.25">
      <c r="A20" s="2" t="s">
        <v>291</v>
      </c>
      <c r="E20" s="7">
        <f>E$17/E$14</f>
        <v>3450.910255288461</v>
      </c>
      <c r="F20" s="7">
        <f t="shared" ref="F20:J20" si="6">F$17/F$14</f>
        <v>2406.101306617647</v>
      </c>
      <c r="G20" s="7">
        <f t="shared" si="6"/>
        <v>2048.6666662828948</v>
      </c>
      <c r="H20" s="7">
        <f t="shared" si="6"/>
        <v>1868.1798676980197</v>
      </c>
      <c r="I20" s="7">
        <f t="shared" si="6"/>
        <v>1759.3148145833334</v>
      </c>
      <c r="J20" s="7">
        <f t="shared" si="6"/>
        <v>1686.4977923013244</v>
      </c>
    </row>
    <row r="21" spans="1:10" x14ac:dyDescent="0.25">
      <c r="A21" s="2" t="s">
        <v>292</v>
      </c>
      <c r="E21" s="29">
        <f>$E$9*E$13</f>
        <v>23432.5</v>
      </c>
      <c r="F21" s="29">
        <f>$E$9*F$13</f>
        <v>45963.75</v>
      </c>
      <c r="G21" s="29">
        <f t="shared" ref="G21:J21" si="7">$E$9*G$13</f>
        <v>68495</v>
      </c>
      <c r="H21" s="29">
        <f t="shared" si="7"/>
        <v>91026.25</v>
      </c>
      <c r="I21" s="29">
        <f t="shared" si="7"/>
        <v>113557.5</v>
      </c>
      <c r="J21" s="29">
        <f t="shared" si="7"/>
        <v>136088.75</v>
      </c>
    </row>
    <row r="22" spans="1:10" ht="30" x14ac:dyDescent="0.25">
      <c r="A22" s="2" t="s">
        <v>295</v>
      </c>
      <c r="E22" s="29">
        <f>E$17+E$21</f>
        <v>202879.83327499998</v>
      </c>
      <c r="F22" s="29">
        <f t="shared" ref="F22:J22" si="8">F$17+F$21</f>
        <v>291386.08327499998</v>
      </c>
      <c r="G22" s="29">
        <f t="shared" si="8"/>
        <v>379892.33327499998</v>
      </c>
      <c r="H22" s="29">
        <f t="shared" si="8"/>
        <v>468398.58327499998</v>
      </c>
      <c r="I22" s="29">
        <f t="shared" si="8"/>
        <v>556904.83327499998</v>
      </c>
      <c r="J22" s="29">
        <f t="shared" si="8"/>
        <v>645411.08327499998</v>
      </c>
    </row>
    <row r="23" spans="1:10" ht="30" x14ac:dyDescent="0.25">
      <c r="A23" s="2" t="s">
        <v>296</v>
      </c>
      <c r="E23" s="29">
        <f>E$18+E$21</f>
        <v>382327.16654999997</v>
      </c>
      <c r="F23" s="29">
        <f t="shared" ref="F23:J23" si="9">F$18+F$21</f>
        <v>536808.41654999997</v>
      </c>
      <c r="G23" s="29">
        <f t="shared" si="9"/>
        <v>691289.66654999997</v>
      </c>
      <c r="H23" s="29">
        <f t="shared" si="9"/>
        <v>845770.91654999997</v>
      </c>
      <c r="I23" s="29">
        <f t="shared" si="9"/>
        <v>1000252.16655</v>
      </c>
      <c r="J23" s="29">
        <f t="shared" si="9"/>
        <v>1154733.41655</v>
      </c>
    </row>
    <row r="24" spans="1:10" x14ac:dyDescent="0.25">
      <c r="A24" s="2"/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8AC6C1AD-DD28-40C1-8983-144C0C30E413}">
      <formula1>OFFSET(GIA_GIAY_CO_BAN,1,0,,1)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C723C-28D3-46FA-920B-426ED4ECFD16}">
  <dimension ref="A1:J24"/>
  <sheetViews>
    <sheetView workbookViewId="0">
      <selection activeCell="C4" sqref="C4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303</v>
      </c>
    </row>
    <row r="2" spans="1:10" x14ac:dyDescent="0.25">
      <c r="A2" t="s">
        <v>290</v>
      </c>
      <c r="B2" s="35">
        <v>43609</v>
      </c>
    </row>
    <row r="3" spans="1:10" x14ac:dyDescent="0.25">
      <c r="B3" t="s">
        <v>206</v>
      </c>
      <c r="C3" t="s">
        <v>278</v>
      </c>
    </row>
    <row r="4" spans="1:10" x14ac:dyDescent="0.25">
      <c r="A4" t="s">
        <v>277</v>
      </c>
      <c r="B4">
        <v>14.5</v>
      </c>
      <c r="C4">
        <v>21</v>
      </c>
    </row>
    <row r="5" spans="1:10" ht="30" x14ac:dyDescent="0.25">
      <c r="A5" t="s">
        <v>275</v>
      </c>
      <c r="B5" s="1" t="s">
        <v>276</v>
      </c>
      <c r="E5" s="2" t="s">
        <v>300</v>
      </c>
    </row>
    <row r="6" spans="1:10" x14ac:dyDescent="0.25">
      <c r="A6" t="s">
        <v>288</v>
      </c>
      <c r="D6" s="1">
        <v>4</v>
      </c>
      <c r="E6">
        <v>2</v>
      </c>
    </row>
    <row r="7" spans="1:10" x14ac:dyDescent="0.25">
      <c r="A7" t="s">
        <v>203</v>
      </c>
      <c r="D7" s="37">
        <v>0.75</v>
      </c>
      <c r="E7" s="38" t="s">
        <v>302</v>
      </c>
    </row>
    <row r="8" spans="1:10" x14ac:dyDescent="0.25">
      <c r="B8" t="s">
        <v>284</v>
      </c>
      <c r="C8" t="s">
        <v>285</v>
      </c>
      <c r="D8" t="s">
        <v>287</v>
      </c>
      <c r="E8" t="s">
        <v>286</v>
      </c>
    </row>
    <row r="9" spans="1:10" x14ac:dyDescent="0.25">
      <c r="A9" t="s">
        <v>283</v>
      </c>
      <c r="B9" t="s">
        <v>247</v>
      </c>
      <c r="C9" t="s">
        <v>252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279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298</v>
      </c>
      <c r="E13">
        <f>ROUNDUP(E$12/$D$6 +1,0)</f>
        <v>14</v>
      </c>
      <c r="F13">
        <f t="shared" ref="F13:J13" si="0">ROUNDUP(F$12/$D$6 +1,0)</f>
        <v>26</v>
      </c>
      <c r="G13">
        <f t="shared" si="0"/>
        <v>39</v>
      </c>
      <c r="H13">
        <f t="shared" si="0"/>
        <v>51</v>
      </c>
      <c r="I13">
        <f t="shared" si="0"/>
        <v>64</v>
      </c>
      <c r="J13">
        <f t="shared" si="0"/>
        <v>76</v>
      </c>
    </row>
    <row r="14" spans="1:10" ht="30" x14ac:dyDescent="0.25">
      <c r="A14" s="2" t="s">
        <v>299</v>
      </c>
      <c r="E14">
        <f>E$13*$E$6</f>
        <v>28</v>
      </c>
      <c r="F14">
        <f t="shared" ref="F14:J14" si="1">F$13*$E$6</f>
        <v>52</v>
      </c>
      <c r="G14">
        <f t="shared" si="1"/>
        <v>78</v>
      </c>
      <c r="H14">
        <f t="shared" si="1"/>
        <v>102</v>
      </c>
      <c r="I14">
        <f t="shared" si="1"/>
        <v>128</v>
      </c>
      <c r="J14">
        <f t="shared" si="1"/>
        <v>152</v>
      </c>
    </row>
    <row r="15" spans="1:10" x14ac:dyDescent="0.25">
      <c r="A15" s="2" t="s">
        <v>293</v>
      </c>
      <c r="E15" s="36">
        <f>PhiMayInToner4M(E$14)</f>
        <v>84445.333299999998</v>
      </c>
      <c r="F15" s="36">
        <f t="shared" ref="F15:J16" si="2">PhiMayInToner4M(F$14)</f>
        <v>102541.3333</v>
      </c>
      <c r="G15" s="36">
        <f t="shared" si="2"/>
        <v>122145.3333</v>
      </c>
      <c r="H15" s="36">
        <f t="shared" si="2"/>
        <v>140241.3333</v>
      </c>
      <c r="I15" s="36">
        <f t="shared" si="2"/>
        <v>159845.3333</v>
      </c>
      <c r="J15" s="36">
        <f t="shared" si="2"/>
        <v>177941.3333</v>
      </c>
    </row>
    <row r="16" spans="1:10" x14ac:dyDescent="0.25">
      <c r="A16" s="2" t="s">
        <v>301</v>
      </c>
      <c r="E16" s="36">
        <f>E$15*2</f>
        <v>168890.6666</v>
      </c>
      <c r="F16" s="36">
        <f t="shared" ref="F16:J16" si="3">F$15*2</f>
        <v>205082.6666</v>
      </c>
      <c r="G16" s="36">
        <f t="shared" si="3"/>
        <v>244290.6666</v>
      </c>
      <c r="H16" s="36">
        <f t="shared" si="3"/>
        <v>280482.6666</v>
      </c>
      <c r="I16" s="36">
        <f t="shared" si="3"/>
        <v>319690.6666</v>
      </c>
      <c r="J16" s="36">
        <f t="shared" si="3"/>
        <v>355882.6666</v>
      </c>
    </row>
    <row r="17" spans="1:10" ht="30" x14ac:dyDescent="0.25">
      <c r="A17" s="2" t="s">
        <v>294</v>
      </c>
      <c r="E17" s="29">
        <f>E$15*(1+$D$7)</f>
        <v>147779.33327499998</v>
      </c>
      <c r="F17" s="29">
        <f>F$15*(1+$D$7)</f>
        <v>179447.33327499998</v>
      </c>
      <c r="G17" s="29">
        <f>G$15*(1+$D$7)</f>
        <v>213754.33327499998</v>
      </c>
      <c r="H17" s="29">
        <f>H$15*(1+$D$7)</f>
        <v>245422.33327499998</v>
      </c>
      <c r="I17" s="29">
        <f>I$15*(1+$D$7)</f>
        <v>279729.33327499998</v>
      </c>
      <c r="J17" s="29">
        <f>J$15*(1+$D$7)</f>
        <v>311397.33327499998</v>
      </c>
    </row>
    <row r="18" spans="1:10" ht="30" x14ac:dyDescent="0.25">
      <c r="A18" s="2" t="s">
        <v>297</v>
      </c>
      <c r="E18" s="29">
        <f>E$16*(1+$D$7)</f>
        <v>295558.66654999997</v>
      </c>
      <c r="F18" s="29">
        <f t="shared" ref="F18:J18" si="4">F$16*(1+$D$7)</f>
        <v>358894.66654999997</v>
      </c>
      <c r="G18" s="29">
        <f t="shared" si="4"/>
        <v>427508.66654999997</v>
      </c>
      <c r="H18" s="29">
        <f t="shared" si="4"/>
        <v>490844.66654999997</v>
      </c>
      <c r="I18" s="29">
        <f t="shared" si="4"/>
        <v>559458.66654999997</v>
      </c>
      <c r="J18" s="29">
        <f t="shared" si="4"/>
        <v>622794.66654999997</v>
      </c>
    </row>
    <row r="19" spans="1:10" x14ac:dyDescent="0.25">
      <c r="A19" s="2" t="s">
        <v>289</v>
      </c>
      <c r="E19" s="7">
        <f>E$17/E$13</f>
        <v>10555.666662499998</v>
      </c>
      <c r="F19" s="7">
        <f t="shared" ref="F19:J19" si="5">F$17/F$13</f>
        <v>6901.8205105769221</v>
      </c>
      <c r="G19" s="7">
        <f t="shared" si="5"/>
        <v>5480.880340384615</v>
      </c>
      <c r="H19" s="7">
        <f t="shared" si="5"/>
        <v>4812.2026132352939</v>
      </c>
      <c r="I19" s="7">
        <f t="shared" si="5"/>
        <v>4370.7708324218747</v>
      </c>
      <c r="J19" s="7">
        <f t="shared" si="5"/>
        <v>4097.3333325657895</v>
      </c>
    </row>
    <row r="20" spans="1:10" x14ac:dyDescent="0.25">
      <c r="A20" s="2" t="s">
        <v>291</v>
      </c>
      <c r="E20" s="7">
        <f>E$17/E$14</f>
        <v>5277.833331249999</v>
      </c>
      <c r="F20" s="7">
        <f t="shared" ref="F20:J20" si="6">F$17/F$14</f>
        <v>3450.910255288461</v>
      </c>
      <c r="G20" s="7">
        <f t="shared" si="6"/>
        <v>2740.4401701923075</v>
      </c>
      <c r="H20" s="7">
        <f t="shared" si="6"/>
        <v>2406.101306617647</v>
      </c>
      <c r="I20" s="7">
        <f t="shared" si="6"/>
        <v>2185.3854162109374</v>
      </c>
      <c r="J20" s="7">
        <f t="shared" si="6"/>
        <v>2048.6666662828948</v>
      </c>
    </row>
    <row r="21" spans="1:10" x14ac:dyDescent="0.25">
      <c r="A21" s="2" t="s">
        <v>292</v>
      </c>
      <c r="E21" s="29">
        <f>$E$9*E$13</f>
        <v>12617.5</v>
      </c>
      <c r="F21" s="29">
        <f>$E$9*F$13</f>
        <v>23432.5</v>
      </c>
      <c r="G21" s="29">
        <f t="shared" ref="G21:J21" si="7">$E$9*G$13</f>
        <v>35148.75</v>
      </c>
      <c r="H21" s="29">
        <f t="shared" si="7"/>
        <v>45963.75</v>
      </c>
      <c r="I21" s="29">
        <f t="shared" si="7"/>
        <v>57680</v>
      </c>
      <c r="J21" s="29">
        <f t="shared" si="7"/>
        <v>68495</v>
      </c>
    </row>
    <row r="22" spans="1:10" ht="30" x14ac:dyDescent="0.25">
      <c r="A22" s="2" t="s">
        <v>295</v>
      </c>
      <c r="E22" s="29">
        <f>E$17+E$21</f>
        <v>160396.83327499998</v>
      </c>
      <c r="F22" s="29">
        <f t="shared" ref="F22:J22" si="8">F$17+F$21</f>
        <v>202879.83327499998</v>
      </c>
      <c r="G22" s="29">
        <f t="shared" si="8"/>
        <v>248903.08327499998</v>
      </c>
      <c r="H22" s="29">
        <f t="shared" si="8"/>
        <v>291386.08327499998</v>
      </c>
      <c r="I22" s="29">
        <f t="shared" si="8"/>
        <v>337409.33327499998</v>
      </c>
      <c r="J22" s="29">
        <f t="shared" si="8"/>
        <v>379892.33327499998</v>
      </c>
    </row>
    <row r="23" spans="1:10" ht="30" x14ac:dyDescent="0.25">
      <c r="A23" s="2" t="s">
        <v>296</v>
      </c>
      <c r="E23" s="29">
        <f>E$18+E$21</f>
        <v>308176.16654999997</v>
      </c>
      <c r="F23" s="29">
        <f t="shared" ref="F23:J23" si="9">F$18+F$21</f>
        <v>382327.16654999997</v>
      </c>
      <c r="G23" s="29">
        <f t="shared" si="9"/>
        <v>462657.41654999997</v>
      </c>
      <c r="H23" s="29">
        <f t="shared" si="9"/>
        <v>536808.41654999997</v>
      </c>
      <c r="I23" s="29">
        <f t="shared" si="9"/>
        <v>617138.66654999997</v>
      </c>
      <c r="J23" s="29">
        <f t="shared" si="9"/>
        <v>691289.66654999997</v>
      </c>
    </row>
    <row r="24" spans="1:10" x14ac:dyDescent="0.25">
      <c r="A24" s="2"/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F247B577-D94B-4231-AD3E-240F869C581F}">
      <formula1>OFFSET(GIA_GIAY_CO_BAN,1,0,,1)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7D665-4750-49E6-9D45-67CBAE3CD41A}">
  <dimension ref="A1:J24"/>
  <sheetViews>
    <sheetView workbookViewId="0">
      <selection activeCell="G5" sqref="G5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304</v>
      </c>
    </row>
    <row r="2" spans="1:10" x14ac:dyDescent="0.25">
      <c r="A2" t="s">
        <v>290</v>
      </c>
      <c r="B2" s="35">
        <v>43609</v>
      </c>
    </row>
    <row r="3" spans="1:10" x14ac:dyDescent="0.25">
      <c r="B3" t="s">
        <v>206</v>
      </c>
      <c r="C3" t="s">
        <v>278</v>
      </c>
    </row>
    <row r="4" spans="1:10" x14ac:dyDescent="0.25">
      <c r="A4" t="s">
        <v>277</v>
      </c>
      <c r="B4">
        <v>14.5</v>
      </c>
      <c r="C4">
        <v>10</v>
      </c>
    </row>
    <row r="5" spans="1:10" ht="30" x14ac:dyDescent="0.25">
      <c r="A5" t="s">
        <v>275</v>
      </c>
      <c r="B5" s="1" t="s">
        <v>276</v>
      </c>
      <c r="E5" s="2" t="s">
        <v>300</v>
      </c>
    </row>
    <row r="6" spans="1:10" x14ac:dyDescent="0.25">
      <c r="A6" t="s">
        <v>288</v>
      </c>
      <c r="D6" s="1">
        <f>4*2</f>
        <v>8</v>
      </c>
      <c r="E6">
        <v>2</v>
      </c>
    </row>
    <row r="7" spans="1:10" x14ac:dyDescent="0.25">
      <c r="A7" t="s">
        <v>203</v>
      </c>
      <c r="D7" s="37">
        <v>0.75</v>
      </c>
      <c r="E7" s="38" t="s">
        <v>302</v>
      </c>
    </row>
    <row r="8" spans="1:10" x14ac:dyDescent="0.25">
      <c r="B8" t="s">
        <v>284</v>
      </c>
      <c r="C8" t="s">
        <v>285</v>
      </c>
      <c r="D8" t="s">
        <v>287</v>
      </c>
      <c r="E8" t="s">
        <v>286</v>
      </c>
    </row>
    <row r="9" spans="1:10" x14ac:dyDescent="0.25">
      <c r="A9" t="s">
        <v>283</v>
      </c>
      <c r="B9" t="s">
        <v>247</v>
      </c>
      <c r="C9" t="s">
        <v>252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279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298</v>
      </c>
      <c r="E13">
        <f>ROUNDUP(E$12/$D$6 +1,0)</f>
        <v>8</v>
      </c>
      <c r="F13">
        <f t="shared" ref="F13:J13" si="0">ROUNDUP(F$12/$D$6 +1,0)</f>
        <v>14</v>
      </c>
      <c r="G13">
        <f t="shared" si="0"/>
        <v>20</v>
      </c>
      <c r="H13">
        <f t="shared" si="0"/>
        <v>26</v>
      </c>
      <c r="I13">
        <f t="shared" si="0"/>
        <v>33</v>
      </c>
      <c r="J13">
        <f t="shared" si="0"/>
        <v>39</v>
      </c>
    </row>
    <row r="14" spans="1:10" ht="30" x14ac:dyDescent="0.25">
      <c r="A14" s="2" t="s">
        <v>299</v>
      </c>
      <c r="E14">
        <f>E$13*$E$6</f>
        <v>16</v>
      </c>
      <c r="F14">
        <f t="shared" ref="F14:J14" si="1">F$13*$E$6</f>
        <v>28</v>
      </c>
      <c r="G14">
        <f t="shared" si="1"/>
        <v>40</v>
      </c>
      <c r="H14">
        <f t="shared" si="1"/>
        <v>52</v>
      </c>
      <c r="I14">
        <f t="shared" si="1"/>
        <v>66</v>
      </c>
      <c r="J14">
        <f t="shared" si="1"/>
        <v>78</v>
      </c>
    </row>
    <row r="15" spans="1:10" x14ac:dyDescent="0.25">
      <c r="A15" s="2" t="s">
        <v>293</v>
      </c>
      <c r="E15" s="36">
        <f>PhiMayInToner4M(E$14)</f>
        <v>75397.333299999998</v>
      </c>
      <c r="F15" s="36">
        <f t="shared" ref="F15:J16" si="2">PhiMayInToner4M(F$14)</f>
        <v>84445.333299999998</v>
      </c>
      <c r="G15" s="36">
        <f t="shared" si="2"/>
        <v>93493.333299999998</v>
      </c>
      <c r="H15" s="36">
        <f t="shared" si="2"/>
        <v>102541.3333</v>
      </c>
      <c r="I15" s="36">
        <f t="shared" si="2"/>
        <v>113097.3333</v>
      </c>
      <c r="J15" s="36">
        <f t="shared" si="2"/>
        <v>122145.3333</v>
      </c>
    </row>
    <row r="16" spans="1:10" x14ac:dyDescent="0.25">
      <c r="A16" s="2" t="s">
        <v>301</v>
      </c>
      <c r="E16" s="36">
        <f>E$15*2</f>
        <v>150794.6666</v>
      </c>
      <c r="F16" s="36">
        <f t="shared" ref="F16:J16" si="3">F$15*2</f>
        <v>168890.6666</v>
      </c>
      <c r="G16" s="36">
        <f t="shared" si="3"/>
        <v>186986.6666</v>
      </c>
      <c r="H16" s="36">
        <f t="shared" si="3"/>
        <v>205082.6666</v>
      </c>
      <c r="I16" s="36">
        <f t="shared" si="3"/>
        <v>226194.6666</v>
      </c>
      <c r="J16" s="36">
        <f t="shared" si="3"/>
        <v>244290.6666</v>
      </c>
    </row>
    <row r="17" spans="1:10" ht="30" x14ac:dyDescent="0.25">
      <c r="A17" s="2" t="s">
        <v>294</v>
      </c>
      <c r="E17" s="29">
        <f>E$15*(1+$D$7)</f>
        <v>131945.33327499998</v>
      </c>
      <c r="F17" s="29">
        <f>F$15*(1+$D$7)</f>
        <v>147779.33327499998</v>
      </c>
      <c r="G17" s="29">
        <f>G$15*(1+$D$7)</f>
        <v>163613.33327499998</v>
      </c>
      <c r="H17" s="29">
        <f>H$15*(1+$D$7)</f>
        <v>179447.33327499998</v>
      </c>
      <c r="I17" s="29">
        <f>I$15*(1+$D$7)</f>
        <v>197920.33327499998</v>
      </c>
      <c r="J17" s="29">
        <f>J$15*(1+$D$7)</f>
        <v>213754.33327499998</v>
      </c>
    </row>
    <row r="18" spans="1:10" ht="30" x14ac:dyDescent="0.25">
      <c r="A18" s="2" t="s">
        <v>297</v>
      </c>
      <c r="E18" s="29">
        <f>E$16*(1+$D$7)</f>
        <v>263890.66654999997</v>
      </c>
      <c r="F18" s="29">
        <f t="shared" ref="F18:J18" si="4">F$16*(1+$D$7)</f>
        <v>295558.66654999997</v>
      </c>
      <c r="G18" s="29">
        <f t="shared" si="4"/>
        <v>327226.66654999997</v>
      </c>
      <c r="H18" s="29">
        <f t="shared" si="4"/>
        <v>358894.66654999997</v>
      </c>
      <c r="I18" s="29">
        <f t="shared" si="4"/>
        <v>395840.66654999997</v>
      </c>
      <c r="J18" s="29">
        <f t="shared" si="4"/>
        <v>427508.66654999997</v>
      </c>
    </row>
    <row r="19" spans="1:10" x14ac:dyDescent="0.25">
      <c r="A19" s="2" t="s">
        <v>289</v>
      </c>
      <c r="E19" s="7">
        <f>E$17/E$13</f>
        <v>16493.166659374998</v>
      </c>
      <c r="F19" s="7">
        <f t="shared" ref="F19:J19" si="5">F$17/F$13</f>
        <v>10555.666662499998</v>
      </c>
      <c r="G19" s="7">
        <f t="shared" si="5"/>
        <v>8180.6666637499993</v>
      </c>
      <c r="H19" s="7">
        <f t="shared" si="5"/>
        <v>6901.8205105769221</v>
      </c>
      <c r="I19" s="7">
        <f t="shared" si="5"/>
        <v>5997.5858568181811</v>
      </c>
      <c r="J19" s="7">
        <f t="shared" si="5"/>
        <v>5480.880340384615</v>
      </c>
    </row>
    <row r="20" spans="1:10" x14ac:dyDescent="0.25">
      <c r="A20" s="2" t="s">
        <v>291</v>
      </c>
      <c r="E20" s="7">
        <f>E$17/E$14</f>
        <v>8246.5833296874989</v>
      </c>
      <c r="F20" s="7">
        <f t="shared" ref="F20:J20" si="6">F$17/F$14</f>
        <v>5277.833331249999</v>
      </c>
      <c r="G20" s="7">
        <f t="shared" si="6"/>
        <v>4090.3333318749997</v>
      </c>
      <c r="H20" s="7">
        <f t="shared" si="6"/>
        <v>3450.910255288461</v>
      </c>
      <c r="I20" s="7">
        <f t="shared" si="6"/>
        <v>2998.7929284090906</v>
      </c>
      <c r="J20" s="7">
        <f t="shared" si="6"/>
        <v>2740.4401701923075</v>
      </c>
    </row>
    <row r="21" spans="1:10" x14ac:dyDescent="0.25">
      <c r="A21" s="2" t="s">
        <v>292</v>
      </c>
      <c r="E21" s="29">
        <f>$E$9*E$13</f>
        <v>7210</v>
      </c>
      <c r="F21" s="29">
        <f>$E$9*F$13</f>
        <v>12617.5</v>
      </c>
      <c r="G21" s="29">
        <f t="shared" ref="G21:J21" si="7">$E$9*G$13</f>
        <v>18025</v>
      </c>
      <c r="H21" s="29">
        <f t="shared" si="7"/>
        <v>23432.5</v>
      </c>
      <c r="I21" s="29">
        <f t="shared" si="7"/>
        <v>29741.25</v>
      </c>
      <c r="J21" s="29">
        <f t="shared" si="7"/>
        <v>35148.75</v>
      </c>
    </row>
    <row r="22" spans="1:10" ht="30" x14ac:dyDescent="0.25">
      <c r="A22" s="2" t="s">
        <v>295</v>
      </c>
      <c r="E22" s="29">
        <f>E$17+E$21</f>
        <v>139155.33327499998</v>
      </c>
      <c r="F22" s="29">
        <f t="shared" ref="F22:J22" si="8">F$17+F$21</f>
        <v>160396.83327499998</v>
      </c>
      <c r="G22" s="29">
        <f t="shared" si="8"/>
        <v>181638.33327499998</v>
      </c>
      <c r="H22" s="29">
        <f t="shared" si="8"/>
        <v>202879.83327499998</v>
      </c>
      <c r="I22" s="29">
        <f t="shared" si="8"/>
        <v>227661.58327499998</v>
      </c>
      <c r="J22" s="29">
        <f t="shared" si="8"/>
        <v>248903.08327499998</v>
      </c>
    </row>
    <row r="23" spans="1:10" ht="30" x14ac:dyDescent="0.25">
      <c r="A23" s="2" t="s">
        <v>296</v>
      </c>
      <c r="E23" s="29">
        <f>E$18+E$21</f>
        <v>271100.66654999997</v>
      </c>
      <c r="F23" s="29">
        <f t="shared" ref="F23:J23" si="9">F$18+F$21</f>
        <v>308176.16654999997</v>
      </c>
      <c r="G23" s="29">
        <f t="shared" si="9"/>
        <v>345251.66654999997</v>
      </c>
      <c r="H23" s="29">
        <f t="shared" si="9"/>
        <v>382327.16654999997</v>
      </c>
      <c r="I23" s="29">
        <f t="shared" si="9"/>
        <v>425581.91654999997</v>
      </c>
      <c r="J23" s="29">
        <f t="shared" si="9"/>
        <v>462657.41654999997</v>
      </c>
    </row>
    <row r="24" spans="1:10" x14ac:dyDescent="0.25">
      <c r="A24" s="2"/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25197522-FE46-4DBD-8B94-7BF7BB41DBEA}">
      <formula1>OFFSET(GIA_GIAY_CO_BAN,1,0,,1)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DA6AC-FE19-4653-87A1-F8537DF0BC1C}">
  <dimension ref="A1:J24"/>
  <sheetViews>
    <sheetView workbookViewId="0">
      <selection activeCell="H7" sqref="H7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305</v>
      </c>
    </row>
    <row r="2" spans="1:10" x14ac:dyDescent="0.25">
      <c r="A2" t="s">
        <v>290</v>
      </c>
      <c r="B2" s="35">
        <v>43609</v>
      </c>
    </row>
    <row r="3" spans="1:10" x14ac:dyDescent="0.25">
      <c r="B3" t="s">
        <v>206</v>
      </c>
      <c r="C3" t="s">
        <v>278</v>
      </c>
    </row>
    <row r="4" spans="1:10" x14ac:dyDescent="0.25">
      <c r="A4" t="s">
        <v>277</v>
      </c>
      <c r="B4">
        <v>14.5</v>
      </c>
      <c r="C4">
        <v>10</v>
      </c>
    </row>
    <row r="5" spans="1:10" ht="30" x14ac:dyDescent="0.25">
      <c r="A5" t="s">
        <v>275</v>
      </c>
      <c r="B5" s="1" t="s">
        <v>276</v>
      </c>
      <c r="E5" s="2" t="s">
        <v>300</v>
      </c>
    </row>
    <row r="6" spans="1:10" x14ac:dyDescent="0.25">
      <c r="A6" t="s">
        <v>288</v>
      </c>
      <c r="D6" s="1">
        <v>6</v>
      </c>
      <c r="E6">
        <v>2</v>
      </c>
    </row>
    <row r="7" spans="1:10" x14ac:dyDescent="0.25">
      <c r="A7" t="s">
        <v>203</v>
      </c>
      <c r="D7" s="37">
        <v>0.75</v>
      </c>
      <c r="E7" s="38" t="s">
        <v>302</v>
      </c>
    </row>
    <row r="8" spans="1:10" x14ac:dyDescent="0.25">
      <c r="B8" t="s">
        <v>284</v>
      </c>
      <c r="C8" t="s">
        <v>285</v>
      </c>
      <c r="D8" t="s">
        <v>287</v>
      </c>
      <c r="E8" t="s">
        <v>286</v>
      </c>
    </row>
    <row r="9" spans="1:10" x14ac:dyDescent="0.25">
      <c r="A9" t="s">
        <v>283</v>
      </c>
      <c r="B9" t="s">
        <v>247</v>
      </c>
      <c r="C9" t="s">
        <v>252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279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298</v>
      </c>
      <c r="E13">
        <f>ROUNDUP(E$12/$D$6 +1,0)</f>
        <v>10</v>
      </c>
      <c r="F13">
        <f t="shared" ref="F13:J13" si="0">ROUNDUP(F$12/$D$6 +1,0)</f>
        <v>18</v>
      </c>
      <c r="G13">
        <f t="shared" si="0"/>
        <v>26</v>
      </c>
      <c r="H13">
        <f t="shared" si="0"/>
        <v>35</v>
      </c>
      <c r="I13">
        <f t="shared" si="0"/>
        <v>43</v>
      </c>
      <c r="J13">
        <f t="shared" si="0"/>
        <v>51</v>
      </c>
    </row>
    <row r="14" spans="1:10" ht="30" x14ac:dyDescent="0.25">
      <c r="A14" s="2" t="s">
        <v>299</v>
      </c>
      <c r="E14">
        <f>E$13*$E$6</f>
        <v>20</v>
      </c>
      <c r="F14">
        <f t="shared" ref="F14:J14" si="1">F$13*$E$6</f>
        <v>36</v>
      </c>
      <c r="G14">
        <f t="shared" si="1"/>
        <v>52</v>
      </c>
      <c r="H14">
        <f t="shared" si="1"/>
        <v>70</v>
      </c>
      <c r="I14">
        <f t="shared" si="1"/>
        <v>86</v>
      </c>
      <c r="J14">
        <f t="shared" si="1"/>
        <v>102</v>
      </c>
    </row>
    <row r="15" spans="1:10" x14ac:dyDescent="0.25">
      <c r="A15" s="2" t="s">
        <v>293</v>
      </c>
      <c r="E15" s="36">
        <f>PhiMayInToner4M(E$14)</f>
        <v>78413.333299999998</v>
      </c>
      <c r="F15" s="36">
        <f t="shared" ref="F15:J16" si="2">PhiMayInToner4M(F$14)</f>
        <v>90477.333299999998</v>
      </c>
      <c r="G15" s="36">
        <f t="shared" si="2"/>
        <v>102541.3333</v>
      </c>
      <c r="H15" s="36">
        <f t="shared" si="2"/>
        <v>116113.3333</v>
      </c>
      <c r="I15" s="36">
        <f t="shared" si="2"/>
        <v>128177.3333</v>
      </c>
      <c r="J15" s="36">
        <f t="shared" si="2"/>
        <v>140241.3333</v>
      </c>
    </row>
    <row r="16" spans="1:10" x14ac:dyDescent="0.25">
      <c r="A16" s="2" t="s">
        <v>301</v>
      </c>
      <c r="E16" s="36">
        <f>E$15*2</f>
        <v>156826.6666</v>
      </c>
      <c r="F16" s="36">
        <f t="shared" ref="F16:J16" si="3">F$15*2</f>
        <v>180954.6666</v>
      </c>
      <c r="G16" s="36">
        <f t="shared" si="3"/>
        <v>205082.6666</v>
      </c>
      <c r="H16" s="36">
        <f t="shared" si="3"/>
        <v>232226.6666</v>
      </c>
      <c r="I16" s="36">
        <f t="shared" si="3"/>
        <v>256354.6666</v>
      </c>
      <c r="J16" s="36">
        <f t="shared" si="3"/>
        <v>280482.6666</v>
      </c>
    </row>
    <row r="17" spans="1:10" ht="30" x14ac:dyDescent="0.25">
      <c r="A17" s="2" t="s">
        <v>294</v>
      </c>
      <c r="E17" s="29">
        <f>E$15*(1+$D$7)</f>
        <v>137223.33327499998</v>
      </c>
      <c r="F17" s="29">
        <f>F$15*(1+$D$7)</f>
        <v>158335.33327499998</v>
      </c>
      <c r="G17" s="29">
        <f>G$15*(1+$D$7)</f>
        <v>179447.33327499998</v>
      </c>
      <c r="H17" s="29">
        <f>H$15*(1+$D$7)</f>
        <v>203198.33327499998</v>
      </c>
      <c r="I17" s="29">
        <f>I$15*(1+$D$7)</f>
        <v>224310.33327499998</v>
      </c>
      <c r="J17" s="29">
        <f>J$15*(1+$D$7)</f>
        <v>245422.33327499998</v>
      </c>
    </row>
    <row r="18" spans="1:10" ht="30" x14ac:dyDescent="0.25">
      <c r="A18" s="2" t="s">
        <v>297</v>
      </c>
      <c r="E18" s="29">
        <f>E$16*(1+$D$7)</f>
        <v>274446.66654999997</v>
      </c>
      <c r="F18" s="29">
        <f t="shared" ref="F18:J18" si="4">F$16*(1+$D$7)</f>
        <v>316670.66654999997</v>
      </c>
      <c r="G18" s="29">
        <f t="shared" si="4"/>
        <v>358894.66654999997</v>
      </c>
      <c r="H18" s="29">
        <f t="shared" si="4"/>
        <v>406396.66654999997</v>
      </c>
      <c r="I18" s="29">
        <f t="shared" si="4"/>
        <v>448620.66654999997</v>
      </c>
      <c r="J18" s="29">
        <f t="shared" si="4"/>
        <v>490844.66654999997</v>
      </c>
    </row>
    <row r="19" spans="1:10" x14ac:dyDescent="0.25">
      <c r="A19" s="2" t="s">
        <v>289</v>
      </c>
      <c r="E19" s="7">
        <f>E$17/E$13</f>
        <v>13722.333327499999</v>
      </c>
      <c r="F19" s="7">
        <f t="shared" ref="F19:J19" si="5">F$17/F$13</f>
        <v>8796.4074041666663</v>
      </c>
      <c r="G19" s="7">
        <f t="shared" si="5"/>
        <v>6901.8205105769221</v>
      </c>
      <c r="H19" s="7">
        <f t="shared" si="5"/>
        <v>5805.6666649999997</v>
      </c>
      <c r="I19" s="7">
        <f t="shared" si="5"/>
        <v>5216.5193784883713</v>
      </c>
      <c r="J19" s="7">
        <f t="shared" si="5"/>
        <v>4812.2026132352939</v>
      </c>
    </row>
    <row r="20" spans="1:10" x14ac:dyDescent="0.25">
      <c r="A20" s="2" t="s">
        <v>291</v>
      </c>
      <c r="E20" s="7">
        <f>E$17/E$14</f>
        <v>6861.1666637499993</v>
      </c>
      <c r="F20" s="7">
        <f t="shared" ref="F20:J20" si="6">F$17/F$14</f>
        <v>4398.2037020833332</v>
      </c>
      <c r="G20" s="7">
        <f t="shared" si="6"/>
        <v>3450.910255288461</v>
      </c>
      <c r="H20" s="7">
        <f t="shared" si="6"/>
        <v>2902.8333324999999</v>
      </c>
      <c r="I20" s="7">
        <f t="shared" si="6"/>
        <v>2608.2596892441857</v>
      </c>
      <c r="J20" s="7">
        <f t="shared" si="6"/>
        <v>2406.101306617647</v>
      </c>
    </row>
    <row r="21" spans="1:10" x14ac:dyDescent="0.25">
      <c r="A21" s="2" t="s">
        <v>292</v>
      </c>
      <c r="E21" s="29">
        <f>$E$9*E$13</f>
        <v>9012.5</v>
      </c>
      <c r="F21" s="29">
        <f>$E$9*F$13</f>
        <v>16222.5</v>
      </c>
      <c r="G21" s="29">
        <f t="shared" ref="G21:J21" si="7">$E$9*G$13</f>
        <v>23432.5</v>
      </c>
      <c r="H21" s="29">
        <f t="shared" si="7"/>
        <v>31543.75</v>
      </c>
      <c r="I21" s="29">
        <f t="shared" si="7"/>
        <v>38753.75</v>
      </c>
      <c r="J21" s="29">
        <f t="shared" si="7"/>
        <v>45963.75</v>
      </c>
    </row>
    <row r="22" spans="1:10" ht="30" x14ac:dyDescent="0.25">
      <c r="A22" s="2" t="s">
        <v>295</v>
      </c>
      <c r="E22" s="29">
        <f>E$17+E$21</f>
        <v>146235.83327499998</v>
      </c>
      <c r="F22" s="29">
        <f t="shared" ref="F22:J22" si="8">F$17+F$21</f>
        <v>174557.83327499998</v>
      </c>
      <c r="G22" s="29">
        <f t="shared" si="8"/>
        <v>202879.83327499998</v>
      </c>
      <c r="H22" s="29">
        <f t="shared" si="8"/>
        <v>234742.08327499998</v>
      </c>
      <c r="I22" s="29">
        <f t="shared" si="8"/>
        <v>263064.08327499998</v>
      </c>
      <c r="J22" s="29">
        <f t="shared" si="8"/>
        <v>291386.08327499998</v>
      </c>
    </row>
    <row r="23" spans="1:10" ht="30" x14ac:dyDescent="0.25">
      <c r="A23" s="2" t="s">
        <v>296</v>
      </c>
      <c r="E23" s="29">
        <f>E$18+E$21</f>
        <v>283459.16654999997</v>
      </c>
      <c r="F23" s="29">
        <f t="shared" ref="F23:J23" si="9">F$18+F$21</f>
        <v>332893.16654999997</v>
      </c>
      <c r="G23" s="29">
        <f t="shared" si="9"/>
        <v>382327.16654999997</v>
      </c>
      <c r="H23" s="29">
        <f t="shared" si="9"/>
        <v>437940.41654999997</v>
      </c>
      <c r="I23" s="29">
        <f t="shared" si="9"/>
        <v>487374.41654999997</v>
      </c>
      <c r="J23" s="29">
        <f t="shared" si="9"/>
        <v>536808.41654999997</v>
      </c>
    </row>
    <row r="24" spans="1:10" x14ac:dyDescent="0.25">
      <c r="A24" s="2"/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86680FD9-9170-4D73-82FA-57CD0D474666}">
      <formula1>OFFSET(GIA_GIAY_CO_BAN,1,0,,1)</formula1>
    </dataValidation>
  </dataValidation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CD571-1669-45B8-A48C-6D92F94D8E09}">
  <sheetPr codeName="Trang_tính10">
    <tabColor rgb="FF0070C0"/>
  </sheetPr>
  <dimension ref="A1:L19"/>
  <sheetViews>
    <sheetView workbookViewId="0">
      <selection activeCell="G29" sqref="G29"/>
    </sheetView>
  </sheetViews>
  <sheetFormatPr defaultRowHeight="15" x14ac:dyDescent="0.25"/>
  <cols>
    <col min="1" max="1" width="20" bestFit="1" customWidth="1"/>
    <col min="2" max="2" width="10.5703125" bestFit="1" customWidth="1"/>
    <col min="3" max="3" width="13.28515625" bestFit="1" customWidth="1"/>
    <col min="7" max="7" width="12.5703125" bestFit="1" customWidth="1"/>
    <col min="10" max="10" width="11" bestFit="1" customWidth="1"/>
    <col min="12" max="12" width="6.85546875" bestFit="1" customWidth="1"/>
  </cols>
  <sheetData>
    <row r="1" spans="1:12" x14ac:dyDescent="0.25">
      <c r="C1" t="s">
        <v>110</v>
      </c>
    </row>
    <row r="2" spans="1:12" x14ac:dyDescent="0.25">
      <c r="A2" s="1" t="s">
        <v>111</v>
      </c>
      <c r="B2" s="9"/>
      <c r="E2" t="s">
        <v>112</v>
      </c>
      <c r="H2" t="s">
        <v>113</v>
      </c>
    </row>
    <row r="3" spans="1:12" x14ac:dyDescent="0.25">
      <c r="A3" t="s">
        <v>114</v>
      </c>
      <c r="B3" t="s">
        <v>115</v>
      </c>
      <c r="C3" t="s">
        <v>116</v>
      </c>
      <c r="D3" t="s">
        <v>117</v>
      </c>
      <c r="E3" t="s">
        <v>118</v>
      </c>
      <c r="G3" t="s">
        <v>119</v>
      </c>
      <c r="H3" t="s">
        <v>120</v>
      </c>
      <c r="I3" t="s">
        <v>121</v>
      </c>
      <c r="J3" t="s">
        <v>122</v>
      </c>
      <c r="K3" t="s">
        <v>123</v>
      </c>
      <c r="L3" t="s">
        <v>124</v>
      </c>
    </row>
    <row r="4" spans="1:12" x14ac:dyDescent="0.25">
      <c r="A4" t="s">
        <v>125</v>
      </c>
      <c r="B4" t="s">
        <v>126</v>
      </c>
      <c r="C4" s="7">
        <v>450000</v>
      </c>
      <c r="D4" s="19">
        <f>5/60</f>
        <v>8.3333333333333329E-2</v>
      </c>
      <c r="G4" t="str">
        <f>I4&amp;"-"&amp;H4</f>
        <v>MI01-30x21</v>
      </c>
      <c r="H4" t="s">
        <v>127</v>
      </c>
      <c r="I4" t="s">
        <v>125</v>
      </c>
      <c r="J4" t="s">
        <v>128</v>
      </c>
      <c r="K4">
        <v>4000</v>
      </c>
      <c r="L4">
        <v>4</v>
      </c>
    </row>
    <row r="5" spans="1:12" x14ac:dyDescent="0.25">
      <c r="A5" t="s">
        <v>129</v>
      </c>
      <c r="B5" t="s">
        <v>130</v>
      </c>
      <c r="C5" s="7">
        <v>500000</v>
      </c>
      <c r="D5" s="19">
        <f t="shared" ref="D5:D6" si="0">5/60</f>
        <v>8.3333333333333329E-2</v>
      </c>
      <c r="G5" t="str">
        <f t="shared" ref="G5:G11" si="1">I5&amp;"-"&amp;H5</f>
        <v>MI01-32x23</v>
      </c>
      <c r="H5" t="s">
        <v>131</v>
      </c>
      <c r="I5" t="s">
        <v>125</v>
      </c>
      <c r="J5" t="s">
        <v>132</v>
      </c>
      <c r="K5">
        <v>3000</v>
      </c>
      <c r="L5">
        <v>5</v>
      </c>
    </row>
    <row r="6" spans="1:12" x14ac:dyDescent="0.25">
      <c r="A6" t="s">
        <v>133</v>
      </c>
      <c r="B6" t="s">
        <v>134</v>
      </c>
      <c r="C6" s="7">
        <v>600000</v>
      </c>
      <c r="D6" s="19">
        <f t="shared" si="0"/>
        <v>8.3333333333333329E-2</v>
      </c>
      <c r="G6" t="str">
        <f t="shared" si="1"/>
        <v>MI01-32x26</v>
      </c>
      <c r="H6" t="s">
        <v>135</v>
      </c>
      <c r="I6" t="s">
        <v>125</v>
      </c>
      <c r="J6" t="s">
        <v>136</v>
      </c>
      <c r="K6">
        <v>2000</v>
      </c>
      <c r="L6">
        <v>6</v>
      </c>
    </row>
    <row r="7" spans="1:12" x14ac:dyDescent="0.25">
      <c r="G7" t="str">
        <f t="shared" si="1"/>
        <v>MI01-32x39</v>
      </c>
      <c r="H7" t="s">
        <v>137</v>
      </c>
      <c r="I7" t="s">
        <v>125</v>
      </c>
      <c r="J7" t="s">
        <v>138</v>
      </c>
      <c r="K7">
        <v>5000</v>
      </c>
      <c r="L7">
        <v>7</v>
      </c>
    </row>
    <row r="8" spans="1:12" x14ac:dyDescent="0.25">
      <c r="G8" t="str">
        <f t="shared" si="1"/>
        <v>MI01-32x44</v>
      </c>
      <c r="H8" t="s">
        <v>139</v>
      </c>
      <c r="I8" t="s">
        <v>125</v>
      </c>
      <c r="J8" t="s">
        <v>140</v>
      </c>
      <c r="K8">
        <v>6000</v>
      </c>
      <c r="L8">
        <v>1</v>
      </c>
    </row>
    <row r="9" spans="1:12" x14ac:dyDescent="0.25">
      <c r="G9" t="str">
        <f t="shared" si="1"/>
        <v>MI01-32x47</v>
      </c>
      <c r="H9" t="s">
        <v>141</v>
      </c>
      <c r="I9" t="s">
        <v>125</v>
      </c>
      <c r="J9" t="s">
        <v>142</v>
      </c>
      <c r="K9">
        <v>7000</v>
      </c>
      <c r="L9">
        <v>3</v>
      </c>
    </row>
    <row r="10" spans="1:12" x14ac:dyDescent="0.25">
      <c r="G10" t="str">
        <f t="shared" si="1"/>
        <v>MI01-32x48.5</v>
      </c>
      <c r="H10" t="s">
        <v>143</v>
      </c>
      <c r="I10" t="s">
        <v>125</v>
      </c>
      <c r="J10" t="s">
        <v>144</v>
      </c>
      <c r="K10">
        <v>8000</v>
      </c>
      <c r="L10">
        <v>2</v>
      </c>
    </row>
    <row r="11" spans="1:12" x14ac:dyDescent="0.25">
      <c r="G11" t="str">
        <f t="shared" si="1"/>
        <v>MI01-32x65</v>
      </c>
      <c r="H11" t="s">
        <v>145</v>
      </c>
      <c r="I11" t="s">
        <v>125</v>
      </c>
      <c r="J11" t="s">
        <v>146</v>
      </c>
      <c r="K11">
        <v>3000</v>
      </c>
      <c r="L11">
        <v>8</v>
      </c>
    </row>
    <row r="12" spans="1:12" x14ac:dyDescent="0.25">
      <c r="G12" t="str">
        <f>I12&amp;"-"&amp;H12</f>
        <v>MI02-30x21</v>
      </c>
      <c r="H12" t="s">
        <v>127</v>
      </c>
      <c r="I12" t="s">
        <v>129</v>
      </c>
      <c r="J12" t="s">
        <v>128</v>
      </c>
      <c r="K12">
        <v>4000</v>
      </c>
      <c r="L12">
        <v>4</v>
      </c>
    </row>
    <row r="13" spans="1:12" x14ac:dyDescent="0.25">
      <c r="G13" t="str">
        <f t="shared" ref="G13:G19" si="2">I13&amp;"-"&amp;H13</f>
        <v>MI02-32x23</v>
      </c>
      <c r="H13" t="s">
        <v>131</v>
      </c>
      <c r="I13" t="s">
        <v>129</v>
      </c>
      <c r="J13" t="s">
        <v>132</v>
      </c>
      <c r="K13">
        <v>3000</v>
      </c>
      <c r="L13">
        <v>5</v>
      </c>
    </row>
    <row r="14" spans="1:12" x14ac:dyDescent="0.25">
      <c r="G14" t="str">
        <f t="shared" si="2"/>
        <v>MI02-32x26</v>
      </c>
      <c r="H14" t="s">
        <v>135</v>
      </c>
      <c r="I14" t="s">
        <v>129</v>
      </c>
      <c r="J14" t="s">
        <v>136</v>
      </c>
      <c r="K14">
        <v>2000</v>
      </c>
      <c r="L14">
        <v>6</v>
      </c>
    </row>
    <row r="15" spans="1:12" x14ac:dyDescent="0.25">
      <c r="G15" t="str">
        <f t="shared" si="2"/>
        <v>MI02-32x39</v>
      </c>
      <c r="H15" t="s">
        <v>137</v>
      </c>
      <c r="I15" t="s">
        <v>129</v>
      </c>
      <c r="J15" t="s">
        <v>138</v>
      </c>
      <c r="K15">
        <v>5000</v>
      </c>
      <c r="L15">
        <v>7</v>
      </c>
    </row>
    <row r="16" spans="1:12" x14ac:dyDescent="0.25">
      <c r="G16" t="str">
        <f t="shared" si="2"/>
        <v>MI02-32x44</v>
      </c>
      <c r="H16" t="s">
        <v>139</v>
      </c>
      <c r="I16" t="s">
        <v>129</v>
      </c>
      <c r="J16" t="s">
        <v>140</v>
      </c>
      <c r="K16">
        <v>6000</v>
      </c>
      <c r="L16">
        <v>1</v>
      </c>
    </row>
    <row r="17" spans="7:12" x14ac:dyDescent="0.25">
      <c r="G17" t="str">
        <f t="shared" si="2"/>
        <v>MI02-32x47</v>
      </c>
      <c r="H17" t="s">
        <v>141</v>
      </c>
      <c r="I17" t="s">
        <v>129</v>
      </c>
      <c r="J17" t="s">
        <v>142</v>
      </c>
      <c r="K17">
        <v>7000</v>
      </c>
      <c r="L17">
        <v>3</v>
      </c>
    </row>
    <row r="18" spans="7:12" x14ac:dyDescent="0.25">
      <c r="G18" t="str">
        <f t="shared" si="2"/>
        <v>MI02-32x48.5</v>
      </c>
      <c r="H18" t="s">
        <v>143</v>
      </c>
      <c r="I18" t="s">
        <v>129</v>
      </c>
      <c r="J18" t="s">
        <v>144</v>
      </c>
      <c r="K18">
        <v>8000</v>
      </c>
      <c r="L18">
        <v>2</v>
      </c>
    </row>
    <row r="19" spans="7:12" x14ac:dyDescent="0.25">
      <c r="G19" t="str">
        <f t="shared" si="2"/>
        <v>MI02-32x65</v>
      </c>
      <c r="H19" t="s">
        <v>145</v>
      </c>
      <c r="I19" t="s">
        <v>129</v>
      </c>
      <c r="J19" t="s">
        <v>146</v>
      </c>
      <c r="K19">
        <v>3000</v>
      </c>
      <c r="L19">
        <v>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125C3-04A6-4410-9A54-B92376273675}">
  <sheetPr codeName="Trang_tính13">
    <tabColor theme="6"/>
  </sheetPr>
  <dimension ref="A1:R33"/>
  <sheetViews>
    <sheetView topLeftCell="D1" workbookViewId="0">
      <selection activeCell="Q15" sqref="Q15"/>
    </sheetView>
  </sheetViews>
  <sheetFormatPr defaultRowHeight="15" x14ac:dyDescent="0.25"/>
  <cols>
    <col min="1" max="1" width="21.5703125" bestFit="1" customWidth="1"/>
    <col min="2" max="2" width="19" bestFit="1" customWidth="1"/>
    <col min="6" max="6" width="21.5703125" bestFit="1" customWidth="1"/>
    <col min="7" max="7" width="19" bestFit="1" customWidth="1"/>
    <col min="8" max="8" width="8.140625" bestFit="1" customWidth="1"/>
    <col min="11" max="11" width="17.85546875" bestFit="1" customWidth="1"/>
    <col min="12" max="12" width="15.5703125" bestFit="1" customWidth="1"/>
    <col min="13" max="13" width="8.140625" bestFit="1" customWidth="1"/>
    <col min="16" max="16" width="16.7109375" bestFit="1" customWidth="1"/>
    <col min="17" max="17" width="19.7109375" bestFit="1" customWidth="1"/>
    <col min="18" max="18" width="6.42578125" bestFit="1" customWidth="1"/>
  </cols>
  <sheetData>
    <row r="1" spans="1:18" x14ac:dyDescent="0.25">
      <c r="A1" s="1" t="s">
        <v>155</v>
      </c>
      <c r="F1" s="1" t="s">
        <v>157</v>
      </c>
      <c r="K1" s="1" t="s">
        <v>158</v>
      </c>
      <c r="P1" s="1" t="s">
        <v>211</v>
      </c>
    </row>
    <row r="2" spans="1:18" x14ac:dyDescent="0.25">
      <c r="A2" t="s">
        <v>114</v>
      </c>
      <c r="B2" t="s">
        <v>122</v>
      </c>
      <c r="C2" t="s">
        <v>156</v>
      </c>
      <c r="F2" t="s">
        <v>114</v>
      </c>
      <c r="G2" t="s">
        <v>122</v>
      </c>
      <c r="H2" t="s">
        <v>159</v>
      </c>
      <c r="K2" t="s">
        <v>114</v>
      </c>
      <c r="L2" t="s">
        <v>122</v>
      </c>
      <c r="M2" t="s">
        <v>159</v>
      </c>
      <c r="P2" t="s">
        <v>114</v>
      </c>
      <c r="Q2" t="s">
        <v>122</v>
      </c>
      <c r="R2" t="s">
        <v>212</v>
      </c>
    </row>
    <row r="3" spans="1:18" x14ac:dyDescent="0.25">
      <c r="A3" t="s">
        <v>166</v>
      </c>
      <c r="B3" t="s">
        <v>167</v>
      </c>
      <c r="C3">
        <v>1200</v>
      </c>
      <c r="F3" t="s">
        <v>164</v>
      </c>
      <c r="G3" t="s">
        <v>165</v>
      </c>
      <c r="H3">
        <v>850</v>
      </c>
      <c r="K3" t="s">
        <v>160</v>
      </c>
      <c r="L3" t="s">
        <v>161</v>
      </c>
      <c r="M3">
        <f>3400/10000</f>
        <v>0.34</v>
      </c>
      <c r="P3" t="s">
        <v>244</v>
      </c>
      <c r="Q3" t="s">
        <v>267</v>
      </c>
      <c r="R3">
        <v>345</v>
      </c>
    </row>
    <row r="4" spans="1:18" x14ac:dyDescent="0.25">
      <c r="K4" t="s">
        <v>162</v>
      </c>
      <c r="L4" t="s">
        <v>163</v>
      </c>
      <c r="M4">
        <f>5500/10000</f>
        <v>0.55000000000000004</v>
      </c>
      <c r="P4" t="s">
        <v>242</v>
      </c>
      <c r="Q4" t="s">
        <v>248</v>
      </c>
      <c r="R4">
        <v>324</v>
      </c>
    </row>
    <row r="5" spans="1:18" x14ac:dyDescent="0.25">
      <c r="P5" t="s">
        <v>243</v>
      </c>
      <c r="Q5" t="s">
        <v>250</v>
      </c>
      <c r="R5">
        <v>488</v>
      </c>
    </row>
    <row r="6" spans="1:18" x14ac:dyDescent="0.25">
      <c r="P6" t="s">
        <v>245</v>
      </c>
      <c r="Q6" t="s">
        <v>251</v>
      </c>
      <c r="R6">
        <v>355</v>
      </c>
    </row>
    <row r="7" spans="1:18" x14ac:dyDescent="0.25">
      <c r="P7" t="s">
        <v>246</v>
      </c>
      <c r="Q7" t="s">
        <v>249</v>
      </c>
      <c r="R7">
        <v>500</v>
      </c>
    </row>
    <row r="8" spans="1:18" x14ac:dyDescent="0.25">
      <c r="P8" t="s">
        <v>247</v>
      </c>
      <c r="Q8" t="s">
        <v>252</v>
      </c>
      <c r="R8">
        <v>515</v>
      </c>
    </row>
    <row r="9" spans="1:18" x14ac:dyDescent="0.25">
      <c r="P9" t="s">
        <v>220</v>
      </c>
      <c r="Q9" t="s">
        <v>213</v>
      </c>
      <c r="R9">
        <v>628</v>
      </c>
    </row>
    <row r="10" spans="1:18" x14ac:dyDescent="0.25">
      <c r="P10" t="s">
        <v>268</v>
      </c>
      <c r="Q10" t="s">
        <v>269</v>
      </c>
      <c r="R10">
        <v>700</v>
      </c>
    </row>
    <row r="11" spans="1:18" x14ac:dyDescent="0.25">
      <c r="P11" t="s">
        <v>221</v>
      </c>
      <c r="Q11" t="s">
        <v>214</v>
      </c>
      <c r="R11">
        <v>860</v>
      </c>
    </row>
    <row r="12" spans="1:18" x14ac:dyDescent="0.25">
      <c r="P12" t="s">
        <v>222</v>
      </c>
      <c r="Q12" t="s">
        <v>215</v>
      </c>
      <c r="R12">
        <v>1056</v>
      </c>
    </row>
    <row r="13" spans="1:18" x14ac:dyDescent="0.25">
      <c r="P13" t="s">
        <v>270</v>
      </c>
      <c r="Q13" t="s">
        <v>271</v>
      </c>
      <c r="R13">
        <v>785</v>
      </c>
    </row>
    <row r="14" spans="1:18" x14ac:dyDescent="0.25">
      <c r="P14" t="s">
        <v>272</v>
      </c>
      <c r="Q14" t="s">
        <v>273</v>
      </c>
      <c r="R14">
        <v>1030</v>
      </c>
    </row>
    <row r="15" spans="1:18" x14ac:dyDescent="0.25">
      <c r="P15" t="s">
        <v>223</v>
      </c>
      <c r="Q15" t="s">
        <v>216</v>
      </c>
      <c r="R15">
        <v>1272</v>
      </c>
    </row>
    <row r="16" spans="1:18" x14ac:dyDescent="0.25">
      <c r="P16" t="s">
        <v>224</v>
      </c>
      <c r="Q16" t="s">
        <v>217</v>
      </c>
      <c r="R16">
        <v>1200</v>
      </c>
    </row>
    <row r="17" spans="16:18" x14ac:dyDescent="0.25">
      <c r="P17" t="s">
        <v>225</v>
      </c>
      <c r="Q17" t="s">
        <v>218</v>
      </c>
      <c r="R17">
        <v>1456</v>
      </c>
    </row>
    <row r="18" spans="16:18" x14ac:dyDescent="0.25">
      <c r="P18" t="s">
        <v>226</v>
      </c>
      <c r="Q18" t="s">
        <v>219</v>
      </c>
      <c r="R18">
        <v>1704</v>
      </c>
    </row>
    <row r="19" spans="16:18" x14ac:dyDescent="0.25">
      <c r="P19" t="s">
        <v>232</v>
      </c>
      <c r="Q19" t="s">
        <v>253</v>
      </c>
      <c r="R19">
        <v>488</v>
      </c>
    </row>
    <row r="20" spans="16:18" x14ac:dyDescent="0.25">
      <c r="P20" t="s">
        <v>233</v>
      </c>
      <c r="Q20" t="s">
        <v>254</v>
      </c>
      <c r="R20">
        <v>584</v>
      </c>
    </row>
    <row r="21" spans="16:18" x14ac:dyDescent="0.25">
      <c r="P21" t="s">
        <v>229</v>
      </c>
      <c r="Q21" t="s">
        <v>255</v>
      </c>
      <c r="R21">
        <v>700</v>
      </c>
    </row>
    <row r="22" spans="16:18" x14ac:dyDescent="0.25">
      <c r="P22" t="s">
        <v>231</v>
      </c>
      <c r="Q22" t="s">
        <v>255</v>
      </c>
      <c r="R22">
        <v>0</v>
      </c>
    </row>
    <row r="23" spans="16:18" x14ac:dyDescent="0.25">
      <c r="P23" t="s">
        <v>228</v>
      </c>
      <c r="Q23" t="s">
        <v>256</v>
      </c>
      <c r="R23">
        <v>900</v>
      </c>
    </row>
    <row r="24" spans="16:18" x14ac:dyDescent="0.25">
      <c r="P24" t="s">
        <v>227</v>
      </c>
      <c r="Q24" t="s">
        <v>257</v>
      </c>
      <c r="R24">
        <v>740</v>
      </c>
    </row>
    <row r="25" spans="16:18" x14ac:dyDescent="0.25">
      <c r="P25" t="s">
        <v>230</v>
      </c>
      <c r="Q25" t="s">
        <v>258</v>
      </c>
      <c r="R25">
        <v>1232</v>
      </c>
    </row>
    <row r="26" spans="16:18" x14ac:dyDescent="0.25">
      <c r="P26" t="s">
        <v>235</v>
      </c>
      <c r="Q26" t="s">
        <v>259</v>
      </c>
    </row>
    <row r="27" spans="16:18" x14ac:dyDescent="0.25">
      <c r="P27" t="s">
        <v>234</v>
      </c>
      <c r="Q27" t="s">
        <v>261</v>
      </c>
    </row>
    <row r="28" spans="16:18" x14ac:dyDescent="0.25">
      <c r="P28" t="s">
        <v>236</v>
      </c>
      <c r="Q28" t="s">
        <v>260</v>
      </c>
    </row>
    <row r="29" spans="16:18" x14ac:dyDescent="0.25">
      <c r="P29" t="s">
        <v>237</v>
      </c>
      <c r="Q29" t="s">
        <v>262</v>
      </c>
    </row>
    <row r="30" spans="16:18" x14ac:dyDescent="0.25">
      <c r="P30" t="s">
        <v>241</v>
      </c>
      <c r="Q30" t="s">
        <v>263</v>
      </c>
    </row>
    <row r="31" spans="16:18" x14ac:dyDescent="0.25">
      <c r="P31" t="s">
        <v>240</v>
      </c>
      <c r="Q31" t="s">
        <v>264</v>
      </c>
    </row>
    <row r="32" spans="16:18" x14ac:dyDescent="0.25">
      <c r="P32" t="s">
        <v>239</v>
      </c>
      <c r="Q32" t="s">
        <v>265</v>
      </c>
    </row>
    <row r="33" spans="16:17" x14ac:dyDescent="0.25">
      <c r="P33" t="s">
        <v>238</v>
      </c>
      <c r="Q33" t="s">
        <v>266</v>
      </c>
    </row>
  </sheetData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EF056-EE63-4285-AA20-231F822B1EC2}">
  <sheetPr codeName="Trang_tính14">
    <tabColor theme="4" tint="-0.499984740745262"/>
  </sheetPr>
  <dimension ref="B2:C12"/>
  <sheetViews>
    <sheetView workbookViewId="0">
      <selection activeCell="P25" sqref="P25"/>
    </sheetView>
  </sheetViews>
  <sheetFormatPr defaultRowHeight="15" x14ac:dyDescent="0.25"/>
  <cols>
    <col min="3" max="3" width="7.140625" bestFit="1" customWidth="1"/>
  </cols>
  <sheetData>
    <row r="2" spans="2:3" x14ac:dyDescent="0.25">
      <c r="B2" s="32" t="s">
        <v>203</v>
      </c>
      <c r="C2" s="32" t="s">
        <v>204</v>
      </c>
    </row>
    <row r="3" spans="2:3" x14ac:dyDescent="0.25">
      <c r="B3" s="33">
        <v>0.15</v>
      </c>
      <c r="C3" s="33">
        <v>0.13</v>
      </c>
    </row>
    <row r="4" spans="2:3" x14ac:dyDescent="0.25">
      <c r="B4" s="33">
        <v>0.2</v>
      </c>
      <c r="C4" s="34">
        <v>0.16700000000000001</v>
      </c>
    </row>
    <row r="5" spans="2:3" x14ac:dyDescent="0.25">
      <c r="B5" s="33">
        <v>0.25</v>
      </c>
      <c r="C5" s="33">
        <v>0.2</v>
      </c>
    </row>
    <row r="6" spans="2:3" x14ac:dyDescent="0.25">
      <c r="B6" s="33">
        <v>0.3</v>
      </c>
      <c r="C6" s="33">
        <v>0.23</v>
      </c>
    </row>
    <row r="7" spans="2:3" x14ac:dyDescent="0.25">
      <c r="B7" s="34">
        <v>0.33300000000000002</v>
      </c>
      <c r="C7" s="33">
        <v>0.25</v>
      </c>
    </row>
    <row r="8" spans="2:3" x14ac:dyDescent="0.25">
      <c r="B8" s="33">
        <v>0.4</v>
      </c>
      <c r="C8" s="34">
        <v>0.28599999999999998</v>
      </c>
    </row>
    <row r="9" spans="2:3" x14ac:dyDescent="0.25">
      <c r="B9" s="33">
        <v>0.43</v>
      </c>
      <c r="C9" s="33">
        <v>0.3</v>
      </c>
    </row>
    <row r="10" spans="2:3" x14ac:dyDescent="0.25">
      <c r="B10" s="33">
        <v>0.5</v>
      </c>
      <c r="C10" s="33">
        <v>0.33</v>
      </c>
    </row>
    <row r="11" spans="2:3" x14ac:dyDescent="0.25">
      <c r="B11" s="33">
        <v>0.75</v>
      </c>
      <c r="C11" s="34">
        <v>0.42899999999999999</v>
      </c>
    </row>
    <row r="12" spans="2:3" x14ac:dyDescent="0.25">
      <c r="B12" s="33">
        <v>1</v>
      </c>
      <c r="C12" s="33">
        <v>0.5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9912C7-8482-4766-8426-44A2BA534A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7</vt:i4>
      </vt:variant>
    </vt:vector>
  </HeadingPairs>
  <TitlesOfParts>
    <vt:vector size="27" baseType="lpstr">
      <vt:lpstr>Cuon-KeoPUR</vt:lpstr>
      <vt:lpstr>Cuon-KeoEva</vt:lpstr>
      <vt:lpstr>Cuon-KimLong</vt:lpstr>
      <vt:lpstr>CanGap</vt:lpstr>
      <vt:lpstr>UV-DinhVi</vt:lpstr>
      <vt:lpstr>CanMang</vt:lpstr>
      <vt:lpstr>ThanhPham-EpKim</vt:lpstr>
      <vt:lpstr>ThanhPham-Be</vt:lpstr>
      <vt:lpstr>In-Toner</vt:lpstr>
      <vt:lpstr>ThPh-EpKimTuDong</vt:lpstr>
      <vt:lpstr>Sheet1</vt:lpstr>
      <vt:lpstr>BaiCMYK</vt:lpstr>
      <vt:lpstr>SP-DanhThiep</vt:lpstr>
      <vt:lpstr>SP-ToRoi-A4</vt:lpstr>
      <vt:lpstr>SP-ToRoi-A5</vt:lpstr>
      <vt:lpstr>SP-ToRoi-A6</vt:lpstr>
      <vt:lpstr>SP-ToRoi-DL</vt:lpstr>
      <vt:lpstr>Base-MayIn</vt:lpstr>
      <vt:lpstr>NguyenVatLieu</vt:lpstr>
      <vt:lpstr>Base-Margin</vt:lpstr>
      <vt:lpstr>GIA_GIAY_CO_BAN</vt:lpstr>
      <vt:lpstr>GIA_KHUON_EP_KIM</vt:lpstr>
      <vt:lpstr>GIA_MANG</vt:lpstr>
      <vt:lpstr>GIA_NHU_EP_KIM</vt:lpstr>
      <vt:lpstr>MARKUP_MARGIN</vt:lpstr>
      <vt:lpstr>MAY_IN_KTS</vt:lpstr>
      <vt:lpstr>TO_CHAY_MAY_IN_KTS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2019-05-24T16:22:02Z</dcterms:modified>
</cp:coreProperties>
</file>