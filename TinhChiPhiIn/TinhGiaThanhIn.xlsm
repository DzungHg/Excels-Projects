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889EE25C-E6E7-4443-BE19-76224CEFAEA0}" xr6:coauthVersionLast="43" xr6:coauthVersionMax="43" xr10:uidLastSave="{00000000-0000-0000-0000-000000000000}"/>
  <bookViews>
    <workbookView xWindow="-120" yWindow="-120" windowWidth="29040" windowHeight="15990" firstSheet="10" activeTab="18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Sheet1" sheetId="11" r:id="rId11"/>
    <sheet name="BaiCMYK" sheetId="14" r:id="rId12"/>
    <sheet name="SP-DanhThiep" sheetId="16" r:id="rId13"/>
    <sheet name="SP-ToRoi-A4" sheetId="17" r:id="rId14"/>
    <sheet name="SP-ToRoi-A5" sheetId="18" r:id="rId15"/>
    <sheet name="SP-ToRoi-A6" sheetId="19" r:id="rId16"/>
    <sheet name="SP-ToRoi-DL" sheetId="20" r:id="rId17"/>
    <sheet name="SP-Broc-A4" sheetId="21" r:id="rId18"/>
    <sheet name="SP-Broc-A5" sheetId="22" r:id="rId19"/>
    <sheet name="Base-MayIn" sheetId="10" r:id="rId20"/>
    <sheet name="NguyenVatLieu" sheetId="13" r:id="rId21"/>
    <sheet name="Base-Margin" sheetId="15" r:id="rId22"/>
  </sheets>
  <functionGroups builtInGroupCount="19"/>
  <definedNames>
    <definedName name="atools_list_filter_1" localSheetId="11" hidden="1">BaiCMYK!$E$8:$F$9</definedName>
    <definedName name="atools_list_filter_1" localSheetId="17" hidden="1">'SP-Broc-A4'!$B$10:$D$11</definedName>
    <definedName name="atools_list_filter_1" localSheetId="13" hidden="1">'SP-ToRoi-A4'!$B$21:$D$21</definedName>
    <definedName name="atools_list_filter_1_colinvisibles_ext" localSheetId="11" hidden="1">""</definedName>
    <definedName name="atools_list_filter_1_colinvisibles_ext" localSheetId="17" hidden="1">";;"</definedName>
    <definedName name="atools_list_filter_1_colinvisibles_ext" localSheetId="13" hidden="1">";;"</definedName>
    <definedName name="atools_list_filter_1_colsrcidxs_ext" localSheetId="11" hidden="1">"1;3"</definedName>
    <definedName name="atools_list_filter_1_colsrcidxs_ext" localSheetId="17" hidden="1">"1;2;3"</definedName>
    <definedName name="atools_list_filter_1_colsrcidxs_ext" localSheetId="13" hidden="1">"1;2;3"</definedName>
    <definedName name="atools_list_filter_1_colwidths_ext" localSheetId="11" hidden="1">""</definedName>
    <definedName name="atools_list_filter_1_colwidths_ext" localSheetId="17" hidden="1">"88;96;84"</definedName>
    <definedName name="atools_list_filter_1_colwidths_ext" localSheetId="13" hidden="1">"88;96;84"</definedName>
    <definedName name="atools_list_filter_1_onrangeaddr" localSheetId="11" hidden="1">"$E$8:$F$9"</definedName>
    <definedName name="atools_list_filter_1_onrangeaddr" localSheetId="17" hidden="1">"='SP-Broc-A4'!$B$9:$D$10"</definedName>
    <definedName name="atools_list_filter_1_onrangeaddr" localSheetId="13" hidden="1">"='SP-ToRoi-A4'!$B$12:$D$12"</definedName>
    <definedName name="atools_list_filter_1_pos_ext" localSheetId="11" hidden="1">""</definedName>
    <definedName name="atools_list_filter_1_pos_ext" localSheetId="17" hidden="1">"0;1;2"</definedName>
    <definedName name="atools_list_filter_1_pos_ext" localSheetId="13" hidden="1">"0;1;2"</definedName>
    <definedName name="atools_list_filter_1_proper" localSheetId="11" hidden="1">"1|1|0|0|0|||0|0||0|,||1||1||0|18|0|2.0|1|1|1|0"</definedName>
    <definedName name="atools_list_filter_1_proper" localSheetId="17" hidden="1">"1|1|0|0|0|||305|309||0|,||1||0||0|18|185|2.0|1|1|1|0"</definedName>
    <definedName name="atools_list_filter_1_proper" localSheetId="13" hidden="1">"1|1|0|0|0|||305|309||0|,||1||0||0|18|185|2.0|1|1|1|0"</definedName>
    <definedName name="atools_list_filter_1_source" localSheetId="11" hidden="1">GIA_KHUON_EP_KIM</definedName>
    <definedName name="atools_list_filter_1_source" localSheetId="17" hidden="1">GIA_GIAY_CO_BAN</definedName>
    <definedName name="atools_list_filter_1_source" localSheetId="13" hidden="1">GIA_GIAY_CO_BAN</definedName>
    <definedName name="atools_list_filter_1_sourceaddr" localSheetId="11" hidden="1">"GIA_KHUON_EP_KIM"</definedName>
    <definedName name="atools_list_filter_1_sourceaddr" localSheetId="17" hidden="1">"=GIA_GIAY_CO_BAN"</definedName>
    <definedName name="atools_list_filter_1_sourceaddr" localSheetId="13" hidden="1">"=GIA_GIAY_CO_BAN"</definedName>
    <definedName name="atools_list_filter_8" localSheetId="11" hidden="1">BaiCMYK!$E$12:$F$12</definedName>
    <definedName name="atools_list_filter_8" localSheetId="17" hidden="1">'SP-Broc-A4'!$B$14:$D$14</definedName>
    <definedName name="atools_list_filter_8_colinvisibles_ext" localSheetId="11" hidden="1">";;"</definedName>
    <definedName name="atools_list_filter_8_colinvisibles_ext" localSheetId="17" hidden="1">";;"</definedName>
    <definedName name="atools_list_filter_8_colsrcidxs_ext" localSheetId="11" hidden="1">"1;3"</definedName>
    <definedName name="atools_list_filter_8_colsrcidxs_ext" localSheetId="17" hidden="1">"1;2;3"</definedName>
    <definedName name="atools_list_filter_8_colwidths_ext" localSheetId="11" hidden="1">"103;96;93"</definedName>
    <definedName name="atools_list_filter_8_colwidths_ext" localSheetId="17" hidden="1">"68;96;88"</definedName>
    <definedName name="atools_list_filter_8_onrangeaddr" localSheetId="11" hidden="1">"=BaiCMYK!$E$12:$F$12"</definedName>
    <definedName name="atools_list_filter_8_onrangeaddr" localSheetId="17" hidden="1">"='SP-Broc-A4'!$B$12:$D$12"</definedName>
    <definedName name="atools_list_filter_8_pos_ext" localSheetId="11" hidden="1">"0;1;2"</definedName>
    <definedName name="atools_list_filter_8_pos_ext" localSheetId="17" hidden="1">"0;1;2"</definedName>
    <definedName name="atools_list_filter_8_proper" localSheetId="11" hidden="1">"1|1|0|0|0|||329|309||0|,||1||0||0|18|185|2.0|1|1|1|0"</definedName>
    <definedName name="atools_list_filter_8_proper" localSheetId="17" hidden="1">"1|1|0|0|0|||289|309||0|,||1||0||0|18|185|2.0|1|1|1|0"</definedName>
    <definedName name="atools_list_filter_8_source" localSheetId="11" hidden="1">GIA_NHU_EP_KIM</definedName>
    <definedName name="atools_list_filter_8_source" localSheetId="17" hidden="1">GIA_MANG</definedName>
    <definedName name="atools_list_filter_8_sourceaddr" localSheetId="11" hidden="1">"=GIA_NHU_EP_KIM"</definedName>
    <definedName name="atools_list_filter_8_sourceaddr" localSheetId="17" hidden="1">"=GIA_MANG"</definedName>
    <definedName name="GIA_GIAY_CO_BAN">NguyenVatLieu!$P$2:$R$40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8" i="22" l="1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O33" i="22"/>
  <c r="R29" i="22"/>
  <c r="N29" i="22"/>
  <c r="I29" i="22"/>
  <c r="E29" i="22"/>
  <c r="Q33" i="22"/>
  <c r="G29" i="22"/>
  <c r="R33" i="22"/>
  <c r="N33" i="22"/>
  <c r="Q29" i="22"/>
  <c r="M29" i="22"/>
  <c r="H29" i="22"/>
  <c r="L35" i="22"/>
  <c r="L29" i="22"/>
  <c r="L19" i="22"/>
  <c r="P33" i="22"/>
  <c r="L33" i="22"/>
  <c r="O29" i="22"/>
  <c r="J29" i="22"/>
  <c r="F29" i="22"/>
  <c r="P35" i="22"/>
  <c r="M33" i="22"/>
  <c r="P29" i="22"/>
  <c r="G33" i="22"/>
  <c r="E35" i="22"/>
  <c r="H35" i="22"/>
  <c r="J33" i="22"/>
  <c r="F33" i="22"/>
  <c r="G35" i="22"/>
  <c r="I35" i="22"/>
  <c r="M18" i="22" l="1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J36" i="21"/>
  <c r="I36" i="21"/>
  <c r="H36" i="21"/>
  <c r="G36" i="21"/>
  <c r="F36" i="21"/>
  <c r="E36" i="21"/>
  <c r="J34" i="21"/>
  <c r="I34" i="21"/>
  <c r="H34" i="21"/>
  <c r="G34" i="21"/>
  <c r="F34" i="21"/>
  <c r="E34" i="21"/>
  <c r="J27" i="21"/>
  <c r="I27" i="21"/>
  <c r="H27" i="21"/>
  <c r="G27" i="21"/>
  <c r="F27" i="21"/>
  <c r="E27" i="21"/>
  <c r="J26" i="21"/>
  <c r="I26" i="21"/>
  <c r="H26" i="21"/>
  <c r="G26" i="21"/>
  <c r="F26" i="21"/>
  <c r="E26" i="2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L33" i="21"/>
  <c r="L35" i="21"/>
  <c r="R35" i="21"/>
  <c r="N35" i="21"/>
  <c r="P33" i="21"/>
  <c r="R29" i="21"/>
  <c r="N29" i="21"/>
  <c r="R19" i="21"/>
  <c r="N19" i="21"/>
  <c r="Q33" i="21"/>
  <c r="Q35" i="21"/>
  <c r="M35" i="21"/>
  <c r="O33" i="21"/>
  <c r="Q29" i="21"/>
  <c r="M29" i="21"/>
  <c r="Q19" i="21"/>
  <c r="M19" i="21"/>
  <c r="M33" i="21"/>
  <c r="O29" i="21"/>
  <c r="P35" i="21"/>
  <c r="R33" i="21"/>
  <c r="N33" i="21"/>
  <c r="P29" i="21"/>
  <c r="P19" i="21"/>
  <c r="O35" i="21"/>
  <c r="O19" i="21"/>
  <c r="L29" i="21"/>
  <c r="J35" i="21"/>
  <c r="F35" i="21"/>
  <c r="G33" i="21"/>
  <c r="H33" i="21"/>
  <c r="I35" i="21"/>
  <c r="J33" i="21"/>
  <c r="F33" i="21"/>
  <c r="H35" i="21"/>
  <c r="I33" i="21"/>
  <c r="G35" i="21"/>
  <c r="E35" i="21"/>
  <c r="E33" i="21"/>
  <c r="B2" i="11" a="1"/>
  <c r="G29" i="21"/>
  <c r="J29" i="21"/>
  <c r="I29" i="21"/>
  <c r="H29" i="21"/>
  <c r="F29" i="21"/>
  <c r="E29" i="21"/>
  <c r="J19" i="21"/>
  <c r="F19" i="21"/>
  <c r="I19" i="21"/>
  <c r="E19" i="21"/>
  <c r="H19" i="21"/>
  <c r="G19" i="21"/>
  <c r="M19" i="22"/>
  <c r="Q19" i="22"/>
  <c r="J35" i="22"/>
  <c r="N19" i="22"/>
  <c r="F19" i="22"/>
  <c r="R35" i="22"/>
  <c r="E19" i="22"/>
  <c r="M35" i="22"/>
  <c r="H19" i="22"/>
  <c r="H33" i="22"/>
  <c r="N35" i="22"/>
  <c r="G19" i="22"/>
  <c r="O35" i="22"/>
  <c r="R19" i="22"/>
  <c r="J19" i="22"/>
  <c r="P19" i="22"/>
  <c r="E33" i="22"/>
  <c r="O19" i="22"/>
  <c r="F35" i="22"/>
  <c r="I19" i="22"/>
  <c r="I33" i="22"/>
  <c r="Q35" i="22"/>
  <c r="Q21" i="22" l="1"/>
  <c r="Q20" i="22"/>
  <c r="Q22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Q24" i="22"/>
  <c r="Q23" i="22"/>
  <c r="Q26" i="22"/>
  <c r="Q27" i="22"/>
  <c r="M27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2" i="11"/>
  <c r="D3" i="11"/>
  <c r="C4" i="11"/>
  <c r="B5" i="11"/>
  <c r="B2" i="11"/>
  <c r="F2" i="11"/>
  <c r="E3" i="11"/>
  <c r="D4" i="11"/>
  <c r="C5" i="11"/>
  <c r="B3" i="11"/>
  <c r="F3" i="11"/>
  <c r="E4" i="11"/>
  <c r="D5" i="11"/>
  <c r="D2" i="11"/>
  <c r="C3" i="11"/>
  <c r="B4" i="11"/>
  <c r="F4" i="11"/>
  <c r="F5" i="11"/>
  <c r="C2" i="11"/>
  <c r="E5" i="1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E21" i="17"/>
  <c r="J14" i="17"/>
  <c r="I14" i="17"/>
  <c r="H14" i="17"/>
  <c r="G14" i="17"/>
  <c r="F14" i="17"/>
  <c r="E14" i="17"/>
  <c r="J13" i="17"/>
  <c r="I13" i="17"/>
  <c r="H13" i="17"/>
  <c r="G13" i="17"/>
  <c r="F13" i="17"/>
  <c r="E13" i="17"/>
  <c r="L19" i="21"/>
  <c r="H15" i="20"/>
  <c r="I15" i="19"/>
  <c r="J15" i="18"/>
  <c r="F15" i="18"/>
  <c r="G15" i="17"/>
  <c r="G15" i="19"/>
  <c r="I15" i="18"/>
  <c r="E15" i="18"/>
  <c r="F15" i="17"/>
  <c r="G15" i="20"/>
  <c r="F15" i="20"/>
  <c r="F15" i="19"/>
  <c r="H15" i="18"/>
  <c r="H15" i="17"/>
  <c r="I15" i="17"/>
  <c r="E15" i="19"/>
  <c r="G15" i="18"/>
  <c r="J15" i="17"/>
  <c r="E15" i="17"/>
  <c r="J15" i="19"/>
  <c r="M23" i="22" l="1"/>
  <c r="N26" i="22"/>
  <c r="N27" i="22"/>
  <c r="E27" i="22"/>
  <c r="E26" i="22"/>
  <c r="G26" i="22"/>
  <c r="G27" i="22"/>
  <c r="F27" i="22"/>
  <c r="F26" i="22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26" i="22"/>
  <c r="I27" i="22"/>
  <c r="I26" i="22"/>
  <c r="F24" i="22"/>
  <c r="F23" i="22"/>
  <c r="H26" i="22"/>
  <c r="H27" i="22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E16" i="17"/>
  <c r="E18" i="17" s="1"/>
  <c r="J16" i="17"/>
  <c r="J18" i="17" s="1"/>
  <c r="I16" i="17"/>
  <c r="I18" i="17" s="1"/>
  <c r="H16" i="17"/>
  <c r="H18" i="17" s="1"/>
  <c r="H23" i="17" s="1"/>
  <c r="F16" i="17"/>
  <c r="F18" i="17" s="1"/>
  <c r="G16" i="17"/>
  <c r="G18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G17" i="18"/>
  <c r="G16" i="18"/>
  <c r="G18" i="18" s="1"/>
  <c r="G23" i="18" s="1"/>
  <c r="H16" i="18"/>
  <c r="H18" i="18" s="1"/>
  <c r="H23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E17" i="17"/>
  <c r="E23" i="17"/>
  <c r="I17" i="17"/>
  <c r="I23" i="17"/>
  <c r="F17" i="17"/>
  <c r="F23" i="17"/>
  <c r="G17" i="17"/>
  <c r="G23" i="17"/>
  <c r="H17" i="17"/>
  <c r="J23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5" i="20"/>
  <c r="I15" i="20"/>
  <c r="J15" i="20"/>
  <c r="H15" i="19"/>
  <c r="L27" i="21" l="1"/>
  <c r="L26" i="21"/>
  <c r="L23" i="21"/>
  <c r="L24" i="21"/>
  <c r="J22" i="17"/>
  <c r="J20" i="17"/>
  <c r="J19" i="17"/>
  <c r="G22" i="17"/>
  <c r="G19" i="17"/>
  <c r="G20" i="17"/>
  <c r="I22" i="17"/>
  <c r="I20" i="17"/>
  <c r="I19" i="17"/>
  <c r="H22" i="17"/>
  <c r="H19" i="17"/>
  <c r="H20" i="17"/>
  <c r="F22" i="17"/>
  <c r="F20" i="17"/>
  <c r="F19" i="17"/>
  <c r="E22" i="17"/>
  <c r="E20" i="17"/>
  <c r="E19" i="17"/>
  <c r="E21" i="20"/>
  <c r="E17" i="20"/>
  <c r="E16" i="20"/>
  <c r="E18" i="20" s="1"/>
  <c r="E23" i="20" s="1"/>
  <c r="J16" i="20"/>
  <c r="J18" i="20" s="1"/>
  <c r="J17" i="20"/>
  <c r="I16" i="20"/>
  <c r="I18" i="20" s="1"/>
  <c r="I17" i="20"/>
  <c r="H23" i="20"/>
  <c r="H22" i="20"/>
  <c r="H19" i="20"/>
  <c r="H20" i="20"/>
  <c r="J21" i="20"/>
  <c r="G23" i="20"/>
  <c r="G22" i="20"/>
  <c r="G19" i="20"/>
  <c r="G20" i="20"/>
  <c r="I21" i="20"/>
  <c r="F23" i="20"/>
  <c r="F22" i="20"/>
  <c r="F19" i="20"/>
  <c r="F20" i="20"/>
  <c r="H16" i="19"/>
  <c r="H18" i="19" s="1"/>
  <c r="H23" i="19" s="1"/>
  <c r="H17" i="19"/>
  <c r="G22" i="19"/>
  <c r="G19" i="19"/>
  <c r="G20" i="19"/>
  <c r="G23" i="19"/>
  <c r="J19" i="19"/>
  <c r="J20" i="19"/>
  <c r="J22" i="19"/>
  <c r="J23" i="19"/>
  <c r="F22" i="19"/>
  <c r="F19" i="19"/>
  <c r="F20" i="19"/>
  <c r="H22" i="19"/>
  <c r="H19" i="19"/>
  <c r="H20" i="19"/>
  <c r="I19" i="19"/>
  <c r="I22" i="19"/>
  <c r="I20" i="19"/>
  <c r="E23" i="19"/>
  <c r="I23" i="19"/>
  <c r="E20" i="19"/>
  <c r="E22" i="19"/>
  <c r="E19" i="19"/>
  <c r="G22" i="18"/>
  <c r="G19" i="18"/>
  <c r="G20" i="18"/>
  <c r="J19" i="18"/>
  <c r="J20" i="18"/>
  <c r="J22" i="18"/>
  <c r="J23" i="18"/>
  <c r="F22" i="18"/>
  <c r="F19" i="18"/>
  <c r="F20" i="18"/>
  <c r="H22" i="18"/>
  <c r="H19" i="18"/>
  <c r="H20" i="18"/>
  <c r="I19" i="18"/>
  <c r="I20" i="18"/>
  <c r="I22" i="18"/>
  <c r="E22" i="18"/>
  <c r="E20" i="18"/>
  <c r="E19" i="18"/>
  <c r="I23" i="18"/>
  <c r="E23" i="18"/>
  <c r="E3" i="14"/>
  <c r="R4" i="2" a="1"/>
  <c r="B5" i="2"/>
  <c r="I23" i="20" l="1"/>
  <c r="J19" i="20"/>
  <c r="J20" i="20"/>
  <c r="J22" i="20"/>
  <c r="I19" i="20"/>
  <c r="I22" i="20"/>
  <c r="I20" i="20"/>
  <c r="J23" i="20"/>
  <c r="E20" i="20"/>
  <c r="E22" i="20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21" i="6"/>
  <c r="B19" i="6"/>
  <c r="B9" i="6"/>
  <c r="B13" i="6"/>
  <c r="B11" i="6"/>
  <c r="B10" i="6"/>
  <c r="B6" i="6"/>
  <c r="B7" i="6"/>
  <c r="B8" i="6"/>
  <c r="B16" i="6"/>
  <c r="B14" i="6"/>
  <c r="B22" i="6"/>
  <c r="B12" i="6"/>
  <c r="B18" i="6"/>
  <c r="B17" i="6"/>
  <c r="B15" i="6"/>
  <c r="B20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21" i="12"/>
  <c r="E19" i="12"/>
  <c r="E17" i="12"/>
  <c r="E15" i="12"/>
  <c r="E29" i="12"/>
  <c r="E27" i="12"/>
  <c r="E25" i="12"/>
  <c r="E23" i="12"/>
  <c r="B6" i="4"/>
  <c r="E36" i="12"/>
  <c r="E34" i="12"/>
  <c r="E32" i="12"/>
  <c r="E5" i="12"/>
  <c r="E13" i="12"/>
  <c r="E11" i="12"/>
  <c r="E9" i="12"/>
  <c r="E7" i="12"/>
  <c r="E30" i="12"/>
  <c r="E28" i="12"/>
  <c r="E24" i="12"/>
  <c r="E35" i="12"/>
  <c r="E33" i="12"/>
  <c r="E14" i="12"/>
  <c r="E10" i="12"/>
  <c r="E22" i="12"/>
  <c r="E20" i="12"/>
  <c r="E18" i="12"/>
  <c r="E16" i="12"/>
  <c r="E26" i="12"/>
  <c r="E6" i="12"/>
  <c r="E31" i="12"/>
  <c r="E12" i="12"/>
  <c r="E8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13" i="7"/>
  <c r="B23" i="8"/>
  <c r="B6" i="8"/>
  <c r="B6" i="7"/>
  <c r="B24" i="5"/>
  <c r="B20" i="9"/>
  <c r="B8" i="5"/>
  <c r="B14" i="9"/>
  <c r="B16" i="7"/>
  <c r="B8" i="9"/>
  <c r="B11" i="4"/>
  <c r="B10" i="8"/>
  <c r="B10" i="7"/>
  <c r="B13" i="8"/>
  <c r="B8" i="7"/>
  <c r="B6" i="5"/>
  <c r="B20" i="5"/>
  <c r="B35" i="8"/>
  <c r="B14" i="4"/>
  <c r="B25" i="4"/>
  <c r="B32" i="8"/>
  <c r="B18" i="7"/>
  <c r="B19" i="9"/>
  <c r="B30" i="8"/>
  <c r="B15" i="9"/>
  <c r="B19" i="4"/>
  <c r="B19" i="8"/>
  <c r="B22" i="8"/>
  <c r="B36" i="8"/>
  <c r="B7" i="7"/>
  <c r="B11" i="9"/>
  <c r="B20" i="7"/>
  <c r="B17" i="9"/>
  <c r="B9" i="4"/>
  <c r="B8" i="4"/>
  <c r="B11" i="5"/>
  <c r="B7" i="5"/>
  <c r="B16" i="5"/>
  <c r="B27" i="8"/>
  <c r="B5" i="9"/>
  <c r="B23" i="5"/>
  <c r="B34" i="8"/>
  <c r="B5" i="8"/>
  <c r="B31" i="8"/>
  <c r="B10" i="5"/>
  <c r="B7" i="9"/>
  <c r="B7" i="4"/>
  <c r="B14" i="7"/>
  <c r="B19" i="7"/>
  <c r="B18" i="4"/>
  <c r="B9" i="8"/>
  <c r="B12" i="7"/>
  <c r="B21" i="4"/>
  <c r="B6" i="3"/>
  <c r="B17" i="7"/>
  <c r="B16" i="8"/>
  <c r="B13" i="9"/>
  <c r="B18" i="9"/>
  <c r="B11" i="8"/>
  <c r="B22" i="7"/>
  <c r="B21" i="5"/>
  <c r="B11" i="7"/>
  <c r="B24" i="4"/>
  <c r="B21" i="7"/>
  <c r="B18" i="8"/>
  <c r="B9" i="5"/>
  <c r="B24" i="8"/>
  <c r="B12" i="8"/>
  <c r="B7" i="8"/>
  <c r="B28" i="8"/>
  <c r="B16" i="9"/>
  <c r="B15" i="5"/>
  <c r="B25" i="8"/>
  <c r="B8" i="8"/>
  <c r="B13" i="5"/>
  <c r="B15" i="4"/>
  <c r="B22" i="5"/>
  <c r="B15" i="7"/>
  <c r="B17" i="5"/>
  <c r="B21" i="8"/>
  <c r="B14" i="8"/>
  <c r="B33" i="8"/>
  <c r="B23" i="4"/>
  <c r="B14" i="5"/>
  <c r="B18" i="5"/>
  <c r="B10" i="4"/>
  <c r="B20" i="8"/>
  <c r="B17" i="4"/>
  <c r="B9" i="9"/>
  <c r="B9" i="7"/>
  <c r="B12" i="5"/>
  <c r="B25" i="5"/>
  <c r="B12" i="9"/>
  <c r="B16" i="4"/>
  <c r="B15" i="8"/>
  <c r="B26" i="8"/>
  <c r="B10" i="9"/>
  <c r="B12" i="4"/>
  <c r="B6" i="9"/>
  <c r="B13" i="4"/>
  <c r="B22" i="4"/>
  <c r="B19" i="5"/>
  <c r="B17" i="8"/>
  <c r="B29" i="8"/>
  <c r="B20" i="4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F10" i="8"/>
  <c r="G10" i="8" s="1"/>
  <c r="I10" i="8"/>
  <c r="I32" i="8"/>
  <c r="F23" i="8"/>
  <c r="G23" i="8" s="1"/>
  <c r="I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8" i="8" l="1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7" i="1"/>
  <c r="B27" i="1"/>
  <c r="B64" i="2"/>
  <c r="B63" i="2"/>
  <c r="B66" i="2"/>
  <c r="B16" i="2"/>
  <c r="B12" i="3"/>
  <c r="B18" i="1"/>
  <c r="B17" i="3"/>
  <c r="B56" i="2"/>
  <c r="B21" i="3"/>
  <c r="B49" i="2"/>
  <c r="B6" i="2"/>
  <c r="B53" i="2"/>
  <c r="B35" i="2"/>
  <c r="B22" i="3"/>
  <c r="B7" i="1"/>
  <c r="B65" i="2"/>
  <c r="B25" i="1"/>
  <c r="B26" i="1"/>
  <c r="B10" i="3"/>
  <c r="B20" i="2"/>
  <c r="B50" i="2"/>
  <c r="B9" i="1"/>
  <c r="B45" i="2"/>
  <c r="B47" i="2"/>
  <c r="B32" i="1"/>
  <c r="B11" i="3"/>
  <c r="B22" i="2"/>
  <c r="B19" i="2"/>
  <c r="B67" i="2"/>
  <c r="B8" i="2"/>
  <c r="B28" i="2"/>
  <c r="B59" i="2"/>
  <c r="B60" i="2"/>
  <c r="B34" i="1"/>
  <c r="B43" i="2"/>
  <c r="B44" i="2"/>
  <c r="B15" i="3"/>
  <c r="B9" i="2"/>
  <c r="B21" i="2"/>
  <c r="B30" i="1"/>
  <c r="B13" i="1"/>
  <c r="B33" i="1"/>
  <c r="B62" i="2"/>
  <c r="B16" i="1"/>
  <c r="B48" i="2"/>
  <c r="B7" i="2"/>
  <c r="B46" i="2"/>
  <c r="B11" i="2"/>
  <c r="B14" i="1"/>
  <c r="B54" i="2"/>
  <c r="B10" i="2"/>
  <c r="B69" i="2"/>
  <c r="B35" i="1"/>
  <c r="B58" i="2"/>
  <c r="B24" i="1"/>
  <c r="B12" i="2"/>
  <c r="B42" i="2"/>
  <c r="B72" i="2"/>
  <c r="B36" i="1"/>
  <c r="B21" i="1"/>
  <c r="B41" i="2"/>
  <c r="B31" i="2"/>
  <c r="B52" i="2"/>
  <c r="B14" i="3"/>
  <c r="B26" i="2"/>
  <c r="B14" i="2"/>
  <c r="B68" i="2"/>
  <c r="B28" i="1"/>
  <c r="B9" i="3"/>
  <c r="B5" i="1"/>
  <c r="B8" i="1"/>
  <c r="B57" i="2"/>
  <c r="B23" i="1"/>
  <c r="B29" i="2"/>
  <c r="B18" i="2"/>
  <c r="B7" i="3"/>
  <c r="B13" i="2"/>
  <c r="B13" i="3"/>
  <c r="B34" i="2"/>
  <c r="B71" i="2"/>
  <c r="B33" i="2"/>
  <c r="B23" i="3"/>
  <c r="B6" i="1"/>
  <c r="B11" i="1"/>
  <c r="B25" i="3"/>
  <c r="B16" i="3"/>
  <c r="B32" i="2"/>
  <c r="B19" i="1"/>
  <c r="B20" i="3"/>
  <c r="B19" i="3"/>
  <c r="B31" i="1"/>
  <c r="B51" i="2"/>
  <c r="B20" i="1"/>
  <c r="B15" i="1"/>
  <c r="B18" i="3"/>
  <c r="B36" i="2"/>
  <c r="B17" i="2"/>
  <c r="B55" i="2"/>
  <c r="B8" i="3"/>
  <c r="B22" i="1"/>
  <c r="B15" i="2"/>
  <c r="B24" i="3"/>
  <c r="B61" i="2"/>
  <c r="B25" i="2"/>
  <c r="B30" i="2"/>
  <c r="B24" i="2"/>
  <c r="B12" i="1"/>
  <c r="B29" i="1"/>
  <c r="B23" i="2"/>
  <c r="B10" i="1"/>
  <c r="B70" i="2"/>
  <c r="B27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<sst xmlns="http://schemas.openxmlformats.org/spreadsheetml/2006/main" count="699" uniqueCount="321">
  <si>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</si>
  <si>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</si>
  <si>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</si>
  <si>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</si>
  <si>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</si>
  <si>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</si>
  <si>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</si>
  <si>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</si>
  <si>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</si>
  <si>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</si>
  <si>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</si>
  <si>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</si>
  <si>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</si>
  <si>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</si>
  <si>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</si>
  <si>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</si>
  <si>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</si>
  <si>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</si>
  <si>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</si>
  <si>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</si>
  <si>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</si>
  <si>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</si>
  <si>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</si>
  <si>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</si>
  <si>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</si>
  <si>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</si>
  <si>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</si>
  <si>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</si>
  <si>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</si>
  <si>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</si>
  <si>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</si>
  <si>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</si>
  <si>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</si>
  <si>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</si>
  <si>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</si>
  <si>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</si>
  <si>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</si>
  <si>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</si>
  <si>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</si>
  <si>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</si>
  <si>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</si>
  <si>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</si>
  <si>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</si>
  <si>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</si>
  <si>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</si>
  <si>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</si>
  <si>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</si>
  <si>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</si>
  <si>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</si>
  <si>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</si>
  <si>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</si>
  <si>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</si>
  <si>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</si>
  <si>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</si>
  <si>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</si>
  <si>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</si>
  <si>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</si>
  <si>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</si>
  <si>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</si>
  <si>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</si>
  <si>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</si>
  <si>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</si>
  <si>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</si>
  <si>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</si>
  <si>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</si>
  <si>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</si>
  <si>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</si>
  <si>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</si>
  <si>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</si>
  <si>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</si>
  <si>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</si>
  <si>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</si>
  <si>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</si>
  <si>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</si>
  <si>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</si>
  <si>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</si>
  <si>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</si>
  <si>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</si>
  <si>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</si>
  <si>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</si>
  <si>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</si>
  <si>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</si>
  <si>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</si>
  <si>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</si>
  <si>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</si>
  <si>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</si>
  <si>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</si>
  <si>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</si>
  <si>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</si>
  <si>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</si>
  <si>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</si>
  <si>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</si>
  <si>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</si>
  <si>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</si>
  <si>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</si>
  <si>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</si>
  <si>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</si>
  <si>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</si>
  <si>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</si>
  <si>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</si>
  <si>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</si>
  <si>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</si>
  <si>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</si>
  <si>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</si>
  <si>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</si>
  <si>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</si>
  <si>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</si>
  <si>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</si>
  <si>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</si>
  <si>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</si>
  <si>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</si>
  <si>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</si>
  <si>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</si>
  <si>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</si>
  <si>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</si>
  <si>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</si>
  <si>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</si>
  <si>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</si>
  <si>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</si>
  <si>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</si>
  <si>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</si>
  <si>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</si>
  <si>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</si>
  <si>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</si>
  <si>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</si>
  <si>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</si>
  <si>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</si>
  <si>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</si>
  <si>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</si>
  <si>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</si>
  <si>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</si>
  <si>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</si>
  <si>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</si>
  <si>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</si>
  <si>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</si>
  <si>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</si>
  <si>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</si>
  <si>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</si>
  <si>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</si>
  <si>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</si>
  <si>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</si>
  <si>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</si>
  <si>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</si>
  <si>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</si>
  <si>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</si>
  <si>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</si>
  <si>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</si>
  <si>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</si>
  <si>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</si>
  <si>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</si>
  <si>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</si>
  <si>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</si>
  <si>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</si>
  <si>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</si>
  <si>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</si>
  <si>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</si>
  <si>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</si>
  <si>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</si>
  <si>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</si>
  <si>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</si>
  <si>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</si>
  <si>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</si>
  <si>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</si>
  <si>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</si>
  <si>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</si>
  <si>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</si>
  <si>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</si>
  <si>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</si>
  <si>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</si>
  <si>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</si>
  <si>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</si>
  <si>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</si>
  <si>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</si>
  <si>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</si>
  <si>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</si>
  <si>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</si>
  <si>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</si>
  <si>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</si>
  <si>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</si>
  <si>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</si>
  <si>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</si>
  <si>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</si>
  <si>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</si>
  <si>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</si>
  <si>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</si>
  <si>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</si>
  <si>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</si>
  <si>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</si>
  <si>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</si>
  <si>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</si>
  <si>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</si>
  <si>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</si>
  <si>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</si>
  <si>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</si>
  <si>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</si>
  <si>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</si>
  <si>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</si>
  <si>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</si>
  <si>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</si>
  <si>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</si>
  <si>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</si>
  <si>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</si>
  <si>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</si>
  <si>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</si>
  <si>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</si>
  <si>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</si>
  <si>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</si>
  <si>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</si>
  <si>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</si>
  <si>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</si>
  <si>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</si>
  <si>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</si>
  <si>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</si>
  <si>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</si>
  <si>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</si>
  <si>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</si>
  <si>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</si>
  <si>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</si>
  <si>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</si>
  <si>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</si>
  <si>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</si>
  <si>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</si>
  <si>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</si>
  <si>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</si>
  <si>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</si>
  <si>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</si>
  <si>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</si>
  <si>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</si>
  <si>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</si>
  <si>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</si>
  <si>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</si>
  <si>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FOR150-32x43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</si>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</sst>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Segoe UI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0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280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281</v>
      </c>
      <c r="K4" s="2" t="s">
        <v>282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F5"/>
  <sheetViews>
    <sheetView workbookViewId="0">
      <selection activeCell="M28" sqref="M28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6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6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6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6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6" sqref="E6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"/>
  <sheetViews>
    <sheetView workbookViewId="0">
      <selection activeCell="M30" sqref="M30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4"/>
  <sheetViews>
    <sheetView workbookViewId="0">
      <selection activeCell="E17" sqref="E1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29.7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E$12/$D$6 +1</f>
        <v>26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299</v>
      </c>
      <c r="E14">
        <f>E$13*$E$6</f>
        <v>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293</v>
      </c>
      <c r="E15" s="36">
        <f>PhiMayInToner4M(E$14)</f>
        <v>102541.3333</v>
      </c>
      <c r="F15" s="36">
        <f t="shared" ref="F15:J15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301</v>
      </c>
      <c r="E16" s="36">
        <f>E$15*2</f>
        <v>205082.6666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294</v>
      </c>
      <c r="E17" s="29">
        <f t="shared" ref="E17:J17" si="4">E$15*(1+$D$7)</f>
        <v>179447.33327499998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297</v>
      </c>
      <c r="E18" s="29">
        <f>E$16*(1+$D$7)</f>
        <v>358894.66654999997</v>
      </c>
      <c r="F18" s="29">
        <f t="shared" ref="F18:J18" si="5">F$16*(1+$D$7)</f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289</v>
      </c>
      <c r="E19" s="7">
        <f>E$17/E$13</f>
        <v>6901.8205105769221</v>
      </c>
      <c r="F19" s="7">
        <f t="shared" ref="F19:J19" si="6">F$17/F$13</f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291</v>
      </c>
      <c r="E20" s="7">
        <f>E$17/E$14</f>
        <v>3450.910255288461</v>
      </c>
      <c r="F20" s="7">
        <f t="shared" ref="F20:J20" si="7">F$17/F$14</f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292</v>
      </c>
      <c r="E21" s="29">
        <f>$E$9*E$13</f>
        <v>23432.5</v>
      </c>
      <c r="F21" s="29">
        <f>$E$9*F$13</f>
        <v>45963.75</v>
      </c>
      <c r="G21" s="29">
        <f t="shared" ref="G21:J21" si="8">$E$9*G$13</f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295</v>
      </c>
      <c r="E22" s="29">
        <f>E$17+E$21</f>
        <v>202879.83327499998</v>
      </c>
      <c r="F22" s="29">
        <f t="shared" ref="F22:J22" si="9">F$17+F$21</f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296</v>
      </c>
      <c r="E23" s="29">
        <f>E$18+E$21</f>
        <v>382327.16654999997</v>
      </c>
      <c r="F23" s="29">
        <f t="shared" ref="F23:J23" si="10">F$18+F$21</f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4"/>
  <sheetViews>
    <sheetView workbookViewId="0">
      <selection activeCell="C4" sqref="C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299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293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301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294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297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289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291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292</v>
      </c>
      <c r="E21" s="29">
        <f>$E$9*E$13</f>
        <v>12617.5</v>
      </c>
      <c r="F21" s="29">
        <f>$E$9*F$13</f>
        <v>23432.5</v>
      </c>
      <c r="G21" s="29">
        <f t="shared" ref="G21:J21" si="8">$E$9*G$13</f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295</v>
      </c>
      <c r="E22" s="29">
        <f>E$17+E$21</f>
        <v>160396.83327499998</v>
      </c>
      <c r="F22" s="29">
        <f t="shared" ref="F22:J22" si="9">F$17+F$21</f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296</v>
      </c>
      <c r="E23" s="29">
        <f>E$18+E$21</f>
        <v>308176.16654999997</v>
      </c>
      <c r="F23" s="29">
        <f t="shared" ref="F23:J23" si="10">F$18+F$21</f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4"/>
  <sheetViews>
    <sheetView workbookViewId="0">
      <selection activeCell="G5" sqref="G5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299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293</v>
      </c>
      <c r="E15" s="36">
        <f>PhiMayInToner4M(E$14)</f>
        <v>75397.333299999998</v>
      </c>
      <c r="F15" s="36">
        <f t="shared" ref="F15:J15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301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294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297</v>
      </c>
      <c r="E18" s="29">
        <f>E$16*(1+$D$7)</f>
        <v>263890.66654999997</v>
      </c>
      <c r="F18" s="29">
        <f t="shared" ref="F18:J18" si="5">F$16*(1+$D$7)</f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289</v>
      </c>
      <c r="E19" s="7">
        <f>E$17/E$13</f>
        <v>16493.166659374998</v>
      </c>
      <c r="F19" s="7">
        <f t="shared" ref="F19:J19" si="6">F$17/F$13</f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291</v>
      </c>
      <c r="E20" s="7">
        <f>E$17/E$14</f>
        <v>8246.5833296874989</v>
      </c>
      <c r="F20" s="7">
        <f t="shared" ref="F20:J20" si="7">F$17/F$14</f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292</v>
      </c>
      <c r="E21" s="29">
        <f>$E$9*E$13</f>
        <v>7210</v>
      </c>
      <c r="F21" s="29">
        <f>$E$9*F$13</f>
        <v>12617.5</v>
      </c>
      <c r="G21" s="29">
        <f t="shared" ref="G21:J21" si="8">$E$9*G$13</f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295</v>
      </c>
      <c r="E22" s="29">
        <f>E$17+E$21</f>
        <v>139155.33327499998</v>
      </c>
      <c r="F22" s="29">
        <f t="shared" ref="F22:J22" si="9">F$17+F$21</f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296</v>
      </c>
      <c r="E23" s="29">
        <f>E$18+E$21</f>
        <v>271100.66654999997</v>
      </c>
      <c r="F23" s="29">
        <f t="shared" ref="F23:J23" si="10">F$18+F$21</f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4"/>
  <sheetViews>
    <sheetView workbookViewId="0">
      <selection activeCell="H7" sqref="H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305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299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293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301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294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297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289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291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292</v>
      </c>
      <c r="E21" s="29">
        <f>$E$9*E$13</f>
        <v>9012.5</v>
      </c>
      <c r="F21" s="29">
        <f>$E$9*F$13</f>
        <v>16222.5</v>
      </c>
      <c r="G21" s="29">
        <f t="shared" ref="G21:J21" si="8">$E$9*G$13</f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295</v>
      </c>
      <c r="E22" s="29">
        <f>E$17+E$21</f>
        <v>146235.83327499998</v>
      </c>
      <c r="F22" s="29">
        <f t="shared" ref="F22:J22" si="9">F$17+F$21</f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296</v>
      </c>
      <c r="E23" s="29">
        <f>E$18+E$21</f>
        <v>283459.16654999997</v>
      </c>
      <c r="F23" s="29">
        <f t="shared" ref="F23:J23" si="10">F$18+F$21</f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36"/>
  <sheetViews>
    <sheetView topLeftCell="A13" workbookViewId="0">
      <selection activeCell="A13"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314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29.7</v>
      </c>
      <c r="C4">
        <v>21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299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293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301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294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297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289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291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317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140828.64635</v>
      </c>
      <c r="F33" s="7">
        <f t="shared" ref="F33:J33" si="17">PhiMayCanMang(F$17,$C$5/100, $D$5/100)*(1+$D$8)+ F$17*$E$14</f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318</v>
      </c>
      <c r="E34" s="7">
        <f>E$33/E$16</f>
        <v>2816.5729269999997</v>
      </c>
      <c r="F34" s="7">
        <f t="shared" ref="F34:J34" si="19">F$33/F$16</f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>M$17*$E$14/M$16</f>
        <v>150.25919999999999</v>
      </c>
      <c r="N34" s="7">
        <f t="shared" ref="N34:R34" si="20">N$17*$E$14/N$16</f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310</v>
      </c>
      <c r="E35" s="7">
        <f>PhiMayCanMang(E$17*2,$C$5/100, $D$5/100)*(1+$D$8)+ E$17*$E$14*2</f>
        <v>153323.95925000001</v>
      </c>
      <c r="F35" s="7">
        <f t="shared" ref="F35:J35" si="21">PhiMayCanMang(F$17*2,$C$5/100, $D$5/100)*(1+$D$8)+ F$17*$E$14*2</f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319</v>
      </c>
      <c r="E36" s="7">
        <f>E$35/E$16</f>
        <v>3066.4791850000001</v>
      </c>
      <c r="F36" s="7">
        <f t="shared" ref="F36:J36" si="23">F$35/F$16</f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>M$17*2*$E$14/M$16</f>
        <v>300.51839999999999</v>
      </c>
      <c r="N36" s="7">
        <f t="shared" ref="N36:R36" si="24">N$17*2*$E$14/N$16</f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dimension ref="A1:R36"/>
  <sheetViews>
    <sheetView tabSelected="1" topLeftCell="A10" workbookViewId="0">
      <selection activeCell="J18" sqref="J18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314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15</v>
      </c>
      <c r="C4">
        <v>20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299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293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301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294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297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289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291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317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134951.94055</v>
      </c>
      <c r="F33" s="7">
        <f t="shared" ref="F33:J33" si="17">PhiMayCanMang(F$17,$C$5/100, $D$5/100)*(1+$D$8)+ F$17*$E$14</f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318</v>
      </c>
      <c r="E34" s="7">
        <f>E$33/E$16</f>
        <v>2699.0388109999999</v>
      </c>
      <c r="F34" s="7">
        <f t="shared" ref="F34:J34" si="19">F$33/F$16</f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>M$17*$E$14/M$16</f>
        <v>78.019199999999998</v>
      </c>
      <c r="N34" s="7">
        <f t="shared" ref="N34:R34" si="20">N$17*$E$14/N$16</f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310</v>
      </c>
      <c r="E35" s="7">
        <f>PhiMayCanMang(E$17*2,$C$5/100, $D$5/100)*(1+$D$8)+ E$17*$E$14*2</f>
        <v>141570.54765000002</v>
      </c>
      <c r="F35" s="7">
        <f t="shared" ref="F35:J35" si="21">PhiMayCanMang(F$17*2,$C$5/100, $D$5/100)*(1+$D$8)+ F$17*$E$14*2</f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319</v>
      </c>
      <c r="E36" s="7">
        <f>E$35/E$16</f>
        <v>2831.4109530000005</v>
      </c>
      <c r="F36" s="7">
        <f t="shared" ref="F36:J36" si="23">F$35/F$16</f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>M$17*2*$E$14/M$16</f>
        <v>156.0384</v>
      </c>
      <c r="N36" s="7">
        <f t="shared" ref="N36:R36" si="24">N$17*2*$E$14/N$16</f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G29" sqref="G2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33"/>
  <sheetViews>
    <sheetView topLeftCell="D1" workbookViewId="0">
      <selection activeCell="T13" sqref="T1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6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244</v>
      </c>
      <c r="Q3" t="s">
        <v>267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242</v>
      </c>
      <c r="Q4" t="s">
        <v>248</v>
      </c>
      <c r="R4">
        <v>324</v>
      </c>
    </row>
    <row r="5" spans="1:18" x14ac:dyDescent="0.25">
      <c r="P5" t="s">
        <v>243</v>
      </c>
      <c r="Q5" t="s">
        <v>250</v>
      </c>
      <c r="R5">
        <v>488</v>
      </c>
    </row>
    <row r="6" spans="1:18" x14ac:dyDescent="0.25">
      <c r="P6" t="s">
        <v>245</v>
      </c>
      <c r="Q6" t="s">
        <v>251</v>
      </c>
      <c r="R6">
        <v>355</v>
      </c>
    </row>
    <row r="7" spans="1:18" x14ac:dyDescent="0.25">
      <c r="P7" t="s">
        <v>246</v>
      </c>
      <c r="Q7" t="s">
        <v>249</v>
      </c>
      <c r="R7">
        <v>500</v>
      </c>
    </row>
    <row r="8" spans="1:18" x14ac:dyDescent="0.25">
      <c r="P8" t="s">
        <v>247</v>
      </c>
      <c r="Q8" t="s">
        <v>252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268</v>
      </c>
      <c r="Q10" t="s">
        <v>269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270</v>
      </c>
      <c r="Q13" t="s">
        <v>271</v>
      </c>
      <c r="R13">
        <v>785</v>
      </c>
    </row>
    <row r="14" spans="1:18" x14ac:dyDescent="0.25">
      <c r="P14" t="s">
        <v>272</v>
      </c>
      <c r="Q14" t="s">
        <v>273</v>
      </c>
      <c r="R14">
        <v>1030</v>
      </c>
    </row>
    <row r="15" spans="1:18" x14ac:dyDescent="0.25">
      <c r="P15" t="s">
        <v>223</v>
      </c>
      <c r="Q15" t="s">
        <v>216</v>
      </c>
      <c r="R15">
        <v>1272</v>
      </c>
    </row>
    <row r="16" spans="1:18" x14ac:dyDescent="0.25">
      <c r="P16" t="s">
        <v>224</v>
      </c>
      <c r="Q16" t="s">
        <v>217</v>
      </c>
      <c r="R16">
        <v>1200</v>
      </c>
    </row>
    <row r="17" spans="16:18" x14ac:dyDescent="0.25">
      <c r="P17" t="s">
        <v>225</v>
      </c>
      <c r="Q17" t="s">
        <v>218</v>
      </c>
      <c r="R17">
        <v>1456</v>
      </c>
    </row>
    <row r="18" spans="16:18" x14ac:dyDescent="0.25">
      <c r="P18" t="s">
        <v>226</v>
      </c>
      <c r="Q18" t="s">
        <v>219</v>
      </c>
      <c r="R18">
        <v>1704</v>
      </c>
    </row>
    <row r="19" spans="16:18" x14ac:dyDescent="0.25">
      <c r="P19" t="s">
        <v>232</v>
      </c>
      <c r="Q19" t="s">
        <v>253</v>
      </c>
      <c r="R19">
        <v>488</v>
      </c>
    </row>
    <row r="20" spans="16:18" x14ac:dyDescent="0.25">
      <c r="P20" t="s">
        <v>233</v>
      </c>
      <c r="Q20" t="s">
        <v>254</v>
      </c>
      <c r="R20">
        <v>584</v>
      </c>
    </row>
    <row r="21" spans="16:18" x14ac:dyDescent="0.25">
      <c r="P21" t="s">
        <v>229</v>
      </c>
      <c r="Q21" t="s">
        <v>255</v>
      </c>
      <c r="R21">
        <v>700</v>
      </c>
    </row>
    <row r="22" spans="16:18" x14ac:dyDescent="0.25">
      <c r="P22" t="s">
        <v>231</v>
      </c>
      <c r="Q22" t="s">
        <v>255</v>
      </c>
      <c r="R22">
        <v>0</v>
      </c>
    </row>
    <row r="23" spans="16:18" x14ac:dyDescent="0.25">
      <c r="P23" t="s">
        <v>228</v>
      </c>
      <c r="Q23" t="s">
        <v>256</v>
      </c>
      <c r="R23">
        <v>900</v>
      </c>
    </row>
    <row r="24" spans="16:18" x14ac:dyDescent="0.25">
      <c r="P24" t="s">
        <v>227</v>
      </c>
      <c r="Q24" t="s">
        <v>257</v>
      </c>
      <c r="R24">
        <v>740</v>
      </c>
    </row>
    <row r="25" spans="16:18" x14ac:dyDescent="0.25">
      <c r="P25" t="s">
        <v>230</v>
      </c>
      <c r="Q25" t="s">
        <v>258</v>
      </c>
      <c r="R25">
        <v>1232</v>
      </c>
    </row>
    <row r="26" spans="16:18" x14ac:dyDescent="0.25">
      <c r="P26" t="s">
        <v>235</v>
      </c>
      <c r="Q26" t="s">
        <v>259</v>
      </c>
    </row>
    <row r="27" spans="16:18" x14ac:dyDescent="0.25">
      <c r="P27" t="s">
        <v>234</v>
      </c>
      <c r="Q27" t="s">
        <v>261</v>
      </c>
    </row>
    <row r="28" spans="16:18" x14ac:dyDescent="0.25">
      <c r="P28" t="s">
        <v>236</v>
      </c>
      <c r="Q28" t="s">
        <v>260</v>
      </c>
    </row>
    <row r="29" spans="16:18" x14ac:dyDescent="0.25">
      <c r="P29" t="s">
        <v>237</v>
      </c>
      <c r="Q29" t="s">
        <v>262</v>
      </c>
    </row>
    <row r="30" spans="16:18" x14ac:dyDescent="0.25">
      <c r="P30" t="s">
        <v>241</v>
      </c>
      <c r="Q30" t="s">
        <v>263</v>
      </c>
    </row>
    <row r="31" spans="16:18" x14ac:dyDescent="0.25">
      <c r="P31" t="s">
        <v>240</v>
      </c>
      <c r="Q31" t="s">
        <v>264</v>
      </c>
    </row>
    <row r="32" spans="16:18" x14ac:dyDescent="0.25">
      <c r="P32" t="s">
        <v>239</v>
      </c>
      <c r="Q32" t="s">
        <v>265</v>
      </c>
    </row>
    <row r="33" spans="16:17" x14ac:dyDescent="0.25">
      <c r="P33" t="s">
        <v>238</v>
      </c>
      <c r="Q33" t="s">
        <v>266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P25" sqref="P25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22</vt:i4>
      </vt:variant>
      <vt:variant>
        <vt:lpstr>Phạm vi Có tên</vt:lpstr>
      </vt:variant>
      <vt:variant>
        <vt:i4>7</vt:i4>
      </vt:variant>
    </vt:vector>
  </HeadingPairs>
  <TitlesOfParts>
    <vt:vector size="29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Sheet1</vt:lpstr>
      <vt:lpstr>BaiCMYK</vt:lpstr>
      <vt:lpstr>SP-DanhThiep</vt:lpstr>
      <vt:lpstr>SP-ToRoi-A4</vt:lpstr>
      <vt:lpstr>SP-ToRoi-A5</vt:lpstr>
      <vt:lpstr>SP-ToRoi-A6</vt:lpstr>
      <vt:lpstr>SP-ToRoi-DL</vt:lpstr>
      <vt:lpstr>SP-Broc-A4</vt:lpstr>
      <vt:lpstr>SP-Broc-A5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2019-05-25T06:18:28Z</dcterms:modified>
</cp:coreProperties>
</file>