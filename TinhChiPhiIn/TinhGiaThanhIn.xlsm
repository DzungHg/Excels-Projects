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D7F26019-CA87-4D4F-8DF8-4B9077E9F679}" xr6:coauthVersionLast="43" xr6:coauthVersionMax="43" xr10:uidLastSave="{00000000-0000-0000-0000-000000000000}"/>
  <bookViews>
    <workbookView xWindow="-120" yWindow="-120" windowWidth="29040" windowHeight="15990" firstSheet="15" activeTab="21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Base-MayIn" sheetId="10" r:id="rId23"/>
    <sheet name="NguyenVatLieu" sheetId="13" r:id="rId24"/>
    <sheet name="Base-Margin" sheetId="15" r:id="rId25"/>
  </sheets>
  <functionGroups builtInGroupCount="19"/>
  <definedNames>
    <definedName name="atools_list_filter_1" localSheetId="11" hidden="1">BaiCMYK!$E$8:$F$9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6" i="25" l="1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G18" i="25" l="1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G19" i="25"/>
  <c r="F19" i="25"/>
  <c r="E19" i="25"/>
  <c r="J19" i="16"/>
  <c r="M19" i="16"/>
  <c r="F19" i="16"/>
  <c r="N19" i="16"/>
  <c r="L19" i="16"/>
  <c r="I19" i="16"/>
  <c r="E19" i="16"/>
  <c r="G21" i="25" l="1"/>
  <c r="G20" i="25"/>
  <c r="G22" i="25" s="1"/>
  <c r="G27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O33" i="24"/>
  <c r="R29" i="24"/>
  <c r="N29" i="24"/>
  <c r="I29" i="24"/>
  <c r="E29" i="24"/>
  <c r="R33" i="24"/>
  <c r="N33" i="24"/>
  <c r="Q29" i="24"/>
  <c r="M29" i="24"/>
  <c r="H29" i="24"/>
  <c r="Q19" i="24"/>
  <c r="M19" i="24"/>
  <c r="L35" i="24"/>
  <c r="Q33" i="24"/>
  <c r="M33" i="24"/>
  <c r="P29" i="24"/>
  <c r="L29" i="24"/>
  <c r="G29" i="24"/>
  <c r="J29" i="24"/>
  <c r="L19" i="24"/>
  <c r="F19" i="24"/>
  <c r="J19" i="24"/>
  <c r="P33" i="24"/>
  <c r="F29" i="24"/>
  <c r="P19" i="24"/>
  <c r="L33" i="24"/>
  <c r="O19" i="24"/>
  <c r="O35" i="24"/>
  <c r="O29" i="24"/>
  <c r="G19" i="24"/>
  <c r="G19" i="16"/>
  <c r="H19" i="16"/>
  <c r="K19" i="16"/>
  <c r="G23" i="25" l="1"/>
  <c r="G26" i="25"/>
  <c r="G24" i="25"/>
  <c r="E27" i="25"/>
  <c r="E38" i="25" s="1"/>
  <c r="F27" i="25"/>
  <c r="F38" i="25" s="1"/>
  <c r="E26" i="25"/>
  <c r="E37" i="25" s="1"/>
  <c r="E23" i="25"/>
  <c r="E24" i="25"/>
  <c r="F23" i="25"/>
  <c r="F26" i="25"/>
  <c r="F37" i="25" s="1"/>
  <c r="F24" i="25"/>
  <c r="H21" i="16"/>
  <c r="H24" i="16" s="1"/>
  <c r="H20" i="16"/>
  <c r="H22" i="16" s="1"/>
  <c r="H27" i="16" s="1"/>
  <c r="H38" i="16" s="1"/>
  <c r="G21" i="16"/>
  <c r="G26" i="16" s="1"/>
  <c r="G37" i="16" s="1"/>
  <c r="G20" i="16"/>
  <c r="G22" i="16" s="1"/>
  <c r="G27" i="16" s="1"/>
  <c r="G38" i="16" s="1"/>
  <c r="K20" i="16"/>
  <c r="K22" i="16" s="1"/>
  <c r="K27" i="16" s="1"/>
  <c r="K38" i="16" s="1"/>
  <c r="K21" i="16"/>
  <c r="M23" i="16"/>
  <c r="M26" i="16"/>
  <c r="M37" i="16" s="1"/>
  <c r="M24" i="16"/>
  <c r="L24" i="16"/>
  <c r="L23" i="16"/>
  <c r="L26" i="16"/>
  <c r="L37" i="16" s="1"/>
  <c r="L27" i="16"/>
  <c r="L38" i="16" s="1"/>
  <c r="K24" i="16"/>
  <c r="K23" i="16"/>
  <c r="K26" i="16"/>
  <c r="K37" i="16" s="1"/>
  <c r="M27" i="16"/>
  <c r="M38" i="16" s="1"/>
  <c r="N27" i="16"/>
  <c r="N38" i="16" s="1"/>
  <c r="N26" i="16"/>
  <c r="N37" i="16" s="1"/>
  <c r="N24" i="16"/>
  <c r="N23" i="16"/>
  <c r="J27" i="16"/>
  <c r="J38" i="16" s="1"/>
  <c r="F27" i="16"/>
  <c r="F38" i="16" s="1"/>
  <c r="E27" i="16"/>
  <c r="E38" i="16" s="1"/>
  <c r="H26" i="16"/>
  <c r="H37" i="16" s="1"/>
  <c r="I27" i="16"/>
  <c r="I38" i="16" s="1"/>
  <c r="G24" i="16"/>
  <c r="G23" i="16"/>
  <c r="J23" i="16"/>
  <c r="J26" i="16"/>
  <c r="J37" i="16" s="1"/>
  <c r="J24" i="16"/>
  <c r="I23" i="16"/>
  <c r="I26" i="16"/>
  <c r="I37" i="16" s="1"/>
  <c r="I24" i="16"/>
  <c r="F23" i="16"/>
  <c r="F26" i="16"/>
  <c r="F37" i="16" s="1"/>
  <c r="F24" i="16"/>
  <c r="E23" i="16"/>
  <c r="E26" i="16"/>
  <c r="E37" i="16" s="1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I35" i="24"/>
  <c r="H35" i="24"/>
  <c r="P35" i="24"/>
  <c r="H19" i="24"/>
  <c r="E33" i="24"/>
  <c r="N19" i="24"/>
  <c r="G35" i="24"/>
  <c r="J35" i="24"/>
  <c r="I33" i="24"/>
  <c r="G33" i="24"/>
  <c r="J33" i="24"/>
  <c r="E19" i="24"/>
  <c r="R35" i="24"/>
  <c r="F35" i="24"/>
  <c r="I19" i="24"/>
  <c r="R19" i="24"/>
  <c r="H33" i="24"/>
  <c r="F33" i="24"/>
  <c r="Q35" i="24"/>
  <c r="N35" i="24"/>
  <c r="E35" i="24"/>
  <c r="M35" i="24"/>
  <c r="G8" i="11" a="1"/>
  <c r="B2" i="11" a="1"/>
  <c r="I29" i="23"/>
  <c r="P29" i="23"/>
  <c r="N33" i="23"/>
  <c r="P35" i="23"/>
  <c r="O35" i="23"/>
  <c r="E35" i="23"/>
  <c r="G35" i="23"/>
  <c r="F33" i="23"/>
  <c r="M29" i="23"/>
  <c r="L33" i="23"/>
  <c r="F29" i="23"/>
  <c r="Q33" i="23"/>
  <c r="H29" i="23"/>
  <c r="I35" i="23"/>
  <c r="J29" i="23"/>
  <c r="O33" i="23"/>
  <c r="E29" i="23"/>
  <c r="G29" i="23"/>
  <c r="Q29" i="23"/>
  <c r="M33" i="23"/>
  <c r="F35" i="23"/>
  <c r="O29" i="23"/>
  <c r="P33" i="23"/>
  <c r="R29" i="23"/>
  <c r="L35" i="23"/>
  <c r="J35" i="23"/>
  <c r="L29" i="23"/>
  <c r="H35" i="23"/>
  <c r="N29" i="23"/>
  <c r="R33" i="23"/>
  <c r="L19" i="23"/>
  <c r="J33" i="23"/>
  <c r="H23" i="16" l="1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26" i="24"/>
  <c r="O27" i="24"/>
  <c r="O26" i="24"/>
  <c r="G24" i="24"/>
  <c r="G23" i="24"/>
  <c r="Q27" i="24"/>
  <c r="Q26" i="24"/>
  <c r="J27" i="24"/>
  <c r="J26" i="24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27" i="24"/>
  <c r="J8" i="1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P19" i="23"/>
  <c r="Q19" i="23"/>
  <c r="F19" i="23"/>
  <c r="I19" i="23"/>
  <c r="E19" i="23"/>
  <c r="P33" i="22"/>
  <c r="G35" i="22"/>
  <c r="I35" i="22"/>
  <c r="O33" i="22"/>
  <c r="L33" i="22"/>
  <c r="Q29" i="22"/>
  <c r="M29" i="22"/>
  <c r="R19" i="23"/>
  <c r="R35" i="23"/>
  <c r="E33" i="23"/>
  <c r="F29" i="22"/>
  <c r="N29" i="22"/>
  <c r="E29" i="22"/>
  <c r="P35" i="22"/>
  <c r="N19" i="23"/>
  <c r="M35" i="23"/>
  <c r="Q35" i="23"/>
  <c r="G33" i="22"/>
  <c r="N33" i="22"/>
  <c r="H35" i="22"/>
  <c r="G33" i="23"/>
  <c r="I33" i="23"/>
  <c r="H29" i="22"/>
  <c r="M33" i="22"/>
  <c r="L35" i="22"/>
  <c r="G29" i="22"/>
  <c r="H19" i="23"/>
  <c r="J19" i="23"/>
  <c r="I29" i="22"/>
  <c r="Q33" i="22"/>
  <c r="O29" i="22"/>
  <c r="J29" i="22"/>
  <c r="N35" i="23"/>
  <c r="M19" i="23"/>
  <c r="R33" i="22"/>
  <c r="L29" i="22"/>
  <c r="L19" i="22"/>
  <c r="E35" i="22"/>
  <c r="J33" i="22"/>
  <c r="O19" i="23"/>
  <c r="G19" i="23"/>
  <c r="H33" i="23"/>
  <c r="F33" i="22"/>
  <c r="P29" i="22"/>
  <c r="R29" i="22"/>
  <c r="N27" i="24" l="1"/>
  <c r="N26" i="24"/>
  <c r="H27" i="24"/>
  <c r="H26" i="24"/>
  <c r="I24" i="24"/>
  <c r="I23" i="24"/>
  <c r="E27" i="24"/>
  <c r="E26" i="24"/>
  <c r="I27" i="24"/>
  <c r="I26" i="24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Q29" i="21"/>
  <c r="G33" i="21"/>
  <c r="E29" i="21"/>
  <c r="H33" i="22"/>
  <c r="R35" i="21"/>
  <c r="O29" i="21"/>
  <c r="H35" i="21"/>
  <c r="H19" i="21"/>
  <c r="J19" i="22"/>
  <c r="Q19" i="21"/>
  <c r="I35" i="21"/>
  <c r="O33" i="21"/>
  <c r="F29" i="21"/>
  <c r="M35" i="21"/>
  <c r="G19" i="21"/>
  <c r="P33" i="21"/>
  <c r="J33" i="21"/>
  <c r="O35" i="22"/>
  <c r="F33" i="21"/>
  <c r="P29" i="21"/>
  <c r="J35" i="22"/>
  <c r="P35" i="21"/>
  <c r="M19" i="22"/>
  <c r="I33" i="21"/>
  <c r="G35" i="21"/>
  <c r="O19" i="21"/>
  <c r="J29" i="21"/>
  <c r="Q35" i="22"/>
  <c r="H33" i="21"/>
  <c r="R19" i="21"/>
  <c r="J35" i="21"/>
  <c r="E33" i="22"/>
  <c r="O35" i="21"/>
  <c r="L35" i="21"/>
  <c r="M33" i="21"/>
  <c r="E19" i="21"/>
  <c r="R19" i="22"/>
  <c r="N29" i="21"/>
  <c r="E33" i="21"/>
  <c r="F35" i="22"/>
  <c r="M35" i="22"/>
  <c r="R33" i="21"/>
  <c r="N19" i="22"/>
  <c r="N19" i="21"/>
  <c r="I33" i="22"/>
  <c r="Q33" i="21"/>
  <c r="R35" i="22"/>
  <c r="M29" i="21"/>
  <c r="J19" i="21"/>
  <c r="N35" i="22"/>
  <c r="L33" i="21"/>
  <c r="G29" i="21"/>
  <c r="F19" i="21"/>
  <c r="P19" i="22"/>
  <c r="F19" i="22"/>
  <c r="R29" i="21"/>
  <c r="N33" i="21"/>
  <c r="E35" i="21"/>
  <c r="Q19" i="22"/>
  <c r="O19" i="22"/>
  <c r="Q35" i="21"/>
  <c r="L29" i="21"/>
  <c r="I29" i="21"/>
  <c r="E19" i="22"/>
  <c r="N35" i="21"/>
  <c r="P19" i="21"/>
  <c r="I19" i="22"/>
  <c r="F35" i="21"/>
  <c r="H19" i="22"/>
  <c r="H29" i="21"/>
  <c r="G19" i="22"/>
  <c r="M19" i="21"/>
  <c r="I19" i="21"/>
  <c r="P27" i="23" l="1"/>
  <c r="N27" i="23"/>
  <c r="N26" i="23"/>
  <c r="Q24" i="23"/>
  <c r="Q23" i="23"/>
  <c r="G24" i="23"/>
  <c r="G23" i="23"/>
  <c r="J24" i="23"/>
  <c r="J23" i="23"/>
  <c r="E27" i="23"/>
  <c r="E26" i="23"/>
  <c r="N23" i="23"/>
  <c r="N24" i="23"/>
  <c r="Q27" i="23"/>
  <c r="Q26" i="23"/>
  <c r="F27" i="23"/>
  <c r="F26" i="23"/>
  <c r="I27" i="23"/>
  <c r="I26" i="23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26" i="23"/>
  <c r="O27" i="23"/>
  <c r="O26" i="23"/>
  <c r="R23" i="23"/>
  <c r="R24" i="23"/>
  <c r="G26" i="23"/>
  <c r="G27" i="23"/>
  <c r="J27" i="23"/>
  <c r="J26" i="23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0" i="22"/>
  <c r="Q22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Q24" i="22"/>
  <c r="Q23" i="22"/>
  <c r="Q26" i="22"/>
  <c r="Q27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F15" i="20"/>
  <c r="F15" i="18"/>
  <c r="J15" i="19"/>
  <c r="H15" i="18"/>
  <c r="G15" i="20"/>
  <c r="J15" i="18"/>
  <c r="G15" i="17"/>
  <c r="J15" i="17"/>
  <c r="I15" i="18"/>
  <c r="F15" i="17"/>
  <c r="I15" i="17"/>
  <c r="E15" i="18"/>
  <c r="H15" i="20"/>
  <c r="G15" i="18"/>
  <c r="H15" i="17"/>
  <c r="I15" i="19"/>
  <c r="L19" i="21"/>
  <c r="G15" i="19"/>
  <c r="F15" i="19"/>
  <c r="E15" i="19"/>
  <c r="E14" i="17" l="1"/>
  <c r="M27" i="22"/>
  <c r="H26" i="21"/>
  <c r="H27" i="21"/>
  <c r="F27" i="21"/>
  <c r="F26" i="21"/>
  <c r="E26" i="21"/>
  <c r="E27" i="21"/>
  <c r="G27" i="21"/>
  <c r="G26" i="21"/>
  <c r="J27" i="21"/>
  <c r="J26" i="21"/>
  <c r="I26" i="21"/>
  <c r="I27" i="21"/>
  <c r="M23" i="22"/>
  <c r="N26" i="22"/>
  <c r="N27" i="22"/>
  <c r="E27" i="22"/>
  <c r="E26" i="22"/>
  <c r="G26" i="22"/>
  <c r="G27" i="22"/>
  <c r="F27" i="22"/>
  <c r="F26" i="22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26" i="22"/>
  <c r="I27" i="22"/>
  <c r="I26" i="22"/>
  <c r="F24" i="22"/>
  <c r="F23" i="22"/>
  <c r="H26" i="22"/>
  <c r="H27" i="22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I16" i="17"/>
  <c r="I18" i="17" s="1"/>
  <c r="H16" i="17"/>
  <c r="H18" i="17" s="1"/>
  <c r="H23" i="17" s="1"/>
  <c r="F16" i="17"/>
  <c r="F18" i="17" s="1"/>
  <c r="F23" i="17" s="1"/>
  <c r="G16" i="17"/>
  <c r="G18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I23" i="17"/>
  <c r="F17" i="17"/>
  <c r="G17" i="17"/>
  <c r="G23" i="17"/>
  <c r="H17" i="17"/>
  <c r="J23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H15" i="19"/>
  <c r="J15" i="20"/>
  <c r="E15" i="20"/>
  <c r="I15" i="20"/>
  <c r="E15" i="17"/>
  <c r="E16" i="17" l="1"/>
  <c r="E18" i="17" s="1"/>
  <c r="E23" i="17" s="1"/>
  <c r="E17" i="17"/>
  <c r="E20" i="17" s="1"/>
  <c r="L27" i="21"/>
  <c r="L26" i="21"/>
  <c r="L23" i="21"/>
  <c r="L24" i="21"/>
  <c r="J22" i="17"/>
  <c r="J20" i="17"/>
  <c r="J19" i="17"/>
  <c r="G22" i="17"/>
  <c r="G19" i="17"/>
  <c r="G20" i="17"/>
  <c r="I22" i="17"/>
  <c r="I20" i="17"/>
  <c r="I19" i="17"/>
  <c r="H22" i="17"/>
  <c r="H19" i="17"/>
  <c r="H20" i="17"/>
  <c r="F22" i="17"/>
  <c r="F20" i="17"/>
  <c r="F19" i="17"/>
  <c r="E22" i="17"/>
  <c r="E21" i="20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G22" i="19"/>
  <c r="G19" i="19"/>
  <c r="G20" i="19"/>
  <c r="G23" i="19"/>
  <c r="J19" i="19"/>
  <c r="J20" i="19"/>
  <c r="J22" i="19"/>
  <c r="J23" i="19"/>
  <c r="F22" i="19"/>
  <c r="F19" i="19"/>
  <c r="F20" i="19"/>
  <c r="H22" i="19"/>
  <c r="H19" i="19"/>
  <c r="H20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R4" i="2" a="1"/>
  <c r="B5" i="2"/>
  <c r="E19" i="17" l="1"/>
  <c r="I23" i="20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21" i="6"/>
  <c r="B20" i="6"/>
  <c r="B18" i="6"/>
  <c r="B17" i="6"/>
  <c r="B9" i="6"/>
  <c r="B7" i="6"/>
  <c r="B12" i="6"/>
  <c r="B15" i="6"/>
  <c r="B11" i="6"/>
  <c r="B19" i="6"/>
  <c r="B14" i="6"/>
  <c r="B8" i="6"/>
  <c r="B10" i="6"/>
  <c r="B6" i="6"/>
  <c r="B22" i="6"/>
  <c r="B13" i="6"/>
  <c r="B1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9" i="12"/>
  <c r="E12" i="12"/>
  <c r="E5" i="12"/>
  <c r="E26" i="12"/>
  <c r="E36" i="12"/>
  <c r="E20" i="12"/>
  <c r="E34" i="12"/>
  <c r="E18" i="12"/>
  <c r="E15" i="12"/>
  <c r="E24" i="12"/>
  <c r="E21" i="12"/>
  <c r="E7" i="12"/>
  <c r="E8" i="12"/>
  <c r="E13" i="12"/>
  <c r="E6" i="12"/>
  <c r="E11" i="12"/>
  <c r="E31" i="12"/>
  <c r="E16" i="12"/>
  <c r="E22" i="12"/>
  <c r="E27" i="12"/>
  <c r="E33" i="12"/>
  <c r="E25" i="12"/>
  <c r="E23" i="12"/>
  <c r="E10" i="12"/>
  <c r="E29" i="12"/>
  <c r="E35" i="12"/>
  <c r="E19" i="12"/>
  <c r="E30" i="12"/>
  <c r="E17" i="12"/>
  <c r="E28" i="12"/>
  <c r="E32" i="12"/>
  <c r="B6" i="4"/>
  <c r="E14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8" i="5"/>
  <c r="B19" i="9"/>
  <c r="B27" i="8"/>
  <c r="B17" i="7"/>
  <c r="B16" i="9"/>
  <c r="B20" i="8"/>
  <c r="B17" i="8"/>
  <c r="B25" i="4"/>
  <c r="B31" i="8"/>
  <c r="B15" i="5"/>
  <c r="B13" i="4"/>
  <c r="B7" i="5"/>
  <c r="B22" i="5"/>
  <c r="B20" i="9"/>
  <c r="B7" i="9"/>
  <c r="B30" i="8"/>
  <c r="B12" i="8"/>
  <c r="B29" i="8"/>
  <c r="B32" i="8"/>
  <c r="B19" i="7"/>
  <c r="B25" i="8"/>
  <c r="B22" i="4"/>
  <c r="B18" i="7"/>
  <c r="B18" i="4"/>
  <c r="B28" i="8"/>
  <c r="B9" i="7"/>
  <c r="B5" i="9"/>
  <c r="B13" i="7"/>
  <c r="B13" i="9"/>
  <c r="B23" i="8"/>
  <c r="B18" i="9"/>
  <c r="B8" i="8"/>
  <c r="B14" i="4"/>
  <c r="B24" i="8"/>
  <c r="B6" i="9"/>
  <c r="B21" i="7"/>
  <c r="B18" i="8"/>
  <c r="B9" i="4"/>
  <c r="B26" i="8"/>
  <c r="B23" i="5"/>
  <c r="B13" i="8"/>
  <c r="B34" i="8"/>
  <c r="B11" i="4"/>
  <c r="B19" i="8"/>
  <c r="B5" i="8"/>
  <c r="B11" i="8"/>
  <c r="B13" i="5"/>
  <c r="B12" i="5"/>
  <c r="B14" i="9"/>
  <c r="B22" i="8"/>
  <c r="B12" i="7"/>
  <c r="B21" i="8"/>
  <c r="B24" i="5"/>
  <c r="B10" i="5"/>
  <c r="B18" i="5"/>
  <c r="B35" i="8"/>
  <c r="B10" i="4"/>
  <c r="B15" i="4"/>
  <c r="B36" i="8"/>
  <c r="B14" i="8"/>
  <c r="B7" i="7"/>
  <c r="B16" i="4"/>
  <c r="B9" i="8"/>
  <c r="B6" i="5"/>
  <c r="B15" i="9"/>
  <c r="B6" i="7"/>
  <c r="B7" i="8"/>
  <c r="B33" i="8"/>
  <c r="B8" i="7"/>
  <c r="B11" i="9"/>
  <c r="B7" i="4"/>
  <c r="B24" i="4"/>
  <c r="B17" i="5"/>
  <c r="B15" i="8"/>
  <c r="B10" i="8"/>
  <c r="B20" i="7"/>
  <c r="B22" i="7"/>
  <c r="B17" i="4"/>
  <c r="B20" i="5"/>
  <c r="B21" i="4"/>
  <c r="B10" i="9"/>
  <c r="B19" i="4"/>
  <c r="B12" i="4"/>
  <c r="B14" i="7"/>
  <c r="B14" i="5"/>
  <c r="B16" i="7"/>
  <c r="B17" i="9"/>
  <c r="B21" i="5"/>
  <c r="B9" i="9"/>
  <c r="B8" i="9"/>
  <c r="B16" i="5"/>
  <c r="B11" i="7"/>
  <c r="B15" i="7"/>
  <c r="B19" i="5"/>
  <c r="B6" i="8"/>
  <c r="B8" i="4"/>
  <c r="B23" i="4"/>
  <c r="B11" i="5"/>
  <c r="B25" i="5"/>
  <c r="B20" i="4"/>
  <c r="B16" i="8"/>
  <c r="B10" i="7"/>
  <c r="B12" i="9"/>
  <c r="B9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F10" i="8"/>
  <c r="G10" i="8" s="1"/>
  <c r="I10" i="8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F23" i="8" l="1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3" i="2"/>
  <c r="B9" i="1"/>
  <c r="B33" i="1"/>
  <c r="B72" i="2"/>
  <c r="B29" i="2"/>
  <c r="B10" i="1"/>
  <c r="B47" i="2"/>
  <c r="B69" i="2"/>
  <c r="B71" i="2"/>
  <c r="B27" i="2"/>
  <c r="B48" i="2"/>
  <c r="B33" i="2"/>
  <c r="B66" i="2"/>
  <c r="B22" i="2"/>
  <c r="B62" i="2"/>
  <c r="B36" i="1"/>
  <c r="B18" i="2"/>
  <c r="B31" i="1"/>
  <c r="B16" i="2"/>
  <c r="B44" i="2"/>
  <c r="B51" i="2"/>
  <c r="B50" i="2"/>
  <c r="B14" i="1"/>
  <c r="B20" i="1"/>
  <c r="B41" i="2"/>
  <c r="B26" i="1"/>
  <c r="B24" i="2"/>
  <c r="B11" i="2"/>
  <c r="B25" i="2"/>
  <c r="B17" i="1"/>
  <c r="B24" i="1"/>
  <c r="B70" i="2"/>
  <c r="B11" i="1"/>
  <c r="B13" i="2"/>
  <c r="B18" i="1"/>
  <c r="B8" i="2"/>
  <c r="B7" i="2"/>
  <c r="B31" i="2"/>
  <c r="B15" i="1"/>
  <c r="B27" i="1"/>
  <c r="B59" i="2"/>
  <c r="B21" i="1"/>
  <c r="B19" i="1"/>
  <c r="B64" i="2"/>
  <c r="B35" i="1"/>
  <c r="B17" i="2"/>
  <c r="B6" i="2"/>
  <c r="B28" i="2"/>
  <c r="B46" i="2"/>
  <c r="B52" i="2"/>
  <c r="B34" i="2"/>
  <c r="B61" i="2"/>
  <c r="B53" i="2"/>
  <c r="B16" i="1"/>
  <c r="B22" i="1"/>
  <c r="B32" i="1"/>
  <c r="B42" i="2"/>
  <c r="B15" i="2"/>
  <c r="B23" i="2"/>
  <c r="B9" i="2"/>
  <c r="B5" i="1"/>
  <c r="B57" i="2"/>
  <c r="B23" i="1"/>
  <c r="B45" i="2"/>
  <c r="B8" i="1"/>
  <c r="B19" i="2"/>
  <c r="B13" i="1"/>
  <c r="B49" i="2"/>
  <c r="B34" i="1"/>
  <c r="B54" i="2"/>
  <c r="B14" i="2"/>
  <c r="B55" i="2"/>
  <c r="B56" i="2"/>
  <c r="B30" i="1"/>
  <c r="B28" i="1"/>
  <c r="B36" i="2"/>
  <c r="B25" i="1"/>
  <c r="B26" i="2"/>
  <c r="B30" i="2"/>
  <c r="B7" i="1"/>
  <c r="B43" i="2"/>
  <c r="B10" i="2"/>
  <c r="B68" i="2"/>
  <c r="B6" i="1"/>
  <c r="B12" i="1"/>
  <c r="B20" i="2"/>
  <c r="B12" i="2"/>
  <c r="B29" i="1"/>
  <c r="B60" i="2"/>
  <c r="B58" i="2"/>
  <c r="B65" i="2"/>
  <c r="B67" i="2"/>
  <c r="B21" i="2"/>
  <c r="B32" i="2"/>
  <c r="B3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<sst xmlns="http://schemas.openxmlformats.org/spreadsheetml/2006/main" count="870" uniqueCount="345">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</sst>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325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4"/>
  <sheetViews>
    <sheetView workbookViewId="0">
      <selection activeCell="C21"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297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289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291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292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295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296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4"/>
  <sheetViews>
    <sheetView workbookViewId="0">
      <selection activeCell="C28" sqref="C28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4"/>
  <sheetViews>
    <sheetView workbookViewId="0">
      <selection activeCell="G5" sqref="G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4"/>
  <sheetViews>
    <sheetView workbookViewId="0">
      <selection activeCell="H7" sqref="H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36"/>
  <sheetViews>
    <sheetView topLeftCell="A10" workbookViewId="0">
      <selection activeCell="D37" sqref="D3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29.7</v>
      </c>
      <c r="C4">
        <v>21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299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293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301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294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297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289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291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317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318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310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319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36"/>
  <sheetViews>
    <sheetView topLeftCell="A10" workbookViewId="0">
      <selection activeCell="M34" sqref="M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321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15</v>
      </c>
      <c r="C4">
        <v>20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322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299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293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301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294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297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289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291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317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318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310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319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36"/>
  <sheetViews>
    <sheetView topLeftCell="A10" workbookViewId="0">
      <selection activeCell="G34" sqref="G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21</v>
      </c>
      <c r="C4">
        <v>42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270</v>
      </c>
      <c r="C10" t="s">
        <v>271</v>
      </c>
      <c r="D10">
        <v>785</v>
      </c>
      <c r="E10" s="7">
        <f>D10*(1+$D$8)</f>
        <v>1373.75</v>
      </c>
    </row>
    <row r="11" spans="1:18" x14ac:dyDescent="0.25">
      <c r="B11" t="s">
        <v>272</v>
      </c>
      <c r="C11" t="s">
        <v>273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293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301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294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297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289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291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324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318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310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319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36"/>
  <sheetViews>
    <sheetView topLeftCell="A13" workbookViewId="0">
      <selection activeCell="E27" sqref="E27:J27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32</v>
      </c>
      <c r="C4">
        <v>63</v>
      </c>
    </row>
    <row r="5" spans="1:18" ht="30" x14ac:dyDescent="0.25">
      <c r="A5" t="s">
        <v>275</v>
      </c>
      <c r="B5" s="1" t="s">
        <v>145</v>
      </c>
      <c r="C5">
        <v>32</v>
      </c>
      <c r="D5">
        <v>65</v>
      </c>
      <c r="E5" s="2" t="s">
        <v>300</v>
      </c>
    </row>
    <row r="6" spans="1:18" x14ac:dyDescent="0.25">
      <c r="B6" s="1"/>
      <c r="C6" t="s">
        <v>313</v>
      </c>
      <c r="D6">
        <f>$C$5/100*$D$5/100</f>
        <v>0.20800000000000002</v>
      </c>
      <c r="E6" s="2"/>
    </row>
    <row r="7" spans="1:18" x14ac:dyDescent="0.25">
      <c r="A7" t="s">
        <v>288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326</v>
      </c>
      <c r="C10" t="s">
        <v>329</v>
      </c>
      <c r="D10">
        <v>1600</v>
      </c>
      <c r="E10" s="7">
        <f>D10*(1+$D$8)</f>
        <v>2800</v>
      </c>
    </row>
    <row r="11" spans="1:18" x14ac:dyDescent="0.25">
      <c r="B11" t="s">
        <v>327</v>
      </c>
      <c r="C11" t="s">
        <v>328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293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301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294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297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289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291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324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318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310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319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topLeftCell="A7" workbookViewId="0">
      <selection activeCell="D15" sqref="D15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338</v>
      </c>
    </row>
    <row r="2" spans="1:14" x14ac:dyDescent="0.25">
      <c r="A2" t="s">
        <v>290</v>
      </c>
      <c r="B2" s="35">
        <v>43609</v>
      </c>
    </row>
    <row r="3" spans="1:14" x14ac:dyDescent="0.25">
      <c r="B3" t="s">
        <v>206</v>
      </c>
      <c r="C3" t="s">
        <v>278</v>
      </c>
    </row>
    <row r="4" spans="1:14" x14ac:dyDescent="0.25">
      <c r="A4" t="s">
        <v>277</v>
      </c>
      <c r="B4">
        <v>32</v>
      </c>
      <c r="C4">
        <v>47</v>
      </c>
    </row>
    <row r="5" spans="1:14" ht="30" x14ac:dyDescent="0.25">
      <c r="A5" t="s">
        <v>275</v>
      </c>
      <c r="B5" s="1" t="s">
        <v>141</v>
      </c>
      <c r="E5" s="2" t="s">
        <v>300</v>
      </c>
      <c r="F5" t="s">
        <v>343</v>
      </c>
    </row>
    <row r="6" spans="1:14" x14ac:dyDescent="0.25">
      <c r="A6" t="s">
        <v>288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302</v>
      </c>
    </row>
    <row r="8" spans="1:14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14" x14ac:dyDescent="0.25">
      <c r="A9" t="s">
        <v>283</v>
      </c>
      <c r="B9" t="s">
        <v>330</v>
      </c>
      <c r="C9" t="s">
        <v>331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336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279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298</v>
      </c>
      <c r="E17">
        <f>E$16/$D$6 +1</f>
        <v>5</v>
      </c>
      <c r="F17">
        <f>F$16/$D$6 +1</f>
        <v>9</v>
      </c>
      <c r="G17">
        <f>G$16/$D$6 +1</f>
        <v>13</v>
      </c>
      <c r="H17">
        <f>H$16/$D$6 +1</f>
        <v>17</v>
      </c>
      <c r="I17">
        <f>I$16/$D$6 +1</f>
        <v>21</v>
      </c>
      <c r="J17">
        <f>J$16/$D$6 +1</f>
        <v>25</v>
      </c>
      <c r="K17">
        <f>K$16/$D$6 +1</f>
        <v>29</v>
      </c>
      <c r="L17">
        <f>L$16/$D$6 +1</f>
        <v>33</v>
      </c>
      <c r="M17">
        <f>M$16/$D$6 +1</f>
        <v>37</v>
      </c>
      <c r="N17">
        <f>N$16/$D$6 +1</f>
        <v>41</v>
      </c>
    </row>
    <row r="18" spans="1:15" ht="30" x14ac:dyDescent="0.25">
      <c r="A18" s="2" t="s">
        <v>299</v>
      </c>
      <c r="E18">
        <f>E$17*$E$6</f>
        <v>10</v>
      </c>
      <c r="F18">
        <f>F$17*$E$6</f>
        <v>18</v>
      </c>
      <c r="G18">
        <f>G$17*$E$6</f>
        <v>26</v>
      </c>
      <c r="H18">
        <f>H$17*$E$6</f>
        <v>34</v>
      </c>
      <c r="I18">
        <f>I$17*$E$6</f>
        <v>42</v>
      </c>
      <c r="J18">
        <f>J$17*$E$6</f>
        <v>50</v>
      </c>
      <c r="K18">
        <f>K$17*$E$6</f>
        <v>58</v>
      </c>
      <c r="L18">
        <f>L$17*$E$6</f>
        <v>66</v>
      </c>
      <c r="M18">
        <f>M$17*$E$6</f>
        <v>74</v>
      </c>
      <c r="N18">
        <f>N$17*$E$6</f>
        <v>82</v>
      </c>
    </row>
    <row r="19" spans="1:15" x14ac:dyDescent="0.25">
      <c r="A19" s="2" t="s">
        <v>293</v>
      </c>
      <c r="E19" s="36">
        <f>PhiMayInToner4M(E$18)</f>
        <v>70873.333299999998</v>
      </c>
      <c r="F19" s="36">
        <f>PhiMayInToner4M(F$18)</f>
        <v>76905.333299999998</v>
      </c>
      <c r="G19" s="36">
        <f>PhiMayInToner4M(G$18)</f>
        <v>82937.333299999998</v>
      </c>
      <c r="H19" s="36">
        <f>PhiMayInToner4M(H$18)</f>
        <v>88969.333299999998</v>
      </c>
      <c r="I19" s="36">
        <f>PhiMayInToner4M(I$18)</f>
        <v>95001.333299999998</v>
      </c>
      <c r="J19" s="36">
        <f>PhiMayInToner4M(J$18)</f>
        <v>101033.3333</v>
      </c>
      <c r="K19" s="36">
        <f>PhiMayInToner4M(K$18)</f>
        <v>107065.3333</v>
      </c>
      <c r="L19" s="36">
        <f>PhiMayInToner4M(L$18)</f>
        <v>113097.3333</v>
      </c>
      <c r="M19" s="36">
        <f>PhiMayInToner4M(M$18)</f>
        <v>119129.3333</v>
      </c>
      <c r="N19" s="36">
        <f>PhiMayInToner4M(N$18)</f>
        <v>125161.3333</v>
      </c>
      <c r="O19" s="36"/>
    </row>
    <row r="20" spans="1:15" x14ac:dyDescent="0.25">
      <c r="A20" s="2" t="s">
        <v>301</v>
      </c>
      <c r="E20" s="36">
        <f>E$19*2</f>
        <v>141746.6666</v>
      </c>
      <c r="F20" s="36">
        <f>F$19*2</f>
        <v>153810.6666</v>
      </c>
      <c r="G20" s="36">
        <f>G$19*2</f>
        <v>165874.6666</v>
      </c>
      <c r="H20" s="36">
        <f>H$19*2</f>
        <v>177938.6666</v>
      </c>
      <c r="I20" s="36">
        <f>I$19*2</f>
        <v>190002.6666</v>
      </c>
      <c r="J20" s="36">
        <f>J$19*2</f>
        <v>202066.6666</v>
      </c>
      <c r="K20" s="36">
        <f>K$19*2</f>
        <v>214130.6666</v>
      </c>
      <c r="L20" s="36">
        <f>L$19*2</f>
        <v>226194.6666</v>
      </c>
      <c r="M20" s="36">
        <f>M$19*2</f>
        <v>238258.6666</v>
      </c>
      <c r="N20" s="36">
        <f>N$19*2</f>
        <v>250322.6666</v>
      </c>
      <c r="O20" s="36"/>
    </row>
    <row r="21" spans="1:15" ht="30" x14ac:dyDescent="0.25">
      <c r="A21" s="20" t="s">
        <v>294</v>
      </c>
      <c r="E21" s="29">
        <f>E$19*(1+$D$7)</f>
        <v>124028.333275</v>
      </c>
      <c r="F21" s="29">
        <f>F$19*(1+$D$7)</f>
        <v>134584.33327499998</v>
      </c>
      <c r="G21" s="29">
        <f>G$19*(1+$D$7)</f>
        <v>145140.33327499998</v>
      </c>
      <c r="H21" s="29">
        <f>H$19*(1+$D$7)</f>
        <v>155696.33327499998</v>
      </c>
      <c r="I21" s="29">
        <f>I$19*(1+$D$7)</f>
        <v>166252.33327499998</v>
      </c>
      <c r="J21" s="29">
        <f>J$19*(1+$D$7)</f>
        <v>176808.33327499998</v>
      </c>
      <c r="K21" s="29">
        <f>K$19*(1+$D$7)</f>
        <v>187364.33327499998</v>
      </c>
      <c r="L21" s="29">
        <f>L$19*(1+$D$7)</f>
        <v>197920.33327499998</v>
      </c>
      <c r="M21" s="29">
        <f>M$19*(1+$D$7)</f>
        <v>208476.33327499998</v>
      </c>
      <c r="N21" s="29">
        <f>N$19*(1+$D$7)</f>
        <v>219032.33327499998</v>
      </c>
      <c r="O21" s="29"/>
    </row>
    <row r="22" spans="1:15" ht="30" x14ac:dyDescent="0.25">
      <c r="A22" s="20" t="s">
        <v>297</v>
      </c>
      <c r="E22" s="29">
        <f>E$20*(1+$D$7)</f>
        <v>248056.66654999999</v>
      </c>
      <c r="F22" s="29">
        <f>F$20*(1+$D$7)</f>
        <v>269168.66654999997</v>
      </c>
      <c r="G22" s="29">
        <f>G$20*(1+$D$7)</f>
        <v>290280.66654999997</v>
      </c>
      <c r="H22" s="29">
        <f>H$20*(1+$D$7)</f>
        <v>311392.66654999997</v>
      </c>
      <c r="I22" s="29">
        <f>I$20*(1+$D$7)</f>
        <v>332504.66654999997</v>
      </c>
      <c r="J22" s="29">
        <f>J$20*(1+$D$7)</f>
        <v>353616.66654999997</v>
      </c>
      <c r="K22" s="29">
        <f>K$20*(1+$D$7)</f>
        <v>374728.66654999997</v>
      </c>
      <c r="L22" s="29">
        <f>L$20*(1+$D$7)</f>
        <v>395840.66654999997</v>
      </c>
      <c r="M22" s="29">
        <f>M$20*(1+$D$7)</f>
        <v>416952.66654999997</v>
      </c>
      <c r="N22" s="29">
        <f>N$20*(1+$D$7)</f>
        <v>438064.66654999997</v>
      </c>
      <c r="O22" s="29"/>
    </row>
    <row r="23" spans="1:15" x14ac:dyDescent="0.25">
      <c r="A23" s="2" t="s">
        <v>289</v>
      </c>
      <c r="E23" s="7">
        <f>E$21/E$17</f>
        <v>24805.666655000001</v>
      </c>
      <c r="F23" s="7">
        <f>F$21/F$17</f>
        <v>14953.814808333331</v>
      </c>
      <c r="G23" s="7">
        <f>G$21/G$17</f>
        <v>11164.641021153844</v>
      </c>
      <c r="H23" s="7">
        <f>H$21/H$17</f>
        <v>9158.6078397058809</v>
      </c>
      <c r="I23" s="7">
        <f>I$21/I$17</f>
        <v>7916.7777749999996</v>
      </c>
      <c r="J23" s="7">
        <f>J$21/J$17</f>
        <v>7072.3333309999989</v>
      </c>
      <c r="K23" s="7">
        <f>K$21/K$17</f>
        <v>6460.8390784482754</v>
      </c>
      <c r="L23" s="7">
        <f>L$21/L$17</f>
        <v>5997.5858568181811</v>
      </c>
      <c r="M23" s="7">
        <f>M$21/M$17</f>
        <v>5634.4954939189183</v>
      </c>
      <c r="N23" s="7">
        <f>N$21/N$17</f>
        <v>5342.2520310975606</v>
      </c>
      <c r="O23" s="7"/>
    </row>
    <row r="24" spans="1:15" x14ac:dyDescent="0.25">
      <c r="A24" s="2" t="s">
        <v>291</v>
      </c>
      <c r="E24" s="7">
        <f>E$21/E$18</f>
        <v>12402.8333275</v>
      </c>
      <c r="F24" s="7">
        <f>F$21/F$18</f>
        <v>7476.9074041666654</v>
      </c>
      <c r="G24" s="7">
        <f>G$21/G$18</f>
        <v>5582.3205105769221</v>
      </c>
      <c r="H24" s="7">
        <f>H$21/H$18</f>
        <v>4579.3039198529405</v>
      </c>
      <c r="I24" s="7">
        <f>I$21/I$18</f>
        <v>3958.3888874999998</v>
      </c>
      <c r="J24" s="7">
        <f>J$21/J$18</f>
        <v>3536.1666654999995</v>
      </c>
      <c r="K24" s="7">
        <f>K$21/K$18</f>
        <v>3230.4195392241377</v>
      </c>
      <c r="L24" s="7">
        <f>L$21/L$18</f>
        <v>2998.7929284090906</v>
      </c>
      <c r="M24" s="7">
        <f>M$21/M$18</f>
        <v>2817.2477469594592</v>
      </c>
      <c r="N24" s="7">
        <f>N$21/N$18</f>
        <v>2671.1260155487803</v>
      </c>
      <c r="O24" s="7"/>
    </row>
    <row r="25" spans="1:15" x14ac:dyDescent="0.25">
      <c r="A25" s="20" t="s">
        <v>292</v>
      </c>
      <c r="E25" s="29">
        <f>$E$9*E$17</f>
        <v>36750</v>
      </c>
      <c r="F25" s="29">
        <f>$E$9*F$17</f>
        <v>66150</v>
      </c>
      <c r="G25" s="29">
        <f>$E$9*G$17</f>
        <v>95550</v>
      </c>
      <c r="H25" s="29">
        <f>$E$9*H$17</f>
        <v>124950</v>
      </c>
      <c r="I25" s="29">
        <f>$E$9*I$17</f>
        <v>154350</v>
      </c>
      <c r="J25" s="29">
        <f>$E$9*J$17</f>
        <v>183750</v>
      </c>
      <c r="K25" s="29">
        <f>$E$9*K$17</f>
        <v>213150</v>
      </c>
      <c r="L25" s="29">
        <f>$E$9*L$17</f>
        <v>242550</v>
      </c>
      <c r="M25" s="29">
        <f>$E$9*M$17</f>
        <v>271950</v>
      </c>
      <c r="N25" s="29">
        <f>$E$9*N$17</f>
        <v>301350</v>
      </c>
      <c r="O25" s="29"/>
    </row>
    <row r="26" spans="1:15" ht="30" x14ac:dyDescent="0.25">
      <c r="A26" s="2" t="s">
        <v>295</v>
      </c>
      <c r="E26" s="36">
        <f>E$21+E$25</f>
        <v>160778.33327499998</v>
      </c>
      <c r="F26" s="36">
        <f>F$21+F$25</f>
        <v>200734.33327499998</v>
      </c>
      <c r="G26" s="36">
        <f>G$21+G$25</f>
        <v>240690.33327499998</v>
      </c>
      <c r="H26" s="36">
        <f>H$21+H$25</f>
        <v>280646.33327499998</v>
      </c>
      <c r="I26" s="36">
        <f>I$21+I$25</f>
        <v>320602.33327499998</v>
      </c>
      <c r="J26" s="36">
        <f>J$21+J$25</f>
        <v>360558.33327499998</v>
      </c>
      <c r="K26" s="36">
        <f>K$21+K$25</f>
        <v>400514.33327499998</v>
      </c>
      <c r="L26" s="36">
        <f>L$21+L$25</f>
        <v>440470.33327499998</v>
      </c>
      <c r="M26" s="36">
        <f>M$21+M$25</f>
        <v>480426.33327499998</v>
      </c>
      <c r="N26" s="36">
        <f>N$21+N$25</f>
        <v>520382.33327499998</v>
      </c>
      <c r="O26" s="29"/>
    </row>
    <row r="27" spans="1:15" ht="30" x14ac:dyDescent="0.25">
      <c r="A27" s="2" t="s">
        <v>296</v>
      </c>
      <c r="E27" s="36">
        <f>E$22+E$25</f>
        <v>284806.66654999997</v>
      </c>
      <c r="F27" s="36">
        <f>F$22+F$25</f>
        <v>335318.66654999997</v>
      </c>
      <c r="G27" s="36">
        <f>G$22+G$25</f>
        <v>385830.66654999997</v>
      </c>
      <c r="H27" s="36">
        <f>H$22+H$25</f>
        <v>436342.66654999997</v>
      </c>
      <c r="I27" s="36">
        <f>I$22+I$25</f>
        <v>486854.66654999997</v>
      </c>
      <c r="J27" s="36">
        <f>J$22+J$25</f>
        <v>537366.66654999997</v>
      </c>
      <c r="K27" s="36">
        <f>K$22+K$25</f>
        <v>587878.66654999997</v>
      </c>
      <c r="L27" s="36">
        <f>L$22+L$25</f>
        <v>638390.66654999997</v>
      </c>
      <c r="M27" s="36">
        <f>M$22+M$25</f>
        <v>688902.66654999997</v>
      </c>
      <c r="N27" s="36">
        <f>N$22+N$25</f>
        <v>739414.66654999997</v>
      </c>
      <c r="O27" s="29"/>
    </row>
    <row r="28" spans="1:15" x14ac:dyDescent="0.25">
      <c r="A28" s="2"/>
    </row>
    <row r="37" spans="1:14" x14ac:dyDescent="0.25">
      <c r="A37" s="2" t="s">
        <v>334</v>
      </c>
      <c r="E37" s="7">
        <f>E$26/(E$16/5)</f>
        <v>200972.91659374998</v>
      </c>
      <c r="F37" s="7">
        <f t="shared" ref="F37:N37" si="1">F$26/(F$16/5)</f>
        <v>125458.95829687499</v>
      </c>
      <c r="G37" s="7">
        <f t="shared" si="1"/>
        <v>100287.63886458334</v>
      </c>
      <c r="H37" s="7">
        <f t="shared" si="1"/>
        <v>87701.979148437487</v>
      </c>
      <c r="I37" s="7">
        <f t="shared" si="1"/>
        <v>80150.583318749996</v>
      </c>
      <c r="J37" s="7">
        <f t="shared" si="1"/>
        <v>75116.319432291668</v>
      </c>
      <c r="K37" s="7">
        <f t="shared" si="1"/>
        <v>71520.416656250003</v>
      </c>
      <c r="L37" s="7">
        <f t="shared" si="1"/>
        <v>68823.489574218736</v>
      </c>
      <c r="M37" s="7">
        <f t="shared" si="1"/>
        <v>66725.879621527769</v>
      </c>
      <c r="N37" s="7">
        <f t="shared" si="1"/>
        <v>65047.791659374998</v>
      </c>
    </row>
    <row r="38" spans="1:14" x14ac:dyDescent="0.25">
      <c r="A38" s="2" t="s">
        <v>335</v>
      </c>
      <c r="E38" s="7">
        <f>E$27/(E$16/5)</f>
        <v>356008.33318749996</v>
      </c>
      <c r="F38" s="7">
        <f t="shared" ref="F38:N38" si="2">F$27/(F$16/5)</f>
        <v>209574.16659374998</v>
      </c>
      <c r="G38" s="7">
        <f t="shared" si="2"/>
        <v>160762.77772916667</v>
      </c>
      <c r="H38" s="7">
        <f t="shared" si="2"/>
        <v>136357.08329687497</v>
      </c>
      <c r="I38" s="7">
        <f t="shared" si="2"/>
        <v>121713.66663749999</v>
      </c>
      <c r="J38" s="7">
        <f t="shared" si="2"/>
        <v>111951.38886458334</v>
      </c>
      <c r="K38" s="7">
        <f t="shared" si="2"/>
        <v>104978.33331250001</v>
      </c>
      <c r="L38" s="7">
        <f t="shared" si="2"/>
        <v>99748.541648437487</v>
      </c>
      <c r="M38" s="7">
        <f t="shared" si="2"/>
        <v>95680.925909722209</v>
      </c>
      <c r="N38" s="7">
        <f t="shared" si="2"/>
        <v>92426.833318749996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" xr:uid="{1FE6DDDF-C73B-4C80-A114-5152C2F77A0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9:B11" xr:uid="{B125000B-8F2B-4486-A976-107CA9A7DA3A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dimension ref="A1:G38"/>
  <sheetViews>
    <sheetView tabSelected="1" topLeftCell="A7" workbookViewId="0">
      <selection activeCell="K21" sqref="K21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339</v>
      </c>
    </row>
    <row r="2" spans="1:7" x14ac:dyDescent="0.25">
      <c r="A2" t="s">
        <v>290</v>
      </c>
      <c r="B2" s="35">
        <v>43609</v>
      </c>
    </row>
    <row r="3" spans="1:7" x14ac:dyDescent="0.25">
      <c r="B3" t="s">
        <v>206</v>
      </c>
      <c r="C3" t="s">
        <v>278</v>
      </c>
    </row>
    <row r="4" spans="1:7" x14ac:dyDescent="0.25">
      <c r="A4" t="s">
        <v>277</v>
      </c>
      <c r="B4">
        <v>32</v>
      </c>
      <c r="C4">
        <v>39</v>
      </c>
    </row>
    <row r="5" spans="1:7" ht="30" x14ac:dyDescent="0.25">
      <c r="A5" t="s">
        <v>275</v>
      </c>
      <c r="B5" s="1" t="s">
        <v>137</v>
      </c>
      <c r="E5" s="2" t="s">
        <v>300</v>
      </c>
      <c r="F5" t="s">
        <v>342</v>
      </c>
    </row>
    <row r="6" spans="1:7" x14ac:dyDescent="0.25">
      <c r="A6" t="s">
        <v>288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302</v>
      </c>
    </row>
    <row r="8" spans="1:7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7" x14ac:dyDescent="0.25">
      <c r="A9" t="s">
        <v>283</v>
      </c>
      <c r="B9" t="s">
        <v>340</v>
      </c>
      <c r="C9" t="s">
        <v>341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336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344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298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299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293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301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294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297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289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291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292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295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296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37" spans="1:6" x14ac:dyDescent="0.25">
      <c r="A37" s="2" t="s">
        <v>334</v>
      </c>
      <c r="E37" s="7">
        <f>E$26/(E$16/E$15)</f>
        <v>38674.066654999995</v>
      </c>
      <c r="F37" s="7">
        <f t="shared" ref="F37" si="1">F$26/(F$16/F$15)</f>
        <v>54546.566654999995</v>
      </c>
    </row>
    <row r="38" spans="1:6" x14ac:dyDescent="0.25">
      <c r="A38" s="2" t="s">
        <v>335</v>
      </c>
      <c r="E38" s="7">
        <f>E$27/(E$16/E$15)</f>
        <v>67702.13330999999</v>
      </c>
      <c r="F38" s="7">
        <f t="shared" ref="F38" si="2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8"/>
  <sheetViews>
    <sheetView topLeftCell="D3" workbookViewId="0">
      <selection activeCell="G18" sqref="G18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326</v>
      </c>
      <c r="Q14" t="s">
        <v>329</v>
      </c>
      <c r="R14">
        <v>1600</v>
      </c>
    </row>
    <row r="15" spans="1:18" x14ac:dyDescent="0.25">
      <c r="P15" t="s">
        <v>272</v>
      </c>
      <c r="Q15" t="s">
        <v>273</v>
      </c>
      <c r="R15">
        <v>1030</v>
      </c>
    </row>
    <row r="16" spans="1:18" x14ac:dyDescent="0.25">
      <c r="P16" t="s">
        <v>340</v>
      </c>
      <c r="Q16" t="s">
        <v>341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327</v>
      </c>
      <c r="Q18" t="s">
        <v>328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232</v>
      </c>
      <c r="Q22" t="s">
        <v>253</v>
      </c>
      <c r="R22">
        <v>488</v>
      </c>
    </row>
    <row r="23" spans="16:18" x14ac:dyDescent="0.25">
      <c r="P23" t="s">
        <v>233</v>
      </c>
      <c r="Q23" t="s">
        <v>254</v>
      </c>
      <c r="R23">
        <v>584</v>
      </c>
    </row>
    <row r="24" spans="16:18" x14ac:dyDescent="0.25">
      <c r="P24" t="s">
        <v>229</v>
      </c>
      <c r="Q24" t="s">
        <v>255</v>
      </c>
      <c r="R24">
        <v>700</v>
      </c>
    </row>
    <row r="25" spans="16:18" x14ac:dyDescent="0.25">
      <c r="P25" t="s">
        <v>231</v>
      </c>
      <c r="Q25" t="s">
        <v>255</v>
      </c>
      <c r="R25">
        <v>0</v>
      </c>
    </row>
    <row r="26" spans="16:18" x14ac:dyDescent="0.25">
      <c r="P26" t="s">
        <v>228</v>
      </c>
      <c r="Q26" t="s">
        <v>256</v>
      </c>
      <c r="R26">
        <v>900</v>
      </c>
    </row>
    <row r="27" spans="16:18" x14ac:dyDescent="0.25">
      <c r="P27" t="s">
        <v>227</v>
      </c>
      <c r="Q27" t="s">
        <v>257</v>
      </c>
      <c r="R27">
        <v>740</v>
      </c>
    </row>
    <row r="28" spans="16:18" x14ac:dyDescent="0.25">
      <c r="P28" t="s">
        <v>230</v>
      </c>
      <c r="Q28" t="s">
        <v>258</v>
      </c>
      <c r="R28">
        <v>1232</v>
      </c>
    </row>
    <row r="29" spans="16:18" x14ac:dyDescent="0.25">
      <c r="P29" t="s">
        <v>235</v>
      </c>
      <c r="Q29" t="s">
        <v>259</v>
      </c>
    </row>
    <row r="30" spans="16:18" x14ac:dyDescent="0.25">
      <c r="P30" t="s">
        <v>234</v>
      </c>
      <c r="Q30" t="s">
        <v>261</v>
      </c>
    </row>
    <row r="31" spans="16:18" x14ac:dyDescent="0.25">
      <c r="P31" t="s">
        <v>236</v>
      </c>
      <c r="Q31" t="s">
        <v>260</v>
      </c>
    </row>
    <row r="32" spans="16:18" x14ac:dyDescent="0.25">
      <c r="P32" t="s">
        <v>237</v>
      </c>
      <c r="Q32" t="s">
        <v>262</v>
      </c>
    </row>
    <row r="33" spans="16:18" x14ac:dyDescent="0.25">
      <c r="P33" t="s">
        <v>241</v>
      </c>
      <c r="Q33" t="s">
        <v>263</v>
      </c>
    </row>
    <row r="34" spans="16:18" x14ac:dyDescent="0.25">
      <c r="P34" t="s">
        <v>240</v>
      </c>
      <c r="Q34" t="s">
        <v>264</v>
      </c>
    </row>
    <row r="35" spans="16:18" x14ac:dyDescent="0.25">
      <c r="P35" t="s">
        <v>239</v>
      </c>
      <c r="Q35" t="s">
        <v>265</v>
      </c>
    </row>
    <row r="36" spans="16:18" x14ac:dyDescent="0.25">
      <c r="P36" t="s">
        <v>238</v>
      </c>
      <c r="Q36" t="s">
        <v>266</v>
      </c>
    </row>
    <row r="37" spans="16:18" x14ac:dyDescent="0.25">
      <c r="P37" t="s">
        <v>330</v>
      </c>
      <c r="Q37" t="s">
        <v>331</v>
      </c>
      <c r="R37">
        <v>4200</v>
      </c>
    </row>
    <row r="38" spans="16:18" x14ac:dyDescent="0.25">
      <c r="P38" t="s">
        <v>332</v>
      </c>
      <c r="Q38" t="s">
        <v>333</v>
      </c>
      <c r="R38">
        <v>3500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25</vt:i4>
      </vt:variant>
      <vt:variant>
        <vt:lpstr>Phạm vi Có tên</vt:lpstr>
      </vt:variant>
      <vt:variant>
        <vt:i4>7</vt:i4>
      </vt:variant>
    </vt:vector>
  </HeadingPairs>
  <TitlesOfParts>
    <vt:vector size="32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2019-05-28T09:07:02Z</dcterms:modified>
</cp:coreProperties>
</file>