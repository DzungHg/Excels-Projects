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D6C01A2D-22AC-4D89-9F43-64519C8BDAE7}" xr6:coauthVersionLast="43" xr6:coauthVersionMax="43" xr10:uidLastSave="{00000000-0000-0000-0000-000000000000}"/>
  <bookViews>
    <workbookView xWindow="-120" yWindow="-120" windowWidth="29040" windowHeight="15990" firstSheet="11" activeTab="11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BiaCungVit-Ruot" sheetId="49" r:id="rId12"/>
    <sheet name="Menu-BiaCungVit-Bia" sheetId="50" r:id="rId13"/>
    <sheet name="Menu-MoPhang-Ruot" sheetId="51" r:id="rId14"/>
    <sheet name="Menu-MoPhang-Bia" sheetId="52" r:id="rId15"/>
    <sheet name="Base-MayIn" sheetId="10" r:id="rId16"/>
    <sheet name="NguyenVatLieu" sheetId="13" r:id="rId17"/>
    <sheet name="Base-Margin" sheetId="15" r:id="rId18"/>
  </sheets>
  <functionGroups builtInGroupCount="19"/>
  <definedNames>
    <definedName name="atools_list_filter_1" localSheetId="1" hidden="1">BaiCMYK!$E$8:$F$9</definedName>
    <definedName name="atools_list_filter_1" localSheetId="11" hidden="1">'Menu-BiaCungVit-Ruot'!$B$21:$D$21</definedName>
    <definedName name="atools_list_filter_1" localSheetId="7" hidden="1">'Menu-LXo-10x19'!$A$13:$D$13</definedName>
    <definedName name="atools_list_filter_1" localSheetId="14" hidden="1">'Menu-MoPhang-Bia'!$B$19:$D$19</definedName>
    <definedName name="atools_list_filter_1" localSheetId="13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1" hidden="1">";;"</definedName>
    <definedName name="atools_list_filter_1_colinvisibles_ext" localSheetId="7" hidden="1">";;;"</definedName>
    <definedName name="atools_list_filter_1_colinvisibles_ext" localSheetId="14" hidden="1">";;"</definedName>
    <definedName name="atools_list_filter_1_colinvisibles_ext" localSheetId="13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1" hidden="1">"1;2;3"</definedName>
    <definedName name="atools_list_filter_1_colsrcidxs_ext" localSheetId="7" hidden="1">"1;2;3;4"</definedName>
    <definedName name="atools_list_filter_1_colsrcidxs_ext" localSheetId="14" hidden="1">"1;2;3"</definedName>
    <definedName name="atools_list_filter_1_colsrcidxs_ext" localSheetId="13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1" hidden="1">"77;96;88"</definedName>
    <definedName name="atools_list_filter_1_colwidths_ext" localSheetId="7" hidden="1">"92;76;71;80"</definedName>
    <definedName name="atools_list_filter_1_colwidths_ext" localSheetId="14" hidden="1">"88;96;84"</definedName>
    <definedName name="atools_list_filter_1_colwidths_ext" localSheetId="13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1" hidden="1">"='Menu-BiaCungVit-Ruot'!$B$21:$D$21"</definedName>
    <definedName name="atools_list_filter_1_onrangeaddr" localSheetId="7" hidden="1">"='Menu-LXo'!$A$13:$D$13"</definedName>
    <definedName name="atools_list_filter_1_onrangeaddr" localSheetId="14" hidden="1">"='Menu-MoPhang-Bia'!$B$19:$D$19"</definedName>
    <definedName name="atools_list_filter_1_onrangeaddr" localSheetId="13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1" hidden="1">"0;1;2"</definedName>
    <definedName name="atools_list_filter_1_pos_ext" localSheetId="7" hidden="1">"0;1;2;3"</definedName>
    <definedName name="atools_list_filter_1_pos_ext" localSheetId="14" hidden="1">"0;1;2"</definedName>
    <definedName name="atools_list_filter_1_pos_ext" localSheetId="13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1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14" hidden="1">"1|1|0|0|0|||322|133||0|,||1||0||0|18|185|2.0|1|1|1|0"</definedName>
    <definedName name="atools_list_filter_1_proper" localSheetId="13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1" hidden="1">GIA_MANG</definedName>
    <definedName name="atools_list_filter_1_source" localSheetId="7" hidden="1">KHO_CAT_SAN_PHAM</definedName>
    <definedName name="atools_list_filter_1_source" localSheetId="14" hidden="1">GIA_GIAY_CO_BAN</definedName>
    <definedName name="atools_list_filter_1_source" localSheetId="13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1" hidden="1">"=GIA_MANG"</definedName>
    <definedName name="atools_list_filter_1_sourceaddr" localSheetId="7" hidden="1">"=KHO_CAT_SAN_PHAM"</definedName>
    <definedName name="atools_list_filter_1_sourceaddr" localSheetId="14" hidden="1">"=GIA_GIAY_CO_BAN"</definedName>
    <definedName name="atools_list_filter_1_sourceaddr" localSheetId="13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52" l="1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I33" i="52"/>
  <c r="E33" i="52"/>
  <c r="H33" i="52"/>
  <c r="G33" i="52"/>
  <c r="F33" i="52"/>
  <c r="I80" i="51"/>
  <c r="E80" i="51"/>
  <c r="F79" i="51"/>
  <c r="G72" i="51"/>
  <c r="H71" i="51"/>
  <c r="I64" i="51"/>
  <c r="E64" i="51"/>
  <c r="F63" i="51"/>
  <c r="G56" i="51"/>
  <c r="H55" i="51"/>
  <c r="I48" i="51"/>
  <c r="E48" i="51"/>
  <c r="F47" i="51"/>
  <c r="I71" i="51"/>
  <c r="G63" i="51"/>
  <c r="F48" i="51"/>
  <c r="H80" i="51"/>
  <c r="I79" i="51"/>
  <c r="E79" i="51"/>
  <c r="F72" i="51"/>
  <c r="G71" i="51"/>
  <c r="H64" i="51"/>
  <c r="I63" i="51"/>
  <c r="E63" i="51"/>
  <c r="F56" i="51"/>
  <c r="G55" i="51"/>
  <c r="H48" i="51"/>
  <c r="I47" i="51"/>
  <c r="E47" i="51"/>
  <c r="G79" i="51"/>
  <c r="E71" i="51"/>
  <c r="H56" i="51"/>
  <c r="E55" i="51"/>
  <c r="G80" i="51"/>
  <c r="H79" i="51"/>
  <c r="I72" i="51"/>
  <c r="E72" i="51"/>
  <c r="F71" i="51"/>
  <c r="G64" i="51"/>
  <c r="H63" i="51"/>
  <c r="I56" i="51"/>
  <c r="E56" i="51"/>
  <c r="F55" i="51"/>
  <c r="G48" i="51"/>
  <c r="H47" i="51"/>
  <c r="F80" i="51"/>
  <c r="H72" i="51"/>
  <c r="F64" i="51"/>
  <c r="I55" i="51"/>
  <c r="G47" i="51"/>
  <c r="I40" i="51"/>
  <c r="I39" i="51"/>
  <c r="G39" i="51"/>
  <c r="F40" i="51"/>
  <c r="H40" i="51"/>
  <c r="H39" i="51"/>
  <c r="G40" i="51"/>
  <c r="F39" i="51"/>
  <c r="E40" i="51"/>
  <c r="E39" i="51"/>
  <c r="I78" i="51"/>
  <c r="E78" i="51"/>
  <c r="F70" i="51"/>
  <c r="G62" i="51"/>
  <c r="H54" i="51"/>
  <c r="I46" i="51"/>
  <c r="E46" i="51"/>
  <c r="E54" i="51"/>
  <c r="H78" i="51"/>
  <c r="I70" i="51"/>
  <c r="E70" i="51"/>
  <c r="F62" i="51"/>
  <c r="G54" i="51"/>
  <c r="H46" i="51"/>
  <c r="G70" i="51"/>
  <c r="H62" i="51"/>
  <c r="F46" i="51"/>
  <c r="G78" i="51"/>
  <c r="H70" i="51"/>
  <c r="I62" i="51"/>
  <c r="E62" i="51"/>
  <c r="F54" i="51"/>
  <c r="G46" i="51"/>
  <c r="F78" i="51"/>
  <c r="I54" i="51"/>
  <c r="I38" i="51"/>
  <c r="E38" i="51"/>
  <c r="H38" i="51"/>
  <c r="F38" i="51"/>
  <c r="G38" i="51"/>
  <c r="I32" i="51"/>
  <c r="I31" i="51"/>
  <c r="F31" i="51"/>
  <c r="H32" i="51"/>
  <c r="H31" i="51"/>
  <c r="G32" i="51"/>
  <c r="G31" i="51"/>
  <c r="F32" i="51"/>
  <c r="E32" i="51"/>
  <c r="E31" i="51"/>
  <c r="I30" i="51"/>
  <c r="H30" i="51"/>
  <c r="G30" i="51"/>
  <c r="F30" i="51"/>
  <c r="E30" i="51"/>
  <c r="G8" i="11" a="1"/>
  <c r="B2" i="11" a="1"/>
  <c r="E28" i="52"/>
  <c r="F31" i="52"/>
  <c r="G26" i="52"/>
  <c r="I28" i="52"/>
  <c r="I31" i="52"/>
  <c r="E31" i="52"/>
  <c r="G28" i="52"/>
  <c r="H31" i="52"/>
  <c r="F26" i="52"/>
  <c r="G31" i="52"/>
  <c r="H28" i="52"/>
  <c r="D16" i="51"/>
  <c r="M12" i="52"/>
  <c r="G8" i="11" l="1"/>
  <c r="K8" i="11"/>
  <c r="J9" i="11"/>
  <c r="I10" i="11"/>
  <c r="H11" i="11"/>
  <c r="G9" i="11"/>
  <c r="J10" i="11"/>
  <c r="I8" i="11"/>
  <c r="G10" i="11"/>
  <c r="J8" i="11"/>
  <c r="H10" i="11"/>
  <c r="K11" i="11"/>
  <c r="H8" i="11"/>
  <c r="K9" i="11"/>
  <c r="I11" i="11"/>
  <c r="H9" i="11"/>
  <c r="K10" i="11"/>
  <c r="J11" i="11"/>
  <c r="I9" i="11"/>
  <c r="G11" i="11"/>
  <c r="B2" i="11"/>
  <c r="F2" i="11"/>
  <c r="E3" i="11"/>
  <c r="D4" i="11"/>
  <c r="C5" i="11"/>
  <c r="C2" i="11"/>
  <c r="B3" i="11"/>
  <c r="F3" i="11"/>
  <c r="E4" i="11"/>
  <c r="D5" i="11"/>
  <c r="D2" i="11"/>
  <c r="C3" i="11"/>
  <c r="F4" i="11"/>
  <c r="E5" i="11"/>
  <c r="E2" i="11"/>
  <c r="D3" i="11"/>
  <c r="C4" i="11"/>
  <c r="B5" i="11"/>
  <c r="F5" i="11"/>
  <c r="B4" i="11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F28" i="52"/>
  <c r="E26" i="52"/>
  <c r="I26" i="52"/>
  <c r="H26" i="52"/>
  <c r="H29" i="52" l="1"/>
  <c r="H32" i="52" s="1"/>
  <c r="I29" i="52"/>
  <c r="I32" i="52" s="1"/>
  <c r="E29" i="52"/>
  <c r="E32" i="52" s="1"/>
  <c r="F29" i="52"/>
  <c r="F32" i="52" s="1"/>
  <c r="E51" i="5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G34" i="50"/>
  <c r="G31" i="50"/>
  <c r="G26" i="50"/>
  <c r="H31" i="50"/>
  <c r="F34" i="50"/>
  <c r="E31" i="50"/>
  <c r="F31" i="50"/>
  <c r="F26" i="50"/>
  <c r="I34" i="50"/>
  <c r="I31" i="50"/>
  <c r="I26" i="50"/>
  <c r="E34" i="50"/>
  <c r="E26" i="50"/>
  <c r="H34" i="50"/>
  <c r="H26" i="50"/>
  <c r="F26" i="51"/>
  <c r="H68" i="51"/>
  <c r="H28" i="51"/>
  <c r="F66" i="51"/>
  <c r="G61" i="51"/>
  <c r="F74" i="51"/>
  <c r="H52" i="51"/>
  <c r="F58" i="51"/>
  <c r="G53" i="51"/>
  <c r="H76" i="51"/>
  <c r="F34" i="51"/>
  <c r="G29" i="51"/>
  <c r="H36" i="51"/>
  <c r="F42" i="51"/>
  <c r="G37" i="51"/>
  <c r="G69" i="51"/>
  <c r="H44" i="51"/>
  <c r="F50" i="51"/>
  <c r="H60" i="51"/>
  <c r="G45" i="51"/>
  <c r="G77" i="51"/>
  <c r="G44" i="51"/>
  <c r="E50" i="51"/>
  <c r="I37" i="51"/>
  <c r="F68" i="51"/>
  <c r="E61" i="51"/>
  <c r="E66" i="51"/>
  <c r="G52" i="51"/>
  <c r="I53" i="51"/>
  <c r="E45" i="51"/>
  <c r="F45" i="51"/>
  <c r="I29" i="51"/>
  <c r="I58" i="51"/>
  <c r="F52" i="51"/>
  <c r="H66" i="51"/>
  <c r="I36" i="51"/>
  <c r="E28" i="51"/>
  <c r="F76" i="51"/>
  <c r="E69" i="51"/>
  <c r="F60" i="51"/>
  <c r="I52" i="51"/>
  <c r="H37" i="51"/>
  <c r="E76" i="51"/>
  <c r="F44" i="51"/>
  <c r="H42" i="51"/>
  <c r="I44" i="51"/>
  <c r="I76" i="51"/>
  <c r="G42" i="51"/>
  <c r="E52" i="51"/>
  <c r="F29" i="51"/>
  <c r="H69" i="51"/>
  <c r="I34" i="51"/>
  <c r="I66" i="51"/>
  <c r="F69" i="51"/>
  <c r="G60" i="51"/>
  <c r="E26" i="51"/>
  <c r="E58" i="51"/>
  <c r="H53" i="51"/>
  <c r="E34" i="51"/>
  <c r="E68" i="51"/>
  <c r="G50" i="51"/>
  <c r="I50" i="51"/>
  <c r="F37" i="51"/>
  <c r="G28" i="51"/>
  <c r="E42" i="51"/>
  <c r="E74" i="51"/>
  <c r="G36" i="51"/>
  <c r="G68" i="51"/>
  <c r="H45" i="51"/>
  <c r="I26" i="51"/>
  <c r="I42" i="51"/>
  <c r="I60" i="51"/>
  <c r="I74" i="51"/>
  <c r="F53" i="51"/>
  <c r="G76" i="51"/>
  <c r="F28" i="51"/>
  <c r="H26" i="51"/>
  <c r="I69" i="51"/>
  <c r="E29" i="51"/>
  <c r="F77" i="51"/>
  <c r="E37" i="51"/>
  <c r="F61" i="51"/>
  <c r="H74" i="51"/>
  <c r="F36" i="51"/>
  <c r="H34" i="51"/>
  <c r="E77" i="51"/>
  <c r="I45" i="51"/>
  <c r="I77" i="51"/>
  <c r="H58" i="51"/>
  <c r="E53" i="51"/>
  <c r="H29" i="51"/>
  <c r="I68" i="51"/>
  <c r="G58" i="51"/>
  <c r="E60" i="51"/>
  <c r="H50" i="51"/>
  <c r="E36" i="51"/>
  <c r="H77" i="51"/>
  <c r="G26" i="51"/>
  <c r="E44" i="51"/>
  <c r="G34" i="51"/>
  <c r="G66" i="51"/>
  <c r="I28" i="51"/>
  <c r="I61" i="51"/>
  <c r="H61" i="51"/>
  <c r="G74" i="51"/>
  <c r="G34" i="52"/>
  <c r="E34" i="52"/>
  <c r="H34" i="52"/>
  <c r="I34" i="52"/>
  <c r="F34" i="52"/>
  <c r="M12" i="50"/>
  <c r="E19" i="50" l="1"/>
  <c r="G13" i="50"/>
  <c r="J13" i="50" s="1"/>
  <c r="F13" i="50"/>
  <c r="I13" i="50" s="1"/>
  <c r="B67" i="49"/>
  <c r="B60" i="49"/>
  <c r="B53" i="49"/>
  <c r="B46" i="49"/>
  <c r="B39" i="49"/>
  <c r="B32" i="49"/>
  <c r="B25" i="49"/>
  <c r="H36" i="52"/>
  <c r="F36" i="52"/>
  <c r="I36" i="52"/>
  <c r="E36" i="52"/>
  <c r="G36" i="52"/>
  <c r="G13" i="49" l="1"/>
  <c r="F13" i="49"/>
  <c r="E19" i="49"/>
  <c r="D16" i="49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G28" i="50"/>
  <c r="D16" i="48"/>
  <c r="H41" i="47"/>
  <c r="F41" i="48"/>
  <c r="E54" i="49"/>
  <c r="E68" i="49"/>
  <c r="F47" i="49"/>
  <c r="E56" i="49"/>
  <c r="F68" i="49"/>
  <c r="E42" i="49"/>
  <c r="E71" i="49"/>
  <c r="H70" i="49"/>
  <c r="H68" i="49"/>
  <c r="G43" i="49"/>
  <c r="E28" i="49"/>
  <c r="F54" i="49"/>
  <c r="G54" i="49"/>
  <c r="F70" i="49"/>
  <c r="G35" i="49"/>
  <c r="F50" i="49"/>
  <c r="G26" i="49"/>
  <c r="I63" i="49"/>
  <c r="F35" i="49"/>
  <c r="I61" i="49"/>
  <c r="H56" i="49"/>
  <c r="E70" i="49"/>
  <c r="F49" i="49"/>
  <c r="G49" i="49"/>
  <c r="H61" i="49"/>
  <c r="I41" i="48"/>
  <c r="D16" i="47"/>
  <c r="G68" i="49"/>
  <c r="F42" i="49"/>
  <c r="H64" i="49"/>
  <c r="G28" i="49"/>
  <c r="F61" i="49"/>
  <c r="I57" i="49"/>
  <c r="H71" i="49"/>
  <c r="G57" i="49"/>
  <c r="E28" i="50"/>
  <c r="E41" i="47"/>
  <c r="E41" i="48"/>
  <c r="I41" i="47"/>
  <c r="E50" i="49"/>
  <c r="I28" i="49"/>
  <c r="F64" i="49"/>
  <c r="I43" i="49"/>
  <c r="I29" i="49"/>
  <c r="I64" i="49"/>
  <c r="E26" i="49"/>
  <c r="E57" i="49"/>
  <c r="G61" i="49"/>
  <c r="F43" i="49"/>
  <c r="G50" i="49"/>
  <c r="E47" i="49"/>
  <c r="E35" i="49"/>
  <c r="E49" i="49"/>
  <c r="I26" i="49"/>
  <c r="G63" i="49"/>
  <c r="H40" i="49"/>
  <c r="F41" i="47"/>
  <c r="E36" i="49"/>
  <c r="E40" i="49"/>
  <c r="G70" i="49"/>
  <c r="H43" i="49"/>
  <c r="H63" i="49"/>
  <c r="I42" i="49"/>
  <c r="E43" i="49"/>
  <c r="H28" i="50"/>
  <c r="F71" i="49"/>
  <c r="F57" i="49"/>
  <c r="E33" i="49"/>
  <c r="F33" i="49"/>
  <c r="G29" i="49"/>
  <c r="F29" i="49"/>
  <c r="G40" i="49"/>
  <c r="F40" i="49"/>
  <c r="H49" i="49"/>
  <c r="F28" i="50"/>
  <c r="I28" i="50"/>
  <c r="G41" i="48"/>
  <c r="H41" i="48"/>
  <c r="E29" i="49"/>
  <c r="G36" i="49"/>
  <c r="G47" i="49"/>
  <c r="G71" i="49"/>
  <c r="G33" i="49"/>
  <c r="G41" i="47"/>
  <c r="F56" i="49"/>
  <c r="H42" i="49"/>
  <c r="G64" i="49"/>
  <c r="I40" i="49"/>
  <c r="F63" i="49"/>
  <c r="H57" i="49"/>
  <c r="I70" i="49"/>
  <c r="H54" i="49"/>
  <c r="F36" i="49"/>
  <c r="I33" i="49"/>
  <c r="H36" i="49"/>
  <c r="I68" i="49"/>
  <c r="F26" i="49"/>
  <c r="G42" i="49"/>
  <c r="E61" i="49"/>
  <c r="I56" i="49"/>
  <c r="I49" i="49"/>
  <c r="H26" i="49"/>
  <c r="G56" i="49"/>
  <c r="H47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I50" i="49"/>
  <c r="E35" i="50"/>
  <c r="J27" i="48"/>
  <c r="J25" i="48"/>
  <c r="K35" i="48"/>
  <c r="G24" i="48"/>
  <c r="K27" i="48"/>
  <c r="M31" i="47"/>
  <c r="J33" i="47"/>
  <c r="G30" i="47"/>
  <c r="H32" i="47"/>
  <c r="E36" i="48"/>
  <c r="M33" i="48"/>
  <c r="F32" i="48"/>
  <c r="L31" i="48"/>
  <c r="J35" i="48"/>
  <c r="M37" i="47"/>
  <c r="G26" i="47"/>
  <c r="E36" i="47"/>
  <c r="L29" i="47"/>
  <c r="K25" i="48"/>
  <c r="F36" i="48"/>
  <c r="I24" i="48"/>
  <c r="F30" i="48"/>
  <c r="M35" i="48"/>
  <c r="G28" i="47"/>
  <c r="K29" i="47"/>
  <c r="H24" i="48"/>
  <c r="J29" i="47"/>
  <c r="E26" i="48"/>
  <c r="M35" i="47"/>
  <c r="L37" i="48"/>
  <c r="H30" i="48"/>
  <c r="G32" i="47"/>
  <c r="E26" i="47"/>
  <c r="M27" i="47"/>
  <c r="K29" i="48"/>
  <c r="E30" i="47"/>
  <c r="I36" i="49"/>
  <c r="G38" i="49"/>
  <c r="F73" i="49"/>
  <c r="H44" i="49"/>
  <c r="H33" i="49"/>
  <c r="H45" i="49"/>
  <c r="F58" i="49"/>
  <c r="G59" i="49"/>
  <c r="F44" i="49"/>
  <c r="I65" i="49"/>
  <c r="M29" i="47"/>
  <c r="K31" i="47"/>
  <c r="K31" i="48"/>
  <c r="I47" i="49"/>
  <c r="F28" i="49"/>
  <c r="G37" i="49"/>
  <c r="F30" i="49"/>
  <c r="I71" i="49"/>
  <c r="H73" i="49"/>
  <c r="F45" i="49"/>
  <c r="G72" i="49"/>
  <c r="F52" i="49"/>
  <c r="F59" i="49"/>
  <c r="E38" i="49"/>
  <c r="F37" i="49"/>
  <c r="F32" i="47"/>
  <c r="F34" i="48"/>
  <c r="J35" i="47"/>
  <c r="J29" i="48"/>
  <c r="I32" i="47"/>
  <c r="H24" i="47"/>
  <c r="I26" i="47"/>
  <c r="I54" i="49"/>
  <c r="G65" i="49"/>
  <c r="E64" i="49"/>
  <c r="H59" i="49"/>
  <c r="E51" i="49"/>
  <c r="H35" i="49"/>
  <c r="G35" i="50"/>
  <c r="F26" i="48"/>
  <c r="F24" i="48"/>
  <c r="M37" i="48"/>
  <c r="H28" i="48"/>
  <c r="F28" i="47"/>
  <c r="N33" i="47"/>
  <c r="M25" i="47"/>
  <c r="N27" i="47"/>
  <c r="K37" i="47"/>
  <c r="N35" i="48"/>
  <c r="N27" i="48"/>
  <c r="I32" i="48"/>
  <c r="G36" i="48"/>
  <c r="J25" i="47"/>
  <c r="I30" i="47"/>
  <c r="H26" i="47"/>
  <c r="G36" i="47"/>
  <c r="J31" i="47"/>
  <c r="I26" i="48"/>
  <c r="L35" i="48"/>
  <c r="N25" i="48"/>
  <c r="I36" i="48"/>
  <c r="G34" i="48"/>
  <c r="J27" i="47"/>
  <c r="L35" i="47"/>
  <c r="E24" i="48"/>
  <c r="E24" i="47"/>
  <c r="G30" i="48"/>
  <c r="K33" i="48"/>
  <c r="N31" i="47"/>
  <c r="E32" i="47"/>
  <c r="M31" i="48"/>
  <c r="E59" i="49"/>
  <c r="I66" i="49"/>
  <c r="E37" i="49"/>
  <c r="H28" i="49"/>
  <c r="F66" i="49"/>
  <c r="I30" i="49"/>
  <c r="G52" i="49"/>
  <c r="H50" i="49"/>
  <c r="G31" i="49"/>
  <c r="H65" i="49"/>
  <c r="I30" i="48"/>
  <c r="J37" i="47"/>
  <c r="S23" i="48"/>
  <c r="M33" i="47"/>
  <c r="E34" i="48"/>
  <c r="E32" i="48"/>
  <c r="N37" i="47"/>
  <c r="G45" i="49"/>
  <c r="G30" i="49"/>
  <c r="E31" i="49"/>
  <c r="E45" i="49"/>
  <c r="E63" i="49"/>
  <c r="H35" i="50"/>
  <c r="L33" i="48"/>
  <c r="E30" i="48"/>
  <c r="H32" i="48"/>
  <c r="F28" i="48"/>
  <c r="F30" i="47"/>
  <c r="H36" i="47"/>
  <c r="N25" i="47"/>
  <c r="H28" i="47"/>
  <c r="F24" i="47"/>
  <c r="N29" i="48"/>
  <c r="G26" i="48"/>
  <c r="L29" i="48"/>
  <c r="M29" i="48"/>
  <c r="I36" i="47"/>
  <c r="N35" i="47"/>
  <c r="I34" i="47"/>
  <c r="H34" i="47"/>
  <c r="M27" i="48"/>
  <c r="L25" i="48"/>
  <c r="H34" i="48"/>
  <c r="J31" i="48"/>
  <c r="H36" i="48"/>
  <c r="G34" i="47"/>
  <c r="K35" i="47"/>
  <c r="G24" i="47"/>
  <c r="J37" i="48"/>
  <c r="L25" i="47"/>
  <c r="L33" i="47"/>
  <c r="I24" i="47"/>
  <c r="N31" i="48"/>
  <c r="H30" i="47"/>
  <c r="F34" i="47"/>
  <c r="E28" i="48"/>
  <c r="F36" i="47"/>
  <c r="L31" i="47"/>
  <c r="H29" i="49"/>
  <c r="I35" i="49"/>
  <c r="G66" i="49"/>
  <c r="E58" i="49"/>
  <c r="E44" i="49"/>
  <c r="E72" i="49"/>
  <c r="E73" i="49"/>
  <c r="H72" i="49"/>
  <c r="I31" i="49"/>
  <c r="I34" i="48"/>
  <c r="E34" i="47"/>
  <c r="G32" i="48"/>
  <c r="J33" i="48"/>
  <c r="I28" i="47"/>
  <c r="K33" i="47"/>
  <c r="S23" i="47"/>
  <c r="F72" i="49"/>
  <c r="E52" i="49"/>
  <c r="H58" i="49"/>
  <c r="I35" i="50"/>
  <c r="F35" i="50"/>
  <c r="N33" i="48"/>
  <c r="H26" i="48"/>
  <c r="I28" i="48"/>
  <c r="K37" i="48"/>
  <c r="L27" i="48"/>
  <c r="L27" i="47"/>
  <c r="F26" i="47"/>
  <c r="E28" i="47"/>
  <c r="M25" i="48"/>
  <c r="G28" i="48"/>
  <c r="N29" i="47"/>
  <c r="N37" i="48"/>
  <c r="K27" i="47"/>
  <c r="L37" i="47"/>
  <c r="K25" i="47"/>
  <c r="I44" i="49"/>
  <c r="G58" i="49"/>
  <c r="G44" i="49"/>
  <c r="F38" i="49"/>
  <c r="I45" i="49"/>
  <c r="F65" i="49"/>
  <c r="G73" i="49"/>
  <c r="E30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F37" i="50"/>
  <c r="E37" i="50"/>
  <c r="G41" i="46"/>
  <c r="H31" i="49"/>
  <c r="F31" i="49"/>
  <c r="F51" i="49"/>
  <c r="I37" i="49"/>
  <c r="I51" i="49"/>
  <c r="E41" i="46"/>
  <c r="H52" i="49"/>
  <c r="H37" i="49"/>
  <c r="H41" i="46"/>
  <c r="I38" i="49"/>
  <c r="I59" i="49"/>
  <c r="I41" i="46"/>
  <c r="I52" i="49"/>
  <c r="H66" i="49"/>
  <c r="I37" i="50"/>
  <c r="E65" i="49"/>
  <c r="E66" i="49"/>
  <c r="G51" i="49"/>
  <c r="D16" i="46"/>
  <c r="H51" i="49"/>
  <c r="G37" i="50"/>
  <c r="H30" i="49"/>
  <c r="H38" i="49"/>
  <c r="H37" i="50"/>
  <c r="I72" i="49"/>
  <c r="I73" i="49"/>
  <c r="F41" i="46"/>
  <c r="I58" i="49"/>
  <c r="O22" i="46" l="1"/>
  <c r="F42" i="46"/>
  <c r="G42" i="46"/>
  <c r="S22" i="46"/>
  <c r="P22" i="46"/>
  <c r="H42" i="46"/>
  <c r="E42" i="46"/>
  <c r="I42" i="46"/>
  <c r="M27" i="46"/>
  <c r="N27" i="46"/>
  <c r="F32" i="46"/>
  <c r="J31" i="46"/>
  <c r="M37" i="46"/>
  <c r="G32" i="46"/>
  <c r="N35" i="46"/>
  <c r="G36" i="46"/>
  <c r="G26" i="46"/>
  <c r="L33" i="46"/>
  <c r="F24" i="46"/>
  <c r="L25" i="46"/>
  <c r="F34" i="46"/>
  <c r="G34" i="46"/>
  <c r="J27" i="46"/>
  <c r="E28" i="46"/>
  <c r="F30" i="46"/>
  <c r="J33" i="46"/>
  <c r="F36" i="46"/>
  <c r="L37" i="46"/>
  <c r="F28" i="46"/>
  <c r="N37" i="46"/>
  <c r="J37" i="46"/>
  <c r="L31" i="46"/>
  <c r="J29" i="46"/>
  <c r="I26" i="46"/>
  <c r="H26" i="46"/>
  <c r="H24" i="46"/>
  <c r="H32" i="46"/>
  <c r="J35" i="46"/>
  <c r="G24" i="46"/>
  <c r="M35" i="46"/>
  <c r="N29" i="46"/>
  <c r="K35" i="46"/>
  <c r="K27" i="46"/>
  <c r="E24" i="46"/>
  <c r="M25" i="46"/>
  <c r="L29" i="46"/>
  <c r="G30" i="46"/>
  <c r="N33" i="46"/>
  <c r="H30" i="46"/>
  <c r="E26" i="46"/>
  <c r="G28" i="46"/>
  <c r="E32" i="46"/>
  <c r="L27" i="46"/>
  <c r="I24" i="46"/>
  <c r="I28" i="46"/>
  <c r="K29" i="46"/>
  <c r="N31" i="46"/>
  <c r="I34" i="46"/>
  <c r="N25" i="46"/>
  <c r="I30" i="46"/>
  <c r="J25" i="46"/>
  <c r="K37" i="46"/>
  <c r="L35" i="46"/>
  <c r="E36" i="46"/>
  <c r="M31" i="46"/>
  <c r="E34" i="46"/>
  <c r="M33" i="46"/>
  <c r="K25" i="46"/>
  <c r="H36" i="46"/>
  <c r="F26" i="46"/>
  <c r="H34" i="46"/>
  <c r="I36" i="46"/>
  <c r="S23" i="46"/>
  <c r="K31" i="46"/>
  <c r="H28" i="46"/>
  <c r="K33" i="46"/>
  <c r="I32" i="46"/>
  <c r="M29" i="46"/>
  <c r="E30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H41" i="45"/>
  <c r="F41" i="45"/>
  <c r="G41" i="45"/>
  <c r="D16" i="45"/>
  <c r="I41" i="45"/>
  <c r="E41" i="45"/>
  <c r="O22" i="45" l="1"/>
  <c r="S22" i="45"/>
  <c r="P22" i="45"/>
  <c r="E42" i="45"/>
  <c r="G42" i="45"/>
  <c r="H42" i="45"/>
  <c r="F42" i="45"/>
  <c r="I42" i="45"/>
  <c r="B25" i="45"/>
  <c r="F26" i="45"/>
  <c r="I36" i="45"/>
  <c r="I28" i="45"/>
  <c r="F34" i="45"/>
  <c r="F16" i="17"/>
  <c r="E24" i="45"/>
  <c r="J25" i="45"/>
  <c r="H15" i="17"/>
  <c r="G34" i="45"/>
  <c r="E15" i="17"/>
  <c r="F36" i="45"/>
  <c r="G36" i="45"/>
  <c r="M35" i="45"/>
  <c r="L27" i="45"/>
  <c r="J16" i="17"/>
  <c r="E26" i="45"/>
  <c r="J15" i="17"/>
  <c r="J37" i="45"/>
  <c r="I16" i="17"/>
  <c r="L31" i="45"/>
  <c r="S23" i="45"/>
  <c r="E32" i="45"/>
  <c r="H28" i="45"/>
  <c r="K35" i="45"/>
  <c r="K37" i="45"/>
  <c r="I15" i="17"/>
  <c r="H26" i="45"/>
  <c r="J33" i="45"/>
  <c r="E30" i="45"/>
  <c r="K33" i="45"/>
  <c r="M29" i="45"/>
  <c r="J35" i="45"/>
  <c r="J27" i="45"/>
  <c r="H34" i="45"/>
  <c r="E28" i="45"/>
  <c r="G24" i="45"/>
  <c r="G16" i="17"/>
  <c r="M25" i="45"/>
  <c r="G32" i="45"/>
  <c r="K29" i="45"/>
  <c r="L29" i="45"/>
  <c r="F28" i="45"/>
  <c r="K27" i="45"/>
  <c r="L25" i="45"/>
  <c r="M37" i="45"/>
  <c r="G15" i="17"/>
  <c r="J31" i="45"/>
  <c r="M31" i="45"/>
  <c r="F24" i="45"/>
  <c r="I32" i="45"/>
  <c r="N35" i="45"/>
  <c r="F15" i="17"/>
  <c r="F30" i="45"/>
  <c r="E36" i="45"/>
  <c r="N37" i="45"/>
  <c r="G28" i="45"/>
  <c r="K25" i="45"/>
  <c r="K31" i="45"/>
  <c r="E34" i="45"/>
  <c r="I30" i="45"/>
  <c r="E16" i="17"/>
  <c r="G30" i="45"/>
  <c r="H32" i="45"/>
  <c r="G26" i="45"/>
  <c r="N25" i="45"/>
  <c r="I24" i="45"/>
  <c r="N29" i="45"/>
  <c r="N31" i="45"/>
  <c r="L37" i="45"/>
  <c r="L35" i="45"/>
  <c r="J29" i="45"/>
  <c r="H24" i="45"/>
  <c r="L33" i="45"/>
  <c r="M27" i="45"/>
  <c r="H16" i="17"/>
  <c r="I34" i="45"/>
  <c r="M33" i="45"/>
  <c r="H36" i="45"/>
  <c r="H30" i="45"/>
  <c r="N27" i="45"/>
  <c r="F32" i="45"/>
  <c r="N33" i="45"/>
  <c r="I26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G23" i="38"/>
  <c r="H16" i="38"/>
  <c r="H24" i="38"/>
  <c r="G15" i="38"/>
  <c r="C19" i="38"/>
  <c r="C18" i="38"/>
  <c r="C24" i="38"/>
  <c r="D14" i="38"/>
  <c r="H21" i="38"/>
  <c r="F18" i="38"/>
  <c r="F19" i="38"/>
  <c r="D15" i="38"/>
  <c r="H19" i="38"/>
  <c r="E24" i="38"/>
  <c r="D18" i="38"/>
  <c r="E18" i="38"/>
  <c r="D20" i="38"/>
  <c r="F20" i="38"/>
  <c r="G24" i="38"/>
  <c r="D19" i="38"/>
  <c r="G19" i="38"/>
  <c r="D21" i="38"/>
  <c r="F17" i="38"/>
  <c r="H25" i="38"/>
  <c r="D13" i="38"/>
  <c r="G20" i="38"/>
  <c r="G13" i="38"/>
  <c r="F15" i="38"/>
  <c r="F21" i="38"/>
  <c r="D22" i="38"/>
  <c r="F25" i="38"/>
  <c r="D24" i="38"/>
  <c r="E25" i="38"/>
  <c r="H20" i="38"/>
  <c r="D23" i="38"/>
  <c r="E22" i="38"/>
  <c r="F13" i="38"/>
  <c r="E16" i="38"/>
  <c r="G21" i="38"/>
  <c r="N13" i="38"/>
  <c r="H17" i="38"/>
  <c r="G25" i="38"/>
  <c r="H22" i="38"/>
  <c r="C13" i="38"/>
  <c r="E19" i="38"/>
  <c r="G16" i="38"/>
  <c r="G18" i="38"/>
  <c r="F24" i="38"/>
  <c r="F16" i="38"/>
  <c r="C14" i="38"/>
  <c r="H14" i="38"/>
  <c r="C16" i="38"/>
  <c r="H13" i="38"/>
  <c r="C21" i="38"/>
  <c r="E20" i="38"/>
  <c r="D25" i="38"/>
  <c r="F23" i="38"/>
  <c r="C23" i="38"/>
  <c r="C22" i="38"/>
  <c r="H18" i="38"/>
  <c r="E23" i="38"/>
  <c r="F22" i="38"/>
  <c r="G17" i="38"/>
  <c r="H15" i="38"/>
  <c r="D17" i="38"/>
  <c r="E14" i="38"/>
  <c r="E13" i="38"/>
  <c r="C17" i="38"/>
  <c r="E15" i="38"/>
  <c r="G22" i="38"/>
  <c r="D16" i="38"/>
  <c r="C25" i="38"/>
  <c r="E21" i="38"/>
  <c r="C15" i="38"/>
  <c r="E17" i="38"/>
  <c r="F14" i="38"/>
  <c r="C20" i="38"/>
  <c r="G14" i="38"/>
  <c r="H23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26" i="39"/>
  <c r="F18" i="37"/>
  <c r="C26" i="39"/>
  <c r="H18" i="37"/>
  <c r="E18" i="37"/>
  <c r="H18" i="39"/>
  <c r="C18" i="37"/>
  <c r="D18" i="39"/>
  <c r="G18" i="39"/>
  <c r="G26" i="39"/>
  <c r="F26" i="39"/>
  <c r="D26" i="39"/>
  <c r="G18" i="37"/>
  <c r="C18" i="39"/>
  <c r="F18" i="39"/>
  <c r="E18" i="39"/>
  <c r="E26" i="39"/>
  <c r="D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E26" i="37"/>
  <c r="D17" i="39"/>
  <c r="C17" i="39"/>
  <c r="G17" i="37"/>
  <c r="H17" i="37"/>
  <c r="F26" i="37"/>
  <c r="C26" i="37"/>
  <c r="H17" i="39"/>
  <c r="G26" i="37"/>
  <c r="F17" i="39"/>
  <c r="H26" i="37"/>
  <c r="E17" i="39"/>
  <c r="G17" i="39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D17" i="37"/>
  <c r="H34" i="39"/>
  <c r="D34" i="39"/>
  <c r="E34" i="39"/>
  <c r="G34" i="39"/>
  <c r="C34" i="39"/>
  <c r="F17" i="37"/>
  <c r="E17" i="37"/>
  <c r="C17" i="37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28" i="2"/>
  <c r="B32" i="2"/>
  <c r="B44" i="2"/>
  <c r="B67" i="2"/>
  <c r="B17" i="2"/>
  <c r="B69" i="2"/>
  <c r="B10" i="2"/>
  <c r="B53" i="2"/>
  <c r="B15" i="2"/>
  <c r="B11" i="2"/>
  <c r="B54" i="2"/>
  <c r="B64" i="2"/>
  <c r="B42" i="2"/>
  <c r="B68" i="2"/>
  <c r="B55" i="2"/>
  <c r="B48" i="2"/>
  <c r="B22" i="2"/>
  <c r="B49" i="2"/>
  <c r="B51" i="2"/>
  <c r="B52" i="2"/>
  <c r="B41" i="2"/>
  <c r="B45" i="2"/>
  <c r="B18" i="2"/>
  <c r="B59" i="2"/>
  <c r="B66" i="2"/>
  <c r="B23" i="2"/>
  <c r="B43" i="2"/>
  <c r="B16" i="2"/>
  <c r="B12" i="2"/>
  <c r="B13" i="2"/>
  <c r="B21" i="2"/>
  <c r="B62" i="2"/>
  <c r="B47" i="2"/>
  <c r="B35" i="2"/>
  <c r="B8" i="2"/>
  <c r="B9" i="2"/>
  <c r="B26" i="2"/>
  <c r="B25" i="2"/>
  <c r="B30" i="2"/>
  <c r="B31" i="2"/>
  <c r="B72" i="2"/>
  <c r="B7" i="2"/>
  <c r="B56" i="2"/>
  <c r="B60" i="2"/>
  <c r="B27" i="2"/>
  <c r="B58" i="2"/>
  <c r="B14" i="2"/>
  <c r="B65" i="2"/>
  <c r="B61" i="2"/>
  <c r="B29" i="2"/>
  <c r="B20" i="2"/>
  <c r="B63" i="2"/>
  <c r="B71" i="2"/>
  <c r="B34" i="2"/>
  <c r="B50" i="2"/>
  <c r="B36" i="2"/>
  <c r="B24" i="2"/>
  <c r="B19" i="2"/>
  <c r="B6" i="2"/>
  <c r="B57" i="2"/>
  <c r="B33" i="2"/>
  <c r="B70" i="2"/>
  <c r="B46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<sst xmlns="http://schemas.openxmlformats.org/spreadsheetml/2006/main" count="966" uniqueCount="362">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</sst>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4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0">
        <f>E5/A5</f>
        <v>103381.25</v>
      </c>
      <c r="J5" s="7">
        <f>$E5/$A5*2</f>
        <v>206762.5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0">
        <f t="shared" ref="I6:I36" si="4">E6/A6</f>
        <v>3339.5833309999998</v>
      </c>
      <c r="J6" s="7">
        <f t="shared" ref="J6:J36" si="5">$E6/$A6*2</f>
        <v>6679.1666619999996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0">
        <f t="shared" si="4"/>
        <v>2318.75</v>
      </c>
      <c r="J7" s="7">
        <f t="shared" si="5"/>
        <v>4637.5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0">
        <f t="shared" si="4"/>
        <v>1978.4722218333332</v>
      </c>
      <c r="J8" s="7">
        <f t="shared" si="5"/>
        <v>3956.9444436666663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0">
        <f t="shared" si="4"/>
        <v>1808.3333327499997</v>
      </c>
      <c r="J9" s="7">
        <f t="shared" si="5"/>
        <v>3616.6666654999995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0">
        <f t="shared" si="4"/>
        <v>1706.25</v>
      </c>
      <c r="J10" s="7">
        <f t="shared" si="5"/>
        <v>3412.5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0">
        <f t="shared" si="4"/>
        <v>1638.1944442499998</v>
      </c>
      <c r="J11" s="7">
        <f t="shared" si="5"/>
        <v>3276.3888884999997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0">
        <f t="shared" si="4"/>
        <v>1589.5833329999998</v>
      </c>
      <c r="J12" s="7">
        <f t="shared" si="5"/>
        <v>3179.1666659999996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0">
        <f t="shared" si="4"/>
        <v>1553.125</v>
      </c>
      <c r="J13" s="7">
        <f t="shared" si="5"/>
        <v>3106.25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0">
        <f t="shared" si="4"/>
        <v>1524.7685183888889</v>
      </c>
      <c r="J14" s="7">
        <f t="shared" si="5"/>
        <v>3049.5370367777778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0">
        <f t="shared" si="4"/>
        <v>1502.0833330999999</v>
      </c>
      <c r="J15" s="7">
        <f t="shared" si="5"/>
        <v>3004.1666661999998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0">
        <f>E16/A16</f>
        <v>1468.0555554583334</v>
      </c>
      <c r="J16" s="7">
        <f t="shared" si="5"/>
        <v>2936.1111109166668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1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1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41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221554.87234999999</v>
      </c>
      <c r="D23" s="25">
        <f t="shared" si="7"/>
        <v>271584.97047499998</v>
      </c>
      <c r="E23" s="25">
        <f t="shared" si="7"/>
        <v>422128.205625</v>
      </c>
      <c r="F23" s="25">
        <f t="shared" si="7"/>
        <v>672731.6372</v>
      </c>
      <c r="G23" s="25">
        <f t="shared" si="7"/>
        <v>923788.00954999996</v>
      </c>
      <c r="H23" s="25">
        <f t="shared" si="7"/>
        <v>1174391.44095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468013.20562499994</v>
      </c>
      <c r="D29" s="7">
        <f t="shared" si="11"/>
        <v>545751.6372</v>
      </c>
      <c r="E29" s="7">
        <f t="shared" si="11"/>
        <v>779419.87235000008</v>
      </c>
      <c r="F29" s="7">
        <f t="shared" si="11"/>
        <v>1168564.9704749999</v>
      </c>
      <c r="G29" s="7">
        <f t="shared" si="11"/>
        <v>1558163.0095500001</v>
      </c>
      <c r="H29" s="7">
        <f t="shared" si="11"/>
        <v>1947308.1076750001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468000</v>
      </c>
      <c r="D34" s="7">
        <f t="shared" si="14"/>
        <v>545000</v>
      </c>
      <c r="E34" s="7">
        <f t="shared" si="14"/>
        <v>779000</v>
      </c>
      <c r="F34" s="7">
        <f t="shared" si="14"/>
        <v>1168000</v>
      </c>
      <c r="G34" s="7">
        <f t="shared" si="14"/>
        <v>1558000</v>
      </c>
      <c r="H34" s="7">
        <f t="shared" si="14"/>
        <v>1947000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74650</v>
      </c>
      <c r="D17" s="32">
        <f t="shared" si="2"/>
        <v>89483.333299999998</v>
      </c>
      <c r="E17" s="32">
        <f t="shared" si="2"/>
        <v>133983.3333</v>
      </c>
      <c r="F17" s="32">
        <f t="shared" si="2"/>
        <v>208150</v>
      </c>
      <c r="G17" s="32">
        <f t="shared" si="2"/>
        <v>282316.6666</v>
      </c>
      <c r="H17" s="32">
        <f t="shared" si="2"/>
        <v>356483.3333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150965.5</v>
      </c>
      <c r="D23" s="25">
        <f t="shared" si="7"/>
        <v>195403.83327499998</v>
      </c>
      <c r="E23" s="25">
        <f t="shared" si="7"/>
        <v>328718.83327499998</v>
      </c>
      <c r="F23" s="25">
        <f t="shared" si="7"/>
        <v>550910.5</v>
      </c>
      <c r="G23" s="25">
        <f t="shared" si="7"/>
        <v>773102.16654999997</v>
      </c>
      <c r="H23" s="25">
        <f t="shared" si="7"/>
        <v>995293.8332750001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16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G19" workbookViewId="0">
      <selection activeCell="L38" sqref="L38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15584.4445</v>
      </c>
      <c r="F41" s="7">
        <f t="shared" ref="F41:I41" si="8">PhiLDPT_XepDotVoCuonLX(F$23)+$B$41*$C$13/100</f>
        <v>17028.888899999998</v>
      </c>
      <c r="G41" s="7">
        <f t="shared" si="8"/>
        <v>18473.333500000001</v>
      </c>
      <c r="H41" s="7">
        <f t="shared" si="8"/>
        <v>19917.7778</v>
      </c>
      <c r="I41" s="7">
        <f t="shared" si="8"/>
        <v>21362.222600000001</v>
      </c>
    </row>
    <row r="42" spans="1:14" x14ac:dyDescent="0.25">
      <c r="A42" s="2"/>
      <c r="D42" t="s">
        <v>317</v>
      </c>
      <c r="E42" s="7">
        <f>E$41*(1+$D$17)</f>
        <v>27272.777875</v>
      </c>
      <c r="F42" s="7">
        <f t="shared" ref="F42:I42" si="9">F$41*(1+$D$17)</f>
        <v>29800.555574999998</v>
      </c>
      <c r="G42" s="7">
        <f t="shared" si="9"/>
        <v>32328.333624999999</v>
      </c>
      <c r="H42" s="7">
        <f t="shared" si="9"/>
        <v>34856.111149999997</v>
      </c>
      <c r="I42" s="7">
        <f t="shared" si="9"/>
        <v>37383.88955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D13" workbookViewId="0">
      <selection activeCell="J24" sqref="J24:N37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16244.4445</v>
      </c>
      <c r="F41" s="7">
        <f t="shared" ref="F41:I41" si="8">PhiLDPT_XepDotVoCuonLX(F$23)+$B$41*$C$13/100</f>
        <v>17688.888899999998</v>
      </c>
      <c r="G41" s="7">
        <f t="shared" si="8"/>
        <v>19133.333500000001</v>
      </c>
      <c r="H41" s="7">
        <f t="shared" si="8"/>
        <v>20577.7778</v>
      </c>
      <c r="I41" s="7">
        <f t="shared" si="8"/>
        <v>22022.222600000001</v>
      </c>
    </row>
    <row r="42" spans="1:14" x14ac:dyDescent="0.25">
      <c r="A42" s="2"/>
      <c r="D42" t="s">
        <v>317</v>
      </c>
      <c r="E42" s="7">
        <f>E$41*(1+$D$17)</f>
        <v>28427.777875</v>
      </c>
      <c r="F42" s="7">
        <f t="shared" ref="F42:I42" si="9">F$41*(1+$D$17)</f>
        <v>30955.555574999998</v>
      </c>
      <c r="G42" s="7">
        <f t="shared" si="9"/>
        <v>33483.333624999999</v>
      </c>
      <c r="H42" s="7">
        <f t="shared" si="9"/>
        <v>36011.111149999997</v>
      </c>
      <c r="I42" s="7">
        <f t="shared" si="9"/>
        <v>38538.88955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7" workbookViewId="0">
      <selection activeCell="G21" sqref="G21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16484.444499999998</v>
      </c>
      <c r="F41" s="7">
        <f t="shared" ref="F41:I41" si="8">PhiLDPT_XepDotVoCuonLX(F$23)+$B$41*$C$13/100</f>
        <v>17928.888899999998</v>
      </c>
      <c r="G41" s="7">
        <f t="shared" si="8"/>
        <v>19373.333500000001</v>
      </c>
      <c r="H41" s="7">
        <f t="shared" si="8"/>
        <v>20817.7778</v>
      </c>
      <c r="I41" s="7">
        <f t="shared" si="8"/>
        <v>22262.222600000001</v>
      </c>
    </row>
    <row r="42" spans="1:14" x14ac:dyDescent="0.25">
      <c r="A42" s="2"/>
      <c r="D42" t="s">
        <v>317</v>
      </c>
      <c r="E42" s="7">
        <f>E$41*(1+$D$17)</f>
        <v>28847.777874999996</v>
      </c>
      <c r="F42" s="7">
        <f t="shared" ref="F42:I42" si="9">F$41*(1+$D$17)</f>
        <v>31375.555574999998</v>
      </c>
      <c r="G42" s="7">
        <f t="shared" si="9"/>
        <v>33903.333624999999</v>
      </c>
      <c r="H42" s="7">
        <f t="shared" si="9"/>
        <v>36431.111149999997</v>
      </c>
      <c r="I42" s="7">
        <f t="shared" si="9"/>
        <v>38958.88955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abSelected="1" topLeftCell="A10" workbookViewId="0">
      <selection activeCell="G17" sqref="G17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topLeftCell="A4" workbookViewId="0">
      <selection activeCell="G27" sqref="G2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3:9" x14ac:dyDescent="0.25">
      <c r="E33" s="43"/>
      <c r="F33" s="43"/>
      <c r="G33" s="43"/>
      <c r="H33" s="43"/>
      <c r="I33" s="43"/>
    </row>
    <row r="34" spans="3:9" x14ac:dyDescent="0.25">
      <c r="C34" t="s">
        <v>353</v>
      </c>
      <c r="E34" s="32">
        <f>PhiLDPT_VoCuonBatVit(E24)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3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3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18</vt:i4>
      </vt:variant>
      <vt:variant>
        <vt:lpstr>Phạm vi Có tên</vt:lpstr>
      </vt:variant>
      <vt:variant>
        <vt:i4>8</vt:i4>
      </vt:variant>
    </vt:vector>
  </HeadingPairs>
  <TitlesOfParts>
    <vt:vector size="26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2019-06-12T06:36:30Z</dcterms:modified>
</cp:coreProperties>
</file>