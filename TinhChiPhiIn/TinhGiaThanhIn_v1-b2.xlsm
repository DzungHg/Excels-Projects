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F872D402-9E27-42BA-8B2C-49CAFA328881}" xr6:coauthVersionLast="43" xr6:coauthVersionMax="43" xr10:uidLastSave="{00000000-0000-0000-0000-000000000000}"/>
  <bookViews>
    <workbookView xWindow="-98" yWindow="-98" windowWidth="20715" windowHeight="13425" firstSheet="6" activeTab="10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Base-MayIn" sheetId="10" r:id="rId12"/>
    <sheet name="NguyenVatLieu" sheetId="13" r:id="rId13"/>
    <sheet name="Base-Margin" sheetId="15" r:id="rId14"/>
  </sheets>
  <functionGroups builtInGroupCount="19"/>
  <definedNames>
    <definedName name="atools_list_filter_1" localSheetId="1" hidden="1">BaiCMYK!$E$8:$F$9</definedName>
    <definedName name="atools_list_filter_1" localSheetId="7" hidden="1">'Menu-LXo-10x19'!$A$13:$D$13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7" hidden="1">";;;"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7" hidden="1">"1;2;3;4"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7" hidden="1">"92;76;71;80"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7" hidden="1">"='Menu-LXo'!$A$13:$D$13"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7" hidden="1">"0;1;2;3"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7" hidden="1">"1|1|0|0|0|||365|126||0|,||1||0||0|18|185|2.0|1|1|1|0"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7" hidden="1">KHO_CAT_SAN_PHAM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7" hidden="1">"=KHO_CAT_SAN_PHAM"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7" i="48" l="1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O22" i="45"/>
  <c r="P22" i="45"/>
  <c r="S22" i="45"/>
  <c r="F41" i="48"/>
  <c r="I41" i="48"/>
  <c r="E41" i="48"/>
  <c r="G41" i="48"/>
  <c r="H41" i="48"/>
  <c r="D16" i="48"/>
  <c r="F41" i="47"/>
  <c r="G41" i="47"/>
  <c r="I41" i="47"/>
  <c r="E41" i="47"/>
  <c r="D16" i="47"/>
  <c r="H41" i="47"/>
  <c r="N37" i="46"/>
  <c r="J37" i="46"/>
  <c r="G36" i="46"/>
  <c r="M35" i="46"/>
  <c r="F34" i="46"/>
  <c r="L33" i="46"/>
  <c r="I32" i="46"/>
  <c r="E32" i="46"/>
  <c r="K31" i="46"/>
  <c r="H30" i="46"/>
  <c r="N29" i="46"/>
  <c r="J29" i="46"/>
  <c r="G28" i="46"/>
  <c r="M27" i="46"/>
  <c r="F26" i="46"/>
  <c r="L25" i="46"/>
  <c r="I24" i="46"/>
  <c r="E24" i="46"/>
  <c r="I26" i="46"/>
  <c r="E26" i="46"/>
  <c r="K25" i="46"/>
  <c r="H24" i="46"/>
  <c r="M33" i="46"/>
  <c r="F32" i="46"/>
  <c r="I30" i="46"/>
  <c r="K29" i="46"/>
  <c r="N27" i="46"/>
  <c r="M25" i="46"/>
  <c r="M37" i="46"/>
  <c r="F36" i="46"/>
  <c r="L35" i="46"/>
  <c r="I34" i="46"/>
  <c r="E34" i="46"/>
  <c r="K33" i="46"/>
  <c r="H32" i="46"/>
  <c r="N31" i="46"/>
  <c r="J31" i="46"/>
  <c r="G30" i="46"/>
  <c r="M29" i="46"/>
  <c r="F28" i="46"/>
  <c r="L27" i="46"/>
  <c r="J27" i="46"/>
  <c r="L37" i="46"/>
  <c r="I36" i="46"/>
  <c r="E36" i="46"/>
  <c r="K35" i="46"/>
  <c r="H34" i="46"/>
  <c r="N33" i="46"/>
  <c r="J33" i="46"/>
  <c r="G32" i="46"/>
  <c r="M31" i="46"/>
  <c r="F30" i="46"/>
  <c r="L29" i="46"/>
  <c r="I28" i="46"/>
  <c r="E28" i="46"/>
  <c r="K27" i="46"/>
  <c r="H26" i="46"/>
  <c r="N25" i="46"/>
  <c r="J25" i="46"/>
  <c r="G24" i="46"/>
  <c r="K37" i="46"/>
  <c r="H36" i="46"/>
  <c r="N35" i="46"/>
  <c r="J35" i="46"/>
  <c r="G34" i="46"/>
  <c r="L31" i="46"/>
  <c r="E30" i="46"/>
  <c r="H28" i="46"/>
  <c r="G26" i="46"/>
  <c r="F24" i="46"/>
  <c r="N37" i="45"/>
  <c r="J37" i="45"/>
  <c r="K35" i="45"/>
  <c r="L33" i="45"/>
  <c r="M31" i="45"/>
  <c r="N29" i="45"/>
  <c r="J29" i="45"/>
  <c r="K27" i="45"/>
  <c r="L29" i="45"/>
  <c r="L35" i="45"/>
  <c r="M33" i="45"/>
  <c r="J31" i="45"/>
  <c r="M37" i="45"/>
  <c r="N35" i="45"/>
  <c r="J35" i="45"/>
  <c r="K33" i="45"/>
  <c r="L31" i="45"/>
  <c r="M29" i="45"/>
  <c r="N27" i="45"/>
  <c r="J27" i="45"/>
  <c r="L37" i="45"/>
  <c r="M35" i="45"/>
  <c r="N33" i="45"/>
  <c r="J33" i="45"/>
  <c r="K31" i="45"/>
  <c r="M27" i="45"/>
  <c r="K37" i="45"/>
  <c r="N31" i="45"/>
  <c r="K29" i="45"/>
  <c r="L27" i="45"/>
  <c r="N25" i="45"/>
  <c r="K25" i="45"/>
  <c r="M25" i="45"/>
  <c r="L25" i="45"/>
  <c r="J25" i="45"/>
  <c r="E24" i="45"/>
  <c r="I36" i="45"/>
  <c r="E36" i="45"/>
  <c r="F34" i="45"/>
  <c r="G32" i="45"/>
  <c r="H30" i="45"/>
  <c r="I28" i="45"/>
  <c r="E28" i="45"/>
  <c r="F26" i="45"/>
  <c r="E26" i="45"/>
  <c r="H32" i="45"/>
  <c r="F28" i="45"/>
  <c r="H36" i="45"/>
  <c r="I34" i="45"/>
  <c r="E34" i="45"/>
  <c r="F32" i="45"/>
  <c r="G30" i="45"/>
  <c r="H28" i="45"/>
  <c r="I26" i="45"/>
  <c r="I30" i="45"/>
  <c r="G26" i="45"/>
  <c r="G36" i="45"/>
  <c r="H34" i="45"/>
  <c r="I32" i="45"/>
  <c r="E32" i="45"/>
  <c r="F30" i="45"/>
  <c r="G28" i="45"/>
  <c r="H26" i="45"/>
  <c r="F36" i="45"/>
  <c r="G34" i="45"/>
  <c r="E30" i="45"/>
  <c r="I24" i="45"/>
  <c r="G24" i="45"/>
  <c r="F24" i="45"/>
  <c r="H24" i="45"/>
  <c r="O22" i="48" l="1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K24" i="46"/>
  <c r="L26" i="46"/>
  <c r="M28" i="46"/>
  <c r="J30" i="46"/>
  <c r="L34" i="46"/>
  <c r="M36" i="46"/>
  <c r="L24" i="46"/>
  <c r="M26" i="46"/>
  <c r="J28" i="46"/>
  <c r="N28" i="46"/>
  <c r="K30" i="46"/>
  <c r="L32" i="46"/>
  <c r="M34" i="46"/>
  <c r="J36" i="46"/>
  <c r="N36" i="46"/>
  <c r="K28" i="46"/>
  <c r="L30" i="46"/>
  <c r="M32" i="46"/>
  <c r="J34" i="46"/>
  <c r="N34" i="46"/>
  <c r="K36" i="46"/>
  <c r="N30" i="46"/>
  <c r="K32" i="46"/>
  <c r="M24" i="46"/>
  <c r="J26" i="46"/>
  <c r="N26" i="46"/>
  <c r="J24" i="46"/>
  <c r="N24" i="46"/>
  <c r="K26" i="46"/>
  <c r="L28" i="46"/>
  <c r="M30" i="46"/>
  <c r="J32" i="46"/>
  <c r="N32" i="46"/>
  <c r="K34" i="46"/>
  <c r="L36" i="46"/>
  <c r="O22" i="46"/>
  <c r="L37" i="48"/>
  <c r="N33" i="48"/>
  <c r="I30" i="48"/>
  <c r="M27" i="48"/>
  <c r="H24" i="48"/>
  <c r="J27" i="48"/>
  <c r="E36" i="48"/>
  <c r="G32" i="48"/>
  <c r="K29" i="48"/>
  <c r="F26" i="48"/>
  <c r="N35" i="48"/>
  <c r="K25" i="48"/>
  <c r="H36" i="48"/>
  <c r="L33" i="48"/>
  <c r="N29" i="48"/>
  <c r="I26" i="48"/>
  <c r="K33" i="48"/>
  <c r="H26" i="48"/>
  <c r="I34" i="48"/>
  <c r="L25" i="48"/>
  <c r="K31" i="48"/>
  <c r="J25" i="48"/>
  <c r="M33" i="48"/>
  <c r="S23" i="48"/>
  <c r="E34" i="48"/>
  <c r="F24" i="48"/>
  <c r="N27" i="48"/>
  <c r="F36" i="48"/>
  <c r="J33" i="48"/>
  <c r="E30" i="48"/>
  <c r="G26" i="48"/>
  <c r="L35" i="48"/>
  <c r="N31" i="48"/>
  <c r="I28" i="48"/>
  <c r="M25" i="48"/>
  <c r="H34" i="48"/>
  <c r="E24" i="48"/>
  <c r="K35" i="48"/>
  <c r="F32" i="48"/>
  <c r="J29" i="48"/>
  <c r="E26" i="48"/>
  <c r="M37" i="48"/>
  <c r="I32" i="48"/>
  <c r="I24" i="48"/>
  <c r="M35" i="48"/>
  <c r="H32" i="48"/>
  <c r="L29" i="48"/>
  <c r="N25" i="48"/>
  <c r="E32" i="48"/>
  <c r="K37" i="48"/>
  <c r="F34" i="48"/>
  <c r="J31" i="48"/>
  <c r="E28" i="48"/>
  <c r="G24" i="48"/>
  <c r="L31" i="48"/>
  <c r="N37" i="48"/>
  <c r="M31" i="48"/>
  <c r="H28" i="48"/>
  <c r="G36" i="48"/>
  <c r="F30" i="48"/>
  <c r="G34" i="48"/>
  <c r="F28" i="48"/>
  <c r="M29" i="48"/>
  <c r="I36" i="48"/>
  <c r="H30" i="48"/>
  <c r="L27" i="48"/>
  <c r="G28" i="48"/>
  <c r="J37" i="48"/>
  <c r="G30" i="48"/>
  <c r="K27" i="48"/>
  <c r="J35" i="48"/>
  <c r="G34" i="47"/>
  <c r="K31" i="47"/>
  <c r="F28" i="47"/>
  <c r="J25" i="47"/>
  <c r="N37" i="47"/>
  <c r="L33" i="47"/>
  <c r="F30" i="47"/>
  <c r="I36" i="47"/>
  <c r="M33" i="47"/>
  <c r="H30" i="47"/>
  <c r="L27" i="47"/>
  <c r="J37" i="47"/>
  <c r="K27" i="47"/>
  <c r="L31" i="47"/>
  <c r="M31" i="47"/>
  <c r="M37" i="47"/>
  <c r="G28" i="47"/>
  <c r="L37" i="47"/>
  <c r="N33" i="47"/>
  <c r="I30" i="47"/>
  <c r="M27" i="47"/>
  <c r="H24" i="47"/>
  <c r="H36" i="47"/>
  <c r="N35" i="47"/>
  <c r="J27" i="47"/>
  <c r="G32" i="47"/>
  <c r="F26" i="47"/>
  <c r="E34" i="47"/>
  <c r="J29" i="47"/>
  <c r="K25" i="47"/>
  <c r="J33" i="47"/>
  <c r="G26" i="47"/>
  <c r="K35" i="47"/>
  <c r="N31" i="47"/>
  <c r="M25" i="47"/>
  <c r="H26" i="47"/>
  <c r="E32" i="47"/>
  <c r="M35" i="47"/>
  <c r="N25" i="47"/>
  <c r="I34" i="47"/>
  <c r="I32" i="47"/>
  <c r="F34" i="47"/>
  <c r="E28" i="47"/>
  <c r="N29" i="47"/>
  <c r="E24" i="47"/>
  <c r="M29" i="47"/>
  <c r="G30" i="47"/>
  <c r="E36" i="47"/>
  <c r="K29" i="47"/>
  <c r="I26" i="47"/>
  <c r="N27" i="47"/>
  <c r="G36" i="47"/>
  <c r="F36" i="47"/>
  <c r="E30" i="47"/>
  <c r="H28" i="47"/>
  <c r="H34" i="47"/>
  <c r="L35" i="47"/>
  <c r="I28" i="47"/>
  <c r="F32" i="47"/>
  <c r="J35" i="47"/>
  <c r="L25" i="47"/>
  <c r="I24" i="47"/>
  <c r="H32" i="47"/>
  <c r="L29" i="47"/>
  <c r="G24" i="47"/>
  <c r="E26" i="47"/>
  <c r="K37" i="47"/>
  <c r="J31" i="47"/>
  <c r="S23" i="47"/>
  <c r="K33" i="47"/>
  <c r="F24" i="47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I41" i="46"/>
  <c r="E41" i="46"/>
  <c r="H41" i="46"/>
  <c r="D16" i="46"/>
  <c r="G41" i="46"/>
  <c r="F41" i="46"/>
  <c r="F42" i="46" l="1"/>
  <c r="G42" i="46"/>
  <c r="S22" i="46"/>
  <c r="P22" i="46"/>
  <c r="H42" i="46"/>
  <c r="E42" i="46"/>
  <c r="I42" i="46"/>
  <c r="N36" i="45"/>
  <c r="M36" i="45"/>
  <c r="L36" i="45"/>
  <c r="K36" i="45"/>
  <c r="N34" i="45"/>
  <c r="M34" i="45"/>
  <c r="L34" i="45"/>
  <c r="K34" i="45"/>
  <c r="N32" i="45"/>
  <c r="M32" i="45"/>
  <c r="L32" i="45"/>
  <c r="K32" i="45"/>
  <c r="N30" i="45"/>
  <c r="M30" i="45"/>
  <c r="L30" i="45"/>
  <c r="K30" i="45"/>
  <c r="N28" i="45"/>
  <c r="M28" i="45"/>
  <c r="L28" i="45"/>
  <c r="K28" i="45"/>
  <c r="N26" i="45"/>
  <c r="M26" i="45"/>
  <c r="L26" i="45"/>
  <c r="K26" i="45"/>
  <c r="J36" i="45"/>
  <c r="J34" i="45"/>
  <c r="J32" i="45"/>
  <c r="J30" i="45"/>
  <c r="J28" i="45"/>
  <c r="J26" i="45"/>
  <c r="N24" i="45"/>
  <c r="M24" i="45"/>
  <c r="L24" i="45"/>
  <c r="K24" i="45"/>
  <c r="J24" i="45"/>
  <c r="S23" i="46"/>
  <c r="B26" i="45" l="1"/>
  <c r="B27" i="45"/>
  <c r="O7" i="10"/>
  <c r="O6" i="10"/>
  <c r="O5" i="10"/>
  <c r="O4" i="10"/>
  <c r="B24" i="45"/>
  <c r="E19" i="45"/>
  <c r="B13" i="38"/>
  <c r="B2" i="11" a="1"/>
  <c r="G8" i="11" a="1"/>
  <c r="I41" i="45"/>
  <c r="F41" i="45"/>
  <c r="H41" i="45"/>
  <c r="G41" i="45"/>
  <c r="E41" i="45"/>
  <c r="D16" i="45"/>
  <c r="S23" i="45"/>
  <c r="B2" i="11" l="1"/>
  <c r="F2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E3" i="11"/>
  <c r="D4" i="11"/>
  <c r="C5" i="11"/>
  <c r="G8" i="11"/>
  <c r="K8" i="11"/>
  <c r="J9" i="11"/>
  <c r="I10" i="11"/>
  <c r="H11" i="11"/>
  <c r="H9" i="11"/>
  <c r="G10" i="11"/>
  <c r="J11" i="11"/>
  <c r="J8" i="11"/>
  <c r="I9" i="11"/>
  <c r="G11" i="11"/>
  <c r="H8" i="11"/>
  <c r="G9" i="11"/>
  <c r="K9" i="11"/>
  <c r="J10" i="11"/>
  <c r="I11" i="11"/>
  <c r="K10" i="11"/>
  <c r="H10" i="11"/>
  <c r="K11" i="11"/>
  <c r="I8" i="11"/>
  <c r="E42" i="45"/>
  <c r="G42" i="45"/>
  <c r="H42" i="45"/>
  <c r="F42" i="45"/>
  <c r="I42" i="45"/>
  <c r="B25" i="45"/>
  <c r="F16" i="17"/>
  <c r="E16" i="17"/>
  <c r="H16" i="17"/>
  <c r="I16" i="17"/>
  <c r="I15" i="17"/>
  <c r="G16" i="17"/>
  <c r="J15" i="17"/>
  <c r="E15" i="17"/>
  <c r="F15" i="17"/>
  <c r="J16" i="17"/>
  <c r="H15" i="17"/>
  <c r="G15" i="17"/>
  <c r="B28" i="45" l="1"/>
  <c r="N14" i="38"/>
  <c r="C16" i="38"/>
  <c r="H17" i="38"/>
  <c r="C14" i="38"/>
  <c r="H22" i="38"/>
  <c r="H15" i="38"/>
  <c r="F20" i="38"/>
  <c r="G14" i="38"/>
  <c r="F17" i="38"/>
  <c r="F13" i="38"/>
  <c r="G21" i="38"/>
  <c r="G24" i="38"/>
  <c r="E25" i="38"/>
  <c r="F18" i="38"/>
  <c r="F22" i="38"/>
  <c r="E18" i="38"/>
  <c r="G23" i="38"/>
  <c r="H13" i="38"/>
  <c r="E24" i="38"/>
  <c r="G17" i="38"/>
  <c r="C13" i="38"/>
  <c r="F15" i="38"/>
  <c r="C25" i="38"/>
  <c r="C23" i="38"/>
  <c r="H18" i="38"/>
  <c r="E17" i="38"/>
  <c r="C22" i="38"/>
  <c r="E22" i="38"/>
  <c r="G22" i="38"/>
  <c r="F19" i="38"/>
  <c r="F23" i="38"/>
  <c r="D21" i="38"/>
  <c r="H16" i="38"/>
  <c r="C21" i="38"/>
  <c r="C18" i="38"/>
  <c r="C17" i="38"/>
  <c r="E19" i="38"/>
  <c r="D17" i="38"/>
  <c r="E13" i="38"/>
  <c r="D14" i="38"/>
  <c r="H25" i="38"/>
  <c r="E16" i="38"/>
  <c r="F16" i="38"/>
  <c r="N13" i="38"/>
  <c r="H20" i="38"/>
  <c r="D15" i="38"/>
  <c r="C20" i="38"/>
  <c r="H14" i="38"/>
  <c r="H24" i="38"/>
  <c r="E20" i="38"/>
  <c r="G20" i="38"/>
  <c r="D24" i="38"/>
  <c r="G16" i="38"/>
  <c r="F21" i="38"/>
  <c r="E15" i="38"/>
  <c r="D20" i="38"/>
  <c r="E23" i="38"/>
  <c r="F14" i="38"/>
  <c r="D18" i="38"/>
  <c r="G13" i="38"/>
  <c r="D16" i="38"/>
  <c r="H19" i="38"/>
  <c r="E21" i="38"/>
  <c r="G19" i="38"/>
  <c r="G15" i="38"/>
  <c r="D25" i="38"/>
  <c r="D19" i="38"/>
  <c r="C15" i="38"/>
  <c r="G18" i="38"/>
  <c r="C19" i="38"/>
  <c r="C24" i="38"/>
  <c r="G25" i="38"/>
  <c r="D13" i="38"/>
  <c r="E14" i="38"/>
  <c r="H23" i="38"/>
  <c r="F25" i="38"/>
  <c r="D23" i="38"/>
  <c r="F24" i="38"/>
  <c r="D22" i="38"/>
  <c r="H21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18" i="37"/>
  <c r="H18" i="39"/>
  <c r="F18" i="37"/>
  <c r="C26" i="39"/>
  <c r="F26" i="39"/>
  <c r="H26" i="39"/>
  <c r="G18" i="39"/>
  <c r="G26" i="39"/>
  <c r="F18" i="39"/>
  <c r="D18" i="39"/>
  <c r="G18" i="37"/>
  <c r="C18" i="39"/>
  <c r="D18" i="37"/>
  <c r="D26" i="39"/>
  <c r="E26" i="39"/>
  <c r="C18" i="37"/>
  <c r="E18" i="37"/>
  <c r="E18" i="39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D17" i="39"/>
  <c r="C17" i="39"/>
  <c r="C26" i="37"/>
  <c r="G17" i="37"/>
  <c r="H17" i="37"/>
  <c r="F26" i="37"/>
  <c r="G17" i="39"/>
  <c r="H26" i="37"/>
  <c r="E17" i="39"/>
  <c r="H17" i="39"/>
  <c r="E26" i="37"/>
  <c r="G26" i="37"/>
  <c r="D26" i="37"/>
  <c r="F17" i="39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G34" i="39"/>
  <c r="E34" i="39"/>
  <c r="C17" i="37"/>
  <c r="D17" i="37"/>
  <c r="E17" i="37"/>
  <c r="C34" i="39"/>
  <c r="F17" i="37"/>
  <c r="D34" i="39"/>
  <c r="H34" i="39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58" i="2"/>
  <c r="B72" i="2"/>
  <c r="B50" i="2"/>
  <c r="B9" i="2"/>
  <c r="B13" i="2"/>
  <c r="B28" i="2"/>
  <c r="B41" i="2"/>
  <c r="B17" i="2"/>
  <c r="B71" i="2"/>
  <c r="B59" i="2"/>
  <c r="B11" i="2"/>
  <c r="B22" i="2"/>
  <c r="B55" i="2"/>
  <c r="B14" i="2"/>
  <c r="B47" i="2"/>
  <c r="B16" i="2"/>
  <c r="B52" i="2"/>
  <c r="B49" i="2"/>
  <c r="B36" i="2"/>
  <c r="B20" i="2"/>
  <c r="B25" i="2"/>
  <c r="B32" i="2"/>
  <c r="B70" i="2"/>
  <c r="B46" i="2"/>
  <c r="B53" i="2"/>
  <c r="B66" i="2"/>
  <c r="B54" i="2"/>
  <c r="B33" i="2"/>
  <c r="B21" i="2"/>
  <c r="B65" i="2"/>
  <c r="B35" i="2"/>
  <c r="B69" i="2"/>
  <c r="B6" i="2"/>
  <c r="B57" i="2"/>
  <c r="B24" i="2"/>
  <c r="B68" i="2"/>
  <c r="B34" i="2"/>
  <c r="B44" i="2"/>
  <c r="B27" i="2"/>
  <c r="B12" i="2"/>
  <c r="B18" i="2"/>
  <c r="B23" i="2"/>
  <c r="B64" i="2"/>
  <c r="B26" i="2"/>
  <c r="B60" i="2"/>
  <c r="B61" i="2"/>
  <c r="B8" i="2"/>
  <c r="B63" i="2"/>
  <c r="B48" i="2"/>
  <c r="B7" i="2"/>
  <c r="B19" i="2"/>
  <c r="B56" i="2"/>
  <c r="B15" i="2"/>
  <c r="B67" i="2"/>
  <c r="B45" i="2"/>
  <c r="B31" i="2"/>
  <c r="B62" i="2"/>
  <c r="B43" i="2"/>
  <c r="B42" i="2"/>
  <c r="B10" i="2"/>
  <c r="B30" i="2"/>
  <c r="B29" i="2"/>
  <c r="B51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<sst xmlns="http://schemas.openxmlformats.org/spreadsheetml/2006/main" count="681" uniqueCount="324">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</sst>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2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4.25" x14ac:dyDescent="0.45"/>
  <cols>
    <col min="1" max="1" width="6.59765625" customWidth="1"/>
    <col min="2" max="2" width="15.86328125" bestFit="1" customWidth="1"/>
    <col min="3" max="3" width="4.1328125" customWidth="1"/>
    <col min="4" max="4" width="10.1328125" bestFit="1" customWidth="1"/>
    <col min="5" max="5" width="15.86328125" bestFit="1" customWidth="1"/>
    <col min="6" max="6" width="14.86328125" bestFit="1" customWidth="1"/>
    <col min="8" max="8" width="4.73046875" customWidth="1"/>
    <col min="9" max="10" width="13.265625" bestFit="1" customWidth="1"/>
    <col min="27" max="27" width="17.265625" customWidth="1"/>
    <col min="28" max="28" width="15" bestFit="1" customWidth="1"/>
    <col min="31" max="31" width="26.73046875" customWidth="1"/>
    <col min="32" max="32" width="14" bestFit="1" customWidth="1"/>
  </cols>
  <sheetData>
    <row r="1" spans="1:32" x14ac:dyDescent="0.45">
      <c r="A1" s="1" t="s">
        <v>10</v>
      </c>
      <c r="AA1" s="1" t="s">
        <v>14</v>
      </c>
      <c r="AE1" t="s">
        <v>43</v>
      </c>
    </row>
    <row r="2" spans="1:32" x14ac:dyDescent="0.45">
      <c r="A2" t="s">
        <v>19</v>
      </c>
      <c r="AA2" t="s">
        <v>32</v>
      </c>
    </row>
    <row r="3" spans="1:32" x14ac:dyDescent="0.4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2.75" x14ac:dyDescent="0.4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4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4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4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4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4.65" thickBot="1" x14ac:dyDescent="0.5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4" thickBot="1" x14ac:dyDescent="0.5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6.899999999999999" thickBot="1" x14ac:dyDescent="0.5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6.899999999999999" thickBot="1" x14ac:dyDescent="0.5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6.899999999999999" thickBot="1" x14ac:dyDescent="0.5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6.899999999999999" thickBot="1" x14ac:dyDescent="0.5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6.899999999999999" thickBot="1" x14ac:dyDescent="0.5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6.899999999999999" thickBot="1" x14ac:dyDescent="0.5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6.899999999999999" thickBot="1" x14ac:dyDescent="0.5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6.899999999999999" thickBot="1" x14ac:dyDescent="0.5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6.899999999999999" thickBot="1" x14ac:dyDescent="0.5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4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4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4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66.400000000000006" thickBot="1" x14ac:dyDescent="0.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49.9" thickBot="1" x14ac:dyDescent="0.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6.899999999999999" thickBot="1" x14ac:dyDescent="0.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6.899999999999999" thickBot="1" x14ac:dyDescent="0.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4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6.899999999999999" thickBot="1" x14ac:dyDescent="0.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49.9" thickBot="1" x14ac:dyDescent="0.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49.9" thickBot="1" x14ac:dyDescent="0.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49.9" thickBot="1" x14ac:dyDescent="0.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4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4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4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4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4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45">
      <c r="A38" t="s">
        <v>20</v>
      </c>
    </row>
    <row r="39" spans="1:10" x14ac:dyDescent="0.45">
      <c r="A39" s="1" t="s">
        <v>4</v>
      </c>
      <c r="D39" s="1" t="s">
        <v>3</v>
      </c>
      <c r="I39" s="1" t="s">
        <v>8</v>
      </c>
    </row>
    <row r="40" spans="1:10" ht="42.75" x14ac:dyDescent="0.4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4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4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4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4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4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4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4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4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4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4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4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4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4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4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4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4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4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4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4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4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4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4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4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4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4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4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4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4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4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4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4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4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4.25" x14ac:dyDescent="0.45"/>
  <cols>
    <col min="1" max="1" width="18" bestFit="1" customWidth="1"/>
    <col min="2" max="2" width="13.1328125" bestFit="1" customWidth="1"/>
    <col min="3" max="3" width="14.86328125" bestFit="1" customWidth="1"/>
    <col min="4" max="4" width="15.86328125" bestFit="1" customWidth="1"/>
    <col min="5" max="5" width="21.59765625" bestFit="1" customWidth="1"/>
    <col min="6" max="6" width="14.86328125" bestFit="1" customWidth="1"/>
    <col min="8" max="8" width="16" bestFit="1" customWidth="1"/>
  </cols>
  <sheetData>
    <row r="1" spans="1:11" x14ac:dyDescent="0.45">
      <c r="A1" s="1" t="s">
        <v>100</v>
      </c>
      <c r="B1" t="s">
        <v>112</v>
      </c>
      <c r="C1" t="s">
        <v>114</v>
      </c>
    </row>
    <row r="2" spans="1:11" x14ac:dyDescent="0.4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4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45">
      <c r="A4" t="s">
        <v>104</v>
      </c>
      <c r="B4" t="s">
        <v>105</v>
      </c>
      <c r="J4">
        <v>3000</v>
      </c>
      <c r="K4">
        <v>78</v>
      </c>
    </row>
    <row r="5" spans="1:11" x14ac:dyDescent="0.45">
      <c r="A5" t="s">
        <v>107</v>
      </c>
      <c r="B5">
        <v>2</v>
      </c>
    </row>
    <row r="6" spans="1:11" x14ac:dyDescent="0.45">
      <c r="A6" t="s">
        <v>108</v>
      </c>
      <c r="B6">
        <v>2</v>
      </c>
      <c r="D6" t="s">
        <v>111</v>
      </c>
    </row>
    <row r="7" spans="1:11" x14ac:dyDescent="0.4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4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4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45">
      <c r="H10" s="25"/>
    </row>
    <row r="11" spans="1:11" ht="28.5" x14ac:dyDescent="0.4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4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45">
      <c r="G13" s="22"/>
      <c r="H13" s="25"/>
    </row>
    <row r="14" spans="1:11" x14ac:dyDescent="0.45">
      <c r="A14" t="s">
        <v>127</v>
      </c>
      <c r="B14" t="s">
        <v>128</v>
      </c>
      <c r="C14" t="s">
        <v>130</v>
      </c>
      <c r="G14" s="22"/>
      <c r="H14" s="25"/>
    </row>
    <row r="15" spans="1:11" x14ac:dyDescent="0.45">
      <c r="B15">
        <v>300</v>
      </c>
      <c r="C15">
        <f xml:space="preserve"> (3+1) * 2 + (8+1)*2</f>
        <v>26</v>
      </c>
      <c r="G15" s="22"/>
      <c r="H15" s="25"/>
    </row>
    <row r="17" spans="1:4" x14ac:dyDescent="0.45">
      <c r="A17" s="1" t="s">
        <v>131</v>
      </c>
      <c r="D17" s="22">
        <f>D3</f>
        <v>3000</v>
      </c>
    </row>
    <row r="18" spans="1:4" x14ac:dyDescent="0.45">
      <c r="C18" t="s">
        <v>123</v>
      </c>
      <c r="D18" t="s">
        <v>113</v>
      </c>
    </row>
    <row r="19" spans="1:4" x14ac:dyDescent="0.4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45">
      <c r="A20" t="s">
        <v>124</v>
      </c>
      <c r="D20" s="7">
        <f>H9 + 100000</f>
        <v>630400</v>
      </c>
    </row>
    <row r="21" spans="1:4" x14ac:dyDescent="0.45">
      <c r="A21" t="s">
        <v>122</v>
      </c>
      <c r="D21" s="26">
        <f>H12</f>
        <v>2121600</v>
      </c>
    </row>
    <row r="22" spans="1:4" x14ac:dyDescent="0.45">
      <c r="A22" t="s">
        <v>125</v>
      </c>
      <c r="D22" s="26">
        <v>200000</v>
      </c>
    </row>
    <row r="23" spans="1:4" x14ac:dyDescent="0.4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45">
      <c r="C24" t="s">
        <v>85</v>
      </c>
      <c r="D24" s="26">
        <f>SUM(D19:D23)</f>
        <v>4167486.1115999999</v>
      </c>
    </row>
    <row r="25" spans="1:4" x14ac:dyDescent="0.45">
      <c r="C25" t="s">
        <v>133</v>
      </c>
      <c r="D25" s="27">
        <v>0.25</v>
      </c>
    </row>
    <row r="26" spans="1:4" x14ac:dyDescent="0.45">
      <c r="C26" t="s">
        <v>134</v>
      </c>
      <c r="D26" s="7">
        <f>D24/(1-D25)</f>
        <v>5556648.1487999996</v>
      </c>
    </row>
    <row r="27" spans="1:4" x14ac:dyDescent="0.4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8" width="13.265625" bestFit="1" customWidth="1"/>
    <col min="9" max="10" width="15" bestFit="1" customWidth="1"/>
  </cols>
  <sheetData>
    <row r="1" spans="1:10" x14ac:dyDescent="0.45">
      <c r="A1" s="1" t="s">
        <v>205</v>
      </c>
    </row>
    <row r="2" spans="1:10" x14ac:dyDescent="0.45">
      <c r="A2" t="s">
        <v>221</v>
      </c>
      <c r="B2" s="31">
        <v>43609</v>
      </c>
    </row>
    <row r="3" spans="1:10" x14ac:dyDescent="0.45">
      <c r="B3" t="s">
        <v>138</v>
      </c>
      <c r="C3" t="s">
        <v>209</v>
      </c>
    </row>
    <row r="4" spans="1:10" x14ac:dyDescent="0.45">
      <c r="A4" t="s">
        <v>208</v>
      </c>
      <c r="B4">
        <v>29.7</v>
      </c>
      <c r="C4">
        <v>21</v>
      </c>
    </row>
    <row r="5" spans="1:10" ht="28.5" x14ac:dyDescent="0.45">
      <c r="A5" t="s">
        <v>206</v>
      </c>
      <c r="B5" s="1" t="s">
        <v>207</v>
      </c>
      <c r="E5" s="2" t="s">
        <v>231</v>
      </c>
    </row>
    <row r="6" spans="1:10" x14ac:dyDescent="0.45">
      <c r="A6" t="s">
        <v>219</v>
      </c>
      <c r="D6" s="1">
        <v>2</v>
      </c>
      <c r="E6">
        <v>2</v>
      </c>
    </row>
    <row r="7" spans="1:10" x14ac:dyDescent="0.45">
      <c r="A7" t="s">
        <v>135</v>
      </c>
      <c r="D7" s="33">
        <v>0.75</v>
      </c>
      <c r="E7" s="34" t="s">
        <v>233</v>
      </c>
    </row>
    <row r="8" spans="1:10" x14ac:dyDescent="0.45">
      <c r="B8" t="s">
        <v>215</v>
      </c>
      <c r="C8" t="s">
        <v>216</v>
      </c>
      <c r="D8" t="s">
        <v>218</v>
      </c>
      <c r="E8" t="s">
        <v>217</v>
      </c>
    </row>
    <row r="9" spans="1:10" x14ac:dyDescent="0.4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45">
      <c r="E10" s="7"/>
    </row>
    <row r="12" spans="1:10" x14ac:dyDescent="0.4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28.5" x14ac:dyDescent="0.4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28.5" x14ac:dyDescent="0.4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4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4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x14ac:dyDescent="0.4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x14ac:dyDescent="0.4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4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4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4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x14ac:dyDescent="0.4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x14ac:dyDescent="0.4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45">
      <c r="A24" s="2"/>
    </row>
    <row r="25" spans="1:10" x14ac:dyDescent="0.4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4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4.25" x14ac:dyDescent="0.45"/>
  <cols>
    <col min="3" max="3" width="10.59765625" bestFit="1" customWidth="1"/>
    <col min="4" max="4" width="7" bestFit="1" customWidth="1"/>
    <col min="6" max="6" width="12.1328125" bestFit="1" customWidth="1"/>
  </cols>
  <sheetData>
    <row r="2" spans="2:11" x14ac:dyDescent="0.4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4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4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4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45">
      <c r="G7" t="s">
        <v>234</v>
      </c>
    </row>
    <row r="8" spans="2:11" x14ac:dyDescent="0.4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4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4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4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4.25" x14ac:dyDescent="0.45"/>
  <cols>
    <col min="1" max="1" width="20" bestFit="1" customWidth="1"/>
    <col min="2" max="2" width="17.59765625" customWidth="1"/>
    <col min="3" max="3" width="14.86328125" bestFit="1" customWidth="1"/>
    <col min="4" max="4" width="15.86328125" bestFit="1" customWidth="1"/>
    <col min="5" max="5" width="18.265625" bestFit="1" customWidth="1"/>
    <col min="6" max="6" width="15" bestFit="1" customWidth="1"/>
    <col min="7" max="8" width="15.86328125" bestFit="1" customWidth="1"/>
    <col min="9" max="10" width="15" bestFit="1" customWidth="1"/>
    <col min="14" max="14" width="13.265625" bestFit="1" customWidth="1"/>
  </cols>
  <sheetData>
    <row r="1" spans="1:14" x14ac:dyDescent="0.45">
      <c r="A1" s="1" t="s">
        <v>260</v>
      </c>
    </row>
    <row r="2" spans="1:14" x14ac:dyDescent="0.45">
      <c r="A2" t="s">
        <v>221</v>
      </c>
      <c r="B2" s="31">
        <v>43609</v>
      </c>
    </row>
    <row r="3" spans="1:14" x14ac:dyDescent="0.45">
      <c r="B3" t="s">
        <v>138</v>
      </c>
      <c r="C3" t="s">
        <v>139</v>
      </c>
    </row>
    <row r="4" spans="1:14" x14ac:dyDescent="0.45">
      <c r="A4" t="s">
        <v>208</v>
      </c>
      <c r="B4">
        <v>21</v>
      </c>
      <c r="C4">
        <v>29.7</v>
      </c>
    </row>
    <row r="5" spans="1:14" ht="28.5" x14ac:dyDescent="0.45">
      <c r="A5" t="s">
        <v>206</v>
      </c>
      <c r="B5" s="1" t="s">
        <v>207</v>
      </c>
      <c r="E5" s="2" t="s">
        <v>231</v>
      </c>
    </row>
    <row r="6" spans="1:14" x14ac:dyDescent="0.45">
      <c r="A6" t="s">
        <v>219</v>
      </c>
      <c r="D6" s="1">
        <v>2</v>
      </c>
      <c r="E6">
        <v>2</v>
      </c>
    </row>
    <row r="7" spans="1:14" x14ac:dyDescent="0.45">
      <c r="A7" t="s">
        <v>135</v>
      </c>
      <c r="D7" s="33">
        <v>0.75</v>
      </c>
      <c r="E7" s="34" t="s">
        <v>233</v>
      </c>
    </row>
    <row r="8" spans="1:14" x14ac:dyDescent="0.45">
      <c r="B8" t="s">
        <v>215</v>
      </c>
      <c r="C8" t="s">
        <v>216</v>
      </c>
      <c r="D8" t="s">
        <v>218</v>
      </c>
      <c r="E8" t="s">
        <v>217</v>
      </c>
    </row>
    <row r="9" spans="1:14" x14ac:dyDescent="0.4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45">
      <c r="E10" s="7"/>
      <c r="J10" t="s">
        <v>284</v>
      </c>
    </row>
    <row r="11" spans="1:14" x14ac:dyDescent="0.45">
      <c r="J11" s="37">
        <f>$E$9/2</f>
        <v>450.625</v>
      </c>
    </row>
    <row r="12" spans="1:14" ht="42.75" x14ac:dyDescent="0.4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4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4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4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4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4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4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4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4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4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4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4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4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4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4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4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45">
      <c r="A28" s="2">
        <f t="shared" si="3"/>
        <v>68</v>
      </c>
    </row>
    <row r="29" spans="1:8" x14ac:dyDescent="0.45">
      <c r="A29" s="2">
        <f t="shared" si="3"/>
        <v>72</v>
      </c>
    </row>
    <row r="30" spans="1:8" x14ac:dyDescent="0.45">
      <c r="A30" s="2">
        <f t="shared" si="3"/>
        <v>76</v>
      </c>
    </row>
    <row r="31" spans="1:8" x14ac:dyDescent="0.45">
      <c r="A31" s="2">
        <f t="shared" si="3"/>
        <v>80</v>
      </c>
    </row>
    <row r="32" spans="1:8" x14ac:dyDescent="0.45">
      <c r="A32" s="2">
        <f t="shared" si="3"/>
        <v>84</v>
      </c>
    </row>
    <row r="33" spans="1:1" x14ac:dyDescent="0.45">
      <c r="A33" s="2">
        <f t="shared" si="3"/>
        <v>88</v>
      </c>
    </row>
    <row r="34" spans="1:1" x14ac:dyDescent="0.45">
      <c r="A34" s="2">
        <f t="shared" si="3"/>
        <v>92</v>
      </c>
    </row>
    <row r="35" spans="1:1" x14ac:dyDescent="0.45">
      <c r="A35" s="2">
        <f t="shared" si="3"/>
        <v>96</v>
      </c>
    </row>
    <row r="36" spans="1:1" x14ac:dyDescent="0.45">
      <c r="A36" s="2">
        <f t="shared" si="3"/>
        <v>100</v>
      </c>
    </row>
    <row r="37" spans="1:1" x14ac:dyDescent="0.45">
      <c r="A37" s="2"/>
    </row>
    <row r="38" spans="1:1" x14ac:dyDescent="0.45">
      <c r="A38" s="2"/>
    </row>
    <row r="39" spans="1:1" x14ac:dyDescent="0.45">
      <c r="A39" s="2"/>
    </row>
    <row r="40" spans="1:1" x14ac:dyDescent="0.45">
      <c r="A40" s="2"/>
    </row>
    <row r="41" spans="1:1" x14ac:dyDescent="0.45">
      <c r="A41" s="2"/>
    </row>
    <row r="42" spans="1:1" x14ac:dyDescent="0.45">
      <c r="A42" s="2"/>
    </row>
    <row r="43" spans="1:1" x14ac:dyDescent="0.45">
      <c r="A43" s="2"/>
    </row>
    <row r="44" spans="1:1" x14ac:dyDescent="0.45">
      <c r="A44" s="2"/>
    </row>
    <row r="45" spans="1:1" x14ac:dyDescent="0.45">
      <c r="A45" s="2"/>
    </row>
    <row r="46" spans="1:1" x14ac:dyDescent="0.45">
      <c r="A46" s="2"/>
    </row>
    <row r="47" spans="1:1" x14ac:dyDescent="0.45">
      <c r="A47" s="2"/>
    </row>
    <row r="48" spans="1:1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2"/>
    </row>
    <row r="54" spans="1:1" x14ac:dyDescent="0.4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4.25" x14ac:dyDescent="0.45"/>
  <cols>
    <col min="1" max="1" width="22.3984375" bestFit="1" customWidth="1"/>
    <col min="2" max="2" width="13.265625" bestFit="1" customWidth="1"/>
    <col min="3" max="3" width="14.265625" bestFit="1" customWidth="1"/>
    <col min="4" max="4" width="15.86328125" bestFit="1" customWidth="1"/>
    <col min="5" max="5" width="18.265625" bestFit="1" customWidth="1"/>
    <col min="6" max="6" width="16.73046875" bestFit="1" customWidth="1"/>
    <col min="7" max="10" width="15" bestFit="1" customWidth="1"/>
  </cols>
  <sheetData>
    <row r="1" spans="1:8" x14ac:dyDescent="0.45">
      <c r="A1" s="1" t="s">
        <v>253</v>
      </c>
      <c r="B1" t="s">
        <v>261</v>
      </c>
    </row>
    <row r="2" spans="1:8" x14ac:dyDescent="0.45">
      <c r="A2" t="s">
        <v>221</v>
      </c>
      <c r="B2" s="31">
        <v>43609</v>
      </c>
    </row>
    <row r="3" spans="1:8" x14ac:dyDescent="0.45">
      <c r="B3" t="s">
        <v>138</v>
      </c>
      <c r="C3" t="s">
        <v>139</v>
      </c>
    </row>
    <row r="4" spans="1:8" x14ac:dyDescent="0.45">
      <c r="A4" t="s">
        <v>208</v>
      </c>
      <c r="B4">
        <v>30</v>
      </c>
      <c r="C4">
        <v>42</v>
      </c>
    </row>
    <row r="5" spans="1:8" ht="28.5" x14ac:dyDescent="0.4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45">
      <c r="A6" t="s">
        <v>219</v>
      </c>
      <c r="D6" s="1">
        <v>1</v>
      </c>
      <c r="E6">
        <v>2</v>
      </c>
    </row>
    <row r="7" spans="1:8" x14ac:dyDescent="0.45">
      <c r="A7" t="s">
        <v>135</v>
      </c>
      <c r="D7" s="33">
        <v>0.75</v>
      </c>
      <c r="E7" s="34" t="s">
        <v>233</v>
      </c>
    </row>
    <row r="8" spans="1:8" x14ac:dyDescent="0.4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4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4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45">
      <c r="E11" s="7"/>
    </row>
    <row r="12" spans="1:8" x14ac:dyDescent="0.45">
      <c r="E12" s="7"/>
    </row>
    <row r="14" spans="1:8" x14ac:dyDescent="0.4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28.5" x14ac:dyDescent="0.4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28.5" x14ac:dyDescent="0.4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28.5" x14ac:dyDescent="0.4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x14ac:dyDescent="0.45">
      <c r="A18" s="2" t="s">
        <v>267</v>
      </c>
      <c r="C18" s="32">
        <f t="shared" ref="C18:H18" si="3">PhiMayCanMang(C$15, $C$5/100, $D$5/100)</f>
        <v>74627.451000000001</v>
      </c>
      <c r="D18" s="32">
        <f t="shared" si="3"/>
        <v>75662.745200000005</v>
      </c>
      <c r="E18" s="32">
        <f t="shared" si="3"/>
        <v>79027.451000000001</v>
      </c>
      <c r="F18" s="32">
        <f t="shared" si="3"/>
        <v>84462.745200000005</v>
      </c>
      <c r="G18" s="32">
        <f t="shared" si="3"/>
        <v>90156.862800000003</v>
      </c>
      <c r="H18" s="32">
        <f t="shared" si="3"/>
        <v>95592.156900000002</v>
      </c>
    </row>
    <row r="19" spans="1:8" ht="28.5" x14ac:dyDescent="0.4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4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4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45">
      <c r="A22" s="2"/>
      <c r="C22" s="25"/>
      <c r="D22" s="25"/>
      <c r="E22" s="25"/>
      <c r="F22" s="25"/>
      <c r="G22" s="25"/>
      <c r="H22" s="25"/>
    </row>
    <row r="23" spans="1:8" ht="28.5" x14ac:dyDescent="0.45">
      <c r="A23" s="2" t="s">
        <v>268</v>
      </c>
      <c r="C23" s="25">
        <f t="shared" ref="C23:H23" si="7" xml:space="preserve"> (C$17+C$18+C$20)*(1+$D$7)</f>
        <v>285721.53925000003</v>
      </c>
      <c r="D23" s="25">
        <f t="shared" si="7"/>
        <v>335751.63737499999</v>
      </c>
      <c r="E23" s="25">
        <f t="shared" si="7"/>
        <v>486294.87252500001</v>
      </c>
      <c r="F23" s="25">
        <f t="shared" si="7"/>
        <v>736898.30410000007</v>
      </c>
      <c r="G23" s="25">
        <f t="shared" si="7"/>
        <v>987954.67645000003</v>
      </c>
      <c r="H23" s="25">
        <f t="shared" si="7"/>
        <v>1238558.10785</v>
      </c>
    </row>
    <row r="24" spans="1:8" ht="28.5" x14ac:dyDescent="0.4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45">
      <c r="A25" s="2"/>
    </row>
    <row r="26" spans="1:8" x14ac:dyDescent="0.4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4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45">
      <c r="A28" s="2"/>
      <c r="C28" s="7"/>
      <c r="D28" s="7"/>
      <c r="E28" s="7"/>
      <c r="F28" s="7"/>
      <c r="G28" s="7"/>
      <c r="H28" s="7"/>
    </row>
    <row r="29" spans="1:8" ht="28.5" x14ac:dyDescent="0.45">
      <c r="A29" s="2" t="s">
        <v>270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4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4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28.5" x14ac:dyDescent="0.45">
      <c r="A34" s="2" t="s">
        <v>272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4.25" x14ac:dyDescent="0.45"/>
  <cols>
    <col min="1" max="1" width="22.3984375" bestFit="1" customWidth="1"/>
    <col min="2" max="2" width="15.265625" customWidth="1"/>
    <col min="3" max="3" width="14.265625" bestFit="1" customWidth="1"/>
    <col min="4" max="4" width="15.86328125" bestFit="1" customWidth="1"/>
    <col min="5" max="5" width="18.265625" bestFit="1" customWidth="1"/>
    <col min="6" max="6" width="16.73046875" bestFit="1" customWidth="1"/>
    <col min="7" max="10" width="15" bestFit="1" customWidth="1"/>
  </cols>
  <sheetData>
    <row r="1" spans="1:8" x14ac:dyDescent="0.45">
      <c r="A1" s="1" t="s">
        <v>273</v>
      </c>
      <c r="B1" t="s">
        <v>86</v>
      </c>
    </row>
    <row r="2" spans="1:8" x14ac:dyDescent="0.45">
      <c r="A2" t="s">
        <v>221</v>
      </c>
      <c r="B2" s="31">
        <v>43609</v>
      </c>
    </row>
    <row r="3" spans="1:8" x14ac:dyDescent="0.45">
      <c r="B3" t="s">
        <v>138</v>
      </c>
      <c r="C3" t="s">
        <v>139</v>
      </c>
    </row>
    <row r="4" spans="1:8" x14ac:dyDescent="0.45">
      <c r="A4" t="s">
        <v>208</v>
      </c>
      <c r="B4">
        <v>30</v>
      </c>
      <c r="C4">
        <v>42</v>
      </c>
    </row>
    <row r="5" spans="1:8" ht="28.5" x14ac:dyDescent="0.4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45">
      <c r="A6" t="s">
        <v>219</v>
      </c>
      <c r="D6" s="1">
        <v>1</v>
      </c>
      <c r="E6">
        <v>2</v>
      </c>
    </row>
    <row r="7" spans="1:8" x14ac:dyDescent="0.45">
      <c r="A7" t="s">
        <v>135</v>
      </c>
      <c r="D7" s="33">
        <v>0.75</v>
      </c>
      <c r="E7" s="34" t="s">
        <v>233</v>
      </c>
    </row>
    <row r="8" spans="1:8" x14ac:dyDescent="0.4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4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4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45">
      <c r="E11" s="7"/>
    </row>
    <row r="12" spans="1:8" x14ac:dyDescent="0.45">
      <c r="E12" s="7"/>
    </row>
    <row r="14" spans="1:8" x14ac:dyDescent="0.4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28.5" x14ac:dyDescent="0.4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28.5" x14ac:dyDescent="0.4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28.5" x14ac:dyDescent="0.4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x14ac:dyDescent="0.45">
      <c r="A18" s="2" t="s">
        <v>267</v>
      </c>
      <c r="C18" s="32">
        <f t="shared" ref="C18:H18" si="3">PhiMayCanMang(C$15, $C$5/100, $D$5/100)</f>
        <v>74627.451000000001</v>
      </c>
      <c r="D18" s="32">
        <f t="shared" si="3"/>
        <v>75921.568700000003</v>
      </c>
      <c r="E18" s="32">
        <f t="shared" si="3"/>
        <v>79545.098100000003</v>
      </c>
      <c r="F18" s="32">
        <f t="shared" si="3"/>
        <v>85498.039300000004</v>
      </c>
      <c r="G18" s="32">
        <f t="shared" si="3"/>
        <v>91709.804000000004</v>
      </c>
      <c r="H18" s="32">
        <f t="shared" si="3"/>
        <v>97662.745200000005</v>
      </c>
    </row>
    <row r="19" spans="1:8" ht="28.5" x14ac:dyDescent="0.4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4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4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45">
      <c r="A22" s="2"/>
      <c r="C22" s="25"/>
      <c r="D22" s="25"/>
      <c r="E22" s="25"/>
      <c r="F22" s="25"/>
      <c r="G22" s="25"/>
      <c r="H22" s="25"/>
    </row>
    <row r="23" spans="1:8" ht="28.5" x14ac:dyDescent="0.4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45">
      <c r="A24" s="2"/>
      <c r="C24" s="25"/>
      <c r="D24" s="25"/>
      <c r="E24" s="25"/>
      <c r="F24" s="25"/>
      <c r="G24" s="25"/>
      <c r="H24" s="25"/>
    </row>
    <row r="25" spans="1:8" x14ac:dyDescent="0.45">
      <c r="A25" s="2"/>
    </row>
    <row r="26" spans="1:8" x14ac:dyDescent="0.4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4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45">
      <c r="A28" s="2"/>
      <c r="C28" s="7"/>
      <c r="D28" s="7"/>
      <c r="E28" s="7"/>
      <c r="F28" s="7"/>
      <c r="G28" s="7"/>
      <c r="H28" s="7"/>
    </row>
    <row r="29" spans="1:8" ht="28.5" x14ac:dyDescent="0.4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45">
      <c r="A30" s="2"/>
      <c r="C30" s="7"/>
      <c r="D30" s="7"/>
      <c r="E30" s="7"/>
      <c r="F30" s="7"/>
      <c r="G30" s="7"/>
      <c r="H30" s="7"/>
    </row>
    <row r="33" spans="1:8" x14ac:dyDescent="0.45">
      <c r="A33" s="2"/>
      <c r="C33" s="7"/>
      <c r="D33" s="7"/>
      <c r="E33" s="7"/>
      <c r="F33" s="7"/>
      <c r="G33" s="7"/>
      <c r="H33" s="7"/>
    </row>
    <row r="34" spans="1:8" ht="28.5" x14ac:dyDescent="0.4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G16" workbookViewId="0">
      <selection activeCell="J24" sqref="J24:N37"/>
    </sheetView>
  </sheetViews>
  <sheetFormatPr defaultRowHeight="14.25" x14ac:dyDescent="0.45"/>
  <cols>
    <col min="1" max="1" width="20" bestFit="1" customWidth="1"/>
    <col min="2" max="2" width="11.59765625" customWidth="1"/>
    <col min="3" max="3" width="14.86328125" bestFit="1" customWidth="1"/>
    <col min="4" max="4" width="15.86328125" bestFit="1" customWidth="1"/>
    <col min="5" max="5" width="18.265625" bestFit="1" customWidth="1"/>
    <col min="6" max="6" width="15" bestFit="1" customWidth="1"/>
    <col min="7" max="8" width="15.86328125" bestFit="1" customWidth="1"/>
    <col min="9" max="9" width="15" bestFit="1" customWidth="1"/>
    <col min="10" max="12" width="13.265625" bestFit="1" customWidth="1"/>
    <col min="13" max="14" width="14.86328125" bestFit="1" customWidth="1"/>
    <col min="18" max="18" width="14.1328125" bestFit="1" customWidth="1"/>
  </cols>
  <sheetData>
    <row r="1" spans="1:5" x14ac:dyDescent="0.45">
      <c r="A1" t="s">
        <v>288</v>
      </c>
    </row>
    <row r="2" spans="1:5" x14ac:dyDescent="0.45">
      <c r="A2" t="s">
        <v>285</v>
      </c>
      <c r="B2" t="s">
        <v>289</v>
      </c>
    </row>
    <row r="3" spans="1:5" x14ac:dyDescent="0.45">
      <c r="A3" t="s">
        <v>290</v>
      </c>
      <c r="B3" t="s">
        <v>80</v>
      </c>
    </row>
    <row r="4" spans="1:5" x14ac:dyDescent="0.45">
      <c r="A4" t="s">
        <v>214</v>
      </c>
      <c r="B4" t="s">
        <v>291</v>
      </c>
    </row>
    <row r="5" spans="1:5" x14ac:dyDescent="0.45">
      <c r="A5" t="s">
        <v>286</v>
      </c>
      <c r="B5" t="s">
        <v>292</v>
      </c>
    </row>
    <row r="6" spans="1:5" x14ac:dyDescent="0.45">
      <c r="A6" t="s">
        <v>293</v>
      </c>
      <c r="B6" t="s">
        <v>294</v>
      </c>
    </row>
    <row r="9" spans="1:5" x14ac:dyDescent="0.45">
      <c r="A9" s="1" t="s">
        <v>287</v>
      </c>
      <c r="B9" t="s">
        <v>302</v>
      </c>
    </row>
    <row r="10" spans="1:5" x14ac:dyDescent="0.45">
      <c r="A10" t="s">
        <v>221</v>
      </c>
      <c r="B10" s="31">
        <v>43609</v>
      </c>
    </row>
    <row r="11" spans="1:5" x14ac:dyDescent="0.45">
      <c r="B11" t="s">
        <v>138</v>
      </c>
      <c r="C11" t="s">
        <v>139</v>
      </c>
    </row>
    <row r="12" spans="1:5" x14ac:dyDescent="0.45">
      <c r="A12" t="s">
        <v>208</v>
      </c>
      <c r="D12" t="s">
        <v>300</v>
      </c>
    </row>
    <row r="13" spans="1:5" x14ac:dyDescent="0.45">
      <c r="A13" t="s">
        <v>299</v>
      </c>
      <c r="B13">
        <v>10</v>
      </c>
      <c r="C13">
        <v>19</v>
      </c>
      <c r="D13">
        <v>0.3</v>
      </c>
    </row>
    <row r="15" spans="1:5" ht="28.5" x14ac:dyDescent="0.4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4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45">
      <c r="A17" t="s">
        <v>135</v>
      </c>
      <c r="D17" s="33">
        <v>0.75</v>
      </c>
      <c r="E17" s="34" t="s">
        <v>233</v>
      </c>
    </row>
    <row r="18" spans="1:20" x14ac:dyDescent="0.45">
      <c r="B18" t="s">
        <v>215</v>
      </c>
      <c r="C18" t="s">
        <v>216</v>
      </c>
      <c r="D18" t="s">
        <v>218</v>
      </c>
      <c r="E18" t="s">
        <v>217</v>
      </c>
    </row>
    <row r="19" spans="1:20" x14ac:dyDescent="0.4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45">
      <c r="E20" s="7"/>
    </row>
    <row r="21" spans="1:20" ht="42.75" x14ac:dyDescent="0.4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4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2.75" x14ac:dyDescent="0.4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78250.980500000005</v>
      </c>
    </row>
    <row r="24" spans="1:20" x14ac:dyDescent="0.4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4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317000</v>
      </c>
      <c r="K25" s="40">
        <f>LamChanHangNgan((PhiInKM4M_BHR70($A25*F$23/$D$16*$E$16)+$A24*F$23/$D$16*$D$19+PhiMayCanMang($A25*F$23/$D$16*2, $C$15/100,$D$15/100))*(1+$D$17))</f>
        <v>420000</v>
      </c>
      <c r="L25" s="40">
        <f>LamChanHangNgan((PhiInKM4M_BHR70($A25*G$23/$D$16*$E$16)+$A24*G$23/$D$16*$D$19+PhiMayCanMang($A25*G$23/$D$16*2, $C$15/100,$D$15/100))*(1+$D$17))</f>
        <v>521000</v>
      </c>
      <c r="M25" s="40">
        <f>LamChanHangNgan((PhiInKM4M_BHR70($A25*H$23/$D$16*$E$16)+$A24*H$23/$D$16*$D$19+PhiMayCanMang($A25*H$23/$D$16*2, $C$15/100,$D$15/100))*(1+$D$17))</f>
        <v>623000</v>
      </c>
      <c r="N25" s="40">
        <f>LamChanHangNgan((PhiInKM4M_BHR70($A25*I$23/$D$16*$E$16)+$A24*I$23/$D$16*$D$19+PhiMayCanMang($A25*I$23/$D$16*2, $C$15/100,$D$15/100))*(1+$D$17))</f>
        <v>726000</v>
      </c>
    </row>
    <row r="26" spans="1:20" x14ac:dyDescent="0.4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4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335000</v>
      </c>
      <c r="K27" s="40">
        <f>LamChanHangNgan((PhiInKM4M_BHR70($A27*F$23/$D$16*$E$16)+$A26*F$23/$D$16*$D$19+PhiMayCanMang($A27*F$23/$D$16*2, $C$15/100,$D$15/100))*(1+$D$17))</f>
        <v>453000</v>
      </c>
      <c r="L27" s="40">
        <f>LamChanHangNgan((PhiInKM4M_BHR70($A27*G$23/$D$16*$E$16)+$A26*G$23/$D$16*$D$19+PhiMayCanMang($A27*G$23/$D$16*2, $C$15/100,$D$15/100))*(1+$D$17))</f>
        <v>573000</v>
      </c>
      <c r="M27" s="40">
        <f>LamChanHangNgan((PhiInKM4M_BHR70($A27*H$23/$D$16*$E$16)+$A26*H$23/$D$16*$D$19+PhiMayCanMang($A27*H$23/$D$16*2, $C$15/100,$D$15/100))*(1+$D$17))</f>
        <v>692000</v>
      </c>
      <c r="N27" s="40">
        <f>LamChanHangNgan((PhiInKM4M_BHR70($A27*I$23/$D$16*$E$16)+$A26*I$23/$D$16*$D$19+PhiMayCanMang($A27*I$23/$D$16*2, $C$15/100,$D$15/100))*(1+$D$17))</f>
        <v>810000</v>
      </c>
    </row>
    <row r="28" spans="1:20" x14ac:dyDescent="0.4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4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351000</v>
      </c>
      <c r="K29" s="40">
        <f>LamChanHangNgan((PhiInKM4M_BHR70($A29*F$23/$D$16*$E$16)+$A28*F$23/$D$16*$D$19+PhiMayCanMang($A29*F$23/$D$16*2, $C$15/100,$D$15/100))*(1+$D$17))</f>
        <v>488000</v>
      </c>
      <c r="L29" s="40">
        <f>LamChanHangNgan((PhiInKM4M_BHR70($A29*G$23/$D$16*$E$16)+$A28*G$23/$D$16*$D$19+PhiMayCanMang($A29*G$23/$D$16*2, $C$15/100,$D$15/100))*(1+$D$17))</f>
        <v>623000</v>
      </c>
      <c r="M29" s="40">
        <f>LamChanHangNgan((PhiInKM4M_BHR70($A29*H$23/$D$16*$E$16)+$A28*H$23/$D$16*$D$19+PhiMayCanMang($A29*H$23/$D$16*2, $C$15/100,$D$15/100))*(1+$D$17))</f>
        <v>759000</v>
      </c>
      <c r="N29" s="40">
        <f>LamChanHangNgan((PhiInKM4M_BHR70($A29*I$23/$D$16*$E$16)+$A28*I$23/$D$16*$D$19+PhiMayCanMang($A29*I$23/$D$16*2, $C$15/100,$D$15/100))*(1+$D$17))</f>
        <v>896000</v>
      </c>
    </row>
    <row r="30" spans="1:20" x14ac:dyDescent="0.4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4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368000</v>
      </c>
      <c r="K31" s="40">
        <f>LamChanHangNgan((PhiInKM4M_BHR70($A31*F$23/$D$16*$E$16)+$A30*F$23/$D$16*$D$19+PhiMayCanMang($A31*F$23/$D$16*2, $C$15/100,$D$15/100))*(1+$D$17))</f>
        <v>521000</v>
      </c>
      <c r="L31" s="40">
        <f>LamChanHangNgan((PhiInKM4M_BHR70($A31*G$23/$D$16*$E$16)+$A30*G$23/$D$16*$D$19+PhiMayCanMang($A31*G$23/$D$16*2, $C$15/100,$D$15/100))*(1+$D$17))</f>
        <v>675000</v>
      </c>
      <c r="M31" s="40">
        <f>LamChanHangNgan((PhiInKM4M_BHR70($A31*H$23/$D$16*$E$16)+$A30*H$23/$D$16*$D$19+PhiMayCanMang($A31*H$23/$D$16*2, $C$15/100,$D$15/100))*(1+$D$17))</f>
        <v>828000</v>
      </c>
      <c r="N31" s="40">
        <f>LamChanHangNgan((PhiInKM4M_BHR70($A31*I$23/$D$16*$E$16)+$A30*I$23/$D$16*$D$19+PhiMayCanMang($A31*I$23/$D$16*2, $C$15/100,$D$15/100))*(1+$D$17))</f>
        <v>981000</v>
      </c>
    </row>
    <row r="32" spans="1:20" x14ac:dyDescent="0.4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4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386000</v>
      </c>
      <c r="K33" s="40">
        <f>LamChanHangNgan((PhiInKM4M_BHR70($A33*F$23/$D$16*$E$16)+$A32*F$23/$D$16*$D$19+PhiMayCanMang($A33*F$23/$D$16*2, $C$15/100,$D$15/100))*(1+$D$17))</f>
        <v>555000</v>
      </c>
      <c r="L33" s="40">
        <f>LamChanHangNgan((PhiInKM4M_BHR70($A33*G$23/$D$16*$E$16)+$A32*G$23/$D$16*$D$19+PhiMayCanMang($A33*G$23/$D$16*2, $C$15/100,$D$15/100))*(1+$D$17))</f>
        <v>726000</v>
      </c>
      <c r="M33" s="40">
        <f>LamChanHangNgan((PhiInKM4M_BHR70($A33*H$23/$D$16*$E$16)+$A32*H$23/$D$16*$D$19+PhiMayCanMang($A33*H$23/$D$16*2, $C$15/100,$D$15/100))*(1+$D$17))</f>
        <v>896000</v>
      </c>
      <c r="N33" s="40">
        <f>LamChanHangNgan((PhiInKM4M_BHR70($A33*I$23/$D$16*$E$16)+$A32*I$23/$D$16*$D$19+PhiMayCanMang($A33*I$23/$D$16*2, $C$15/100,$D$15/100))*(1+$D$17))</f>
        <v>1065000</v>
      </c>
    </row>
    <row r="34" spans="1:14" x14ac:dyDescent="0.4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4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402000</v>
      </c>
      <c r="K35" s="40">
        <f>LamChanHangNgan((PhiInKM4M_BHR70($A35*F$23/$D$16*$E$16)+$A34*F$23/$D$16*$D$19+PhiMayCanMang($A35*F$23/$D$16*2, $C$15/100,$D$15/100))*(1+$D$17))</f>
        <v>590000</v>
      </c>
      <c r="L35" s="40">
        <f>LamChanHangNgan((PhiInKM4M_BHR70($A35*G$23/$D$16*$E$16)+$A34*G$23/$D$16*$D$19+PhiMayCanMang($A35*G$23/$D$16*2, $C$15/100,$D$15/100))*(1+$D$17))</f>
        <v>776000</v>
      </c>
      <c r="M35" s="40">
        <f>LamChanHangNgan((PhiInKM4M_BHR70($A35*H$23/$D$16*$E$16)+$A34*H$23/$D$16*$D$19+PhiMayCanMang($A35*H$23/$D$16*2, $C$15/100,$D$15/100))*(1+$D$17))</f>
        <v>963000</v>
      </c>
      <c r="N35" s="40">
        <f>LamChanHangNgan((PhiInKM4M_BHR70($A35*I$23/$D$16*$E$16)+$A34*I$23/$D$16*$D$19+PhiMayCanMang($A35*I$23/$D$16*2, $C$15/100,$D$15/100))*(1+$D$17))</f>
        <v>1151000</v>
      </c>
    </row>
    <row r="36" spans="1:14" x14ac:dyDescent="0.4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4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420000</v>
      </c>
      <c r="K37" s="40">
        <f>LamChanHangNgan((PhiInKM4M_BHR70($A37*F$23/$D$16*$E$16)+$A36*F$23/$D$16*$D$19+PhiMayCanMang($A37*F$23/$D$16*2, $C$15/100,$D$15/100))*(1+$D$17))</f>
        <v>623000</v>
      </c>
      <c r="L37" s="40">
        <f>LamChanHangNgan((PhiInKM4M_BHR70($A37*G$23/$D$16*$E$16)+$A36*G$23/$D$16*$D$19+PhiMayCanMang($A37*G$23/$D$16*2, $C$15/100,$D$15/100))*(1+$D$17))</f>
        <v>828000</v>
      </c>
      <c r="M37" s="40">
        <f>LamChanHangNgan((PhiInKM4M_BHR70($A37*H$23/$D$16*$E$16)+$A36*H$23/$D$16*$D$19+PhiMayCanMang($A37*H$23/$D$16*2, $C$15/100,$D$15/100))*(1+$D$17))</f>
        <v>1031000</v>
      </c>
      <c r="N37" s="40">
        <f>LamChanHangNgan((PhiInKM4M_BHR70($A37*I$23/$D$16*$E$16)+$A36*I$23/$D$16*$D$19+PhiMayCanMang($A37*I$23/$D$16*2, $C$15/100,$D$15/100))*(1+$D$17))</f>
        <v>1236000</v>
      </c>
    </row>
    <row r="38" spans="1:14" x14ac:dyDescent="0.45">
      <c r="A38" s="2"/>
      <c r="C38" s="7"/>
      <c r="D38" s="7"/>
      <c r="E38" s="7"/>
      <c r="F38" s="7"/>
      <c r="G38" s="7"/>
      <c r="H38" s="7"/>
    </row>
    <row r="39" spans="1:14" x14ac:dyDescent="0.45">
      <c r="A39" s="2"/>
    </row>
    <row r="40" spans="1:14" x14ac:dyDescent="0.45">
      <c r="A40" s="2" t="s">
        <v>314</v>
      </c>
    </row>
    <row r="41" spans="1:14" x14ac:dyDescent="0.4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4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4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45">
      <c r="A44" s="2"/>
    </row>
    <row r="45" spans="1:14" x14ac:dyDescent="0.45">
      <c r="A45" s="2"/>
    </row>
    <row r="46" spans="1:14" x14ac:dyDescent="0.45">
      <c r="A46" s="2"/>
    </row>
    <row r="47" spans="1:14" x14ac:dyDescent="0.45">
      <c r="A47" s="2"/>
    </row>
    <row r="48" spans="1:14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2"/>
    </row>
    <row r="54" spans="1:1" x14ac:dyDescent="0.45">
      <c r="A54" s="2"/>
    </row>
    <row r="55" spans="1:1" x14ac:dyDescent="0.45">
      <c r="A55" s="2"/>
    </row>
    <row r="56" spans="1:1" x14ac:dyDescent="0.45">
      <c r="A56" s="2"/>
    </row>
    <row r="57" spans="1:1" x14ac:dyDescent="0.45">
      <c r="A57" s="2"/>
    </row>
    <row r="58" spans="1:1" x14ac:dyDescent="0.45">
      <c r="A58" s="2"/>
    </row>
    <row r="59" spans="1:1" x14ac:dyDescent="0.45">
      <c r="A59" s="2"/>
    </row>
    <row r="60" spans="1:1" x14ac:dyDescent="0.45">
      <c r="A60" s="2"/>
    </row>
    <row r="61" spans="1:1" x14ac:dyDescent="0.45">
      <c r="A61" s="2"/>
    </row>
    <row r="62" spans="1:1" x14ac:dyDescent="0.45">
      <c r="A62" s="2"/>
    </row>
    <row r="63" spans="1:1" x14ac:dyDescent="0.45">
      <c r="A63" s="2"/>
    </row>
    <row r="64" spans="1:1" x14ac:dyDescent="0.45">
      <c r="A64" s="2"/>
    </row>
    <row r="65" spans="1:1" x14ac:dyDescent="0.4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dimension ref="A1:T65"/>
  <sheetViews>
    <sheetView topLeftCell="G19" workbookViewId="0">
      <selection activeCell="L38" sqref="L38"/>
    </sheetView>
  </sheetViews>
  <sheetFormatPr defaultRowHeight="14.25" x14ac:dyDescent="0.45"/>
  <cols>
    <col min="1" max="1" width="20" bestFit="1" customWidth="1"/>
    <col min="2" max="2" width="11.59765625" customWidth="1"/>
    <col min="3" max="3" width="14.86328125" bestFit="1" customWidth="1"/>
    <col min="4" max="4" width="15.86328125" bestFit="1" customWidth="1"/>
    <col min="5" max="5" width="18.265625" bestFit="1" customWidth="1"/>
    <col min="6" max="6" width="15" bestFit="1" customWidth="1"/>
    <col min="7" max="8" width="15.86328125" bestFit="1" customWidth="1"/>
    <col min="9" max="9" width="15" bestFit="1" customWidth="1"/>
    <col min="10" max="11" width="13.265625" bestFit="1" customWidth="1"/>
    <col min="12" max="14" width="14.86328125" bestFit="1" customWidth="1"/>
    <col min="18" max="18" width="14.1328125" bestFit="1" customWidth="1"/>
  </cols>
  <sheetData>
    <row r="1" spans="1:5" x14ac:dyDescent="0.45">
      <c r="A1" t="s">
        <v>288</v>
      </c>
    </row>
    <row r="2" spans="1:5" x14ac:dyDescent="0.45">
      <c r="A2" t="s">
        <v>285</v>
      </c>
      <c r="B2" t="s">
        <v>289</v>
      </c>
    </row>
    <row r="3" spans="1:5" x14ac:dyDescent="0.45">
      <c r="A3" t="s">
        <v>290</v>
      </c>
      <c r="B3" t="s">
        <v>80</v>
      </c>
    </row>
    <row r="4" spans="1:5" x14ac:dyDescent="0.45">
      <c r="A4" t="s">
        <v>214</v>
      </c>
      <c r="B4" t="s">
        <v>291</v>
      </c>
    </row>
    <row r="5" spans="1:5" x14ac:dyDescent="0.45">
      <c r="A5" t="s">
        <v>286</v>
      </c>
      <c r="B5" t="s">
        <v>292</v>
      </c>
    </row>
    <row r="6" spans="1:5" x14ac:dyDescent="0.45">
      <c r="A6" t="s">
        <v>293</v>
      </c>
      <c r="B6" t="s">
        <v>294</v>
      </c>
    </row>
    <row r="9" spans="1:5" x14ac:dyDescent="0.45">
      <c r="A9" s="1" t="s">
        <v>287</v>
      </c>
      <c r="B9" t="s">
        <v>302</v>
      </c>
    </row>
    <row r="10" spans="1:5" x14ac:dyDescent="0.45">
      <c r="A10" t="s">
        <v>221</v>
      </c>
      <c r="B10" s="31">
        <v>43609</v>
      </c>
    </row>
    <row r="11" spans="1:5" x14ac:dyDescent="0.45">
      <c r="B11" t="s">
        <v>138</v>
      </c>
      <c r="C11" t="s">
        <v>139</v>
      </c>
    </row>
    <row r="12" spans="1:5" x14ac:dyDescent="0.45">
      <c r="A12" t="s">
        <v>208</v>
      </c>
      <c r="D12" t="s">
        <v>300</v>
      </c>
    </row>
    <row r="13" spans="1:5" x14ac:dyDescent="0.45">
      <c r="A13" t="s">
        <v>322</v>
      </c>
      <c r="B13">
        <v>15</v>
      </c>
      <c r="C13">
        <v>19</v>
      </c>
      <c r="D13">
        <v>0.3</v>
      </c>
    </row>
    <row r="15" spans="1:5" ht="28.5" x14ac:dyDescent="0.4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4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45">
      <c r="A17" t="s">
        <v>135</v>
      </c>
      <c r="D17" s="33">
        <v>0.75</v>
      </c>
      <c r="E17" s="34" t="s">
        <v>233</v>
      </c>
    </row>
    <row r="18" spans="1:20" x14ac:dyDescent="0.45">
      <c r="B18" t="s">
        <v>215</v>
      </c>
      <c r="C18" t="s">
        <v>216</v>
      </c>
      <c r="D18" t="s">
        <v>218</v>
      </c>
      <c r="E18" t="s">
        <v>217</v>
      </c>
    </row>
    <row r="19" spans="1:20" x14ac:dyDescent="0.4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45">
      <c r="E20" s="7"/>
    </row>
    <row r="21" spans="1:20" ht="42.75" x14ac:dyDescent="0.4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4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2.75" x14ac:dyDescent="0.4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80580.392200000002</v>
      </c>
    </row>
    <row r="24" spans="1:20" x14ac:dyDescent="0.4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4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368000</v>
      </c>
      <c r="K25" s="40">
        <f>LamChanHangNgan((PhiInKM4M_BHR70($A25*F$23/$D$16*$E$16)+$A24*F$23/$D$16*$D$19+PhiMayCanMang($A25*F$23/$D$16*2, $C$15/100,$D$15/100))*(1+$D$17))</f>
        <v>521000</v>
      </c>
      <c r="L25" s="40">
        <f>LamChanHangNgan((PhiInKM4M_BHR70($A25*G$23/$D$16*$E$16)+$A24*G$23/$D$16*$D$19+PhiMayCanMang($A25*G$23/$D$16*2, $C$15/100,$D$15/100))*(1+$D$17))</f>
        <v>675000</v>
      </c>
      <c r="M25" s="40">
        <f>LamChanHangNgan((PhiInKM4M_BHR70($A25*H$23/$D$16*$E$16)+$A24*H$23/$D$16*$D$19+PhiMayCanMang($A25*H$23/$D$16*2, $C$15/100,$D$15/100))*(1+$D$17))</f>
        <v>828000</v>
      </c>
      <c r="N25" s="40">
        <f>LamChanHangNgan((PhiInKM4M_BHR70($A25*I$23/$D$16*$E$16)+$A24*I$23/$D$16*$D$19+PhiMayCanMang($A25*I$23/$D$16*2, $C$15/100,$D$15/100))*(1+$D$17))</f>
        <v>981000</v>
      </c>
    </row>
    <row r="26" spans="1:20" x14ac:dyDescent="0.4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4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394000</v>
      </c>
      <c r="K27" s="40">
        <f>LamChanHangNgan((PhiInKM4M_BHR70($A27*F$23/$D$16*$E$16)+$A26*F$23/$D$16*$D$19+PhiMayCanMang($A27*F$23/$D$16*2, $C$15/100,$D$15/100))*(1+$D$17))</f>
        <v>573000</v>
      </c>
      <c r="L27" s="40">
        <f>LamChanHangNgan((PhiInKM4M_BHR70($A27*G$23/$D$16*$E$16)+$A26*G$23/$D$16*$D$19+PhiMayCanMang($A27*G$23/$D$16*2, $C$15/100,$D$15/100))*(1+$D$17))</f>
        <v>751000</v>
      </c>
      <c r="M27" s="40">
        <f>LamChanHangNgan((PhiInKM4M_BHR70($A27*H$23/$D$16*$E$16)+$A26*H$23/$D$16*$D$19+PhiMayCanMang($A27*H$23/$D$16*2, $C$15/100,$D$15/100))*(1+$D$17))</f>
        <v>930000</v>
      </c>
      <c r="N27" s="40">
        <f>LamChanHangNgan((PhiInKM4M_BHR70($A27*I$23/$D$16*$E$16)+$A26*I$23/$D$16*$D$19+PhiMayCanMang($A27*I$23/$D$16*2, $C$15/100,$D$15/100))*(1+$D$17))</f>
        <v>1108000</v>
      </c>
    </row>
    <row r="28" spans="1:20" x14ac:dyDescent="0.4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4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420000</v>
      </c>
      <c r="K29" s="40">
        <f>LamChanHangNgan((PhiInKM4M_BHR70($A29*F$23/$D$16*$E$16)+$A28*F$23/$D$16*$D$19+PhiMayCanMang($A29*F$23/$D$16*2, $C$15/100,$D$15/100))*(1+$D$17))</f>
        <v>623000</v>
      </c>
      <c r="L29" s="40">
        <f>LamChanHangNgan((PhiInKM4M_BHR70($A29*G$23/$D$16*$E$16)+$A28*G$23/$D$16*$D$19+PhiMayCanMang($A29*G$23/$D$16*2, $C$15/100,$D$15/100))*(1+$D$17))</f>
        <v>828000</v>
      </c>
      <c r="M29" s="40">
        <f>LamChanHangNgan((PhiInKM4M_BHR70($A29*H$23/$D$16*$E$16)+$A28*H$23/$D$16*$D$19+PhiMayCanMang($A29*H$23/$D$16*2, $C$15/100,$D$15/100))*(1+$D$17))</f>
        <v>1031000</v>
      </c>
      <c r="N29" s="40">
        <f>LamChanHangNgan((PhiInKM4M_BHR70($A29*I$23/$D$16*$E$16)+$A28*I$23/$D$16*$D$19+PhiMayCanMang($A29*I$23/$D$16*2, $C$15/100,$D$15/100))*(1+$D$17))</f>
        <v>1236000</v>
      </c>
    </row>
    <row r="30" spans="1:20" x14ac:dyDescent="0.4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4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445000</v>
      </c>
      <c r="K31" s="40">
        <f>LamChanHangNgan((PhiInKM4M_BHR70($A31*F$23/$D$16*$E$16)+$A30*F$23/$D$16*$D$19+PhiMayCanMang($A31*F$23/$D$16*2, $C$15/100,$D$15/100))*(1+$D$17))</f>
        <v>675000</v>
      </c>
      <c r="L31" s="40">
        <f>LamChanHangNgan((PhiInKM4M_BHR70($A31*G$23/$D$16*$E$16)+$A30*G$23/$D$16*$D$19+PhiMayCanMang($A31*G$23/$D$16*2, $C$15/100,$D$15/100))*(1+$D$17))</f>
        <v>904000</v>
      </c>
      <c r="M31" s="40">
        <f>LamChanHangNgan((PhiInKM4M_BHR70($A31*H$23/$D$16*$E$16)+$A30*H$23/$D$16*$D$19+PhiMayCanMang($A31*H$23/$D$16*2, $C$15/100,$D$15/100))*(1+$D$17))</f>
        <v>1134000</v>
      </c>
      <c r="N31" s="40">
        <f>LamChanHangNgan((PhiInKM4M_BHR70($A31*I$23/$D$16*$E$16)+$A30*I$23/$D$16*$D$19+PhiMayCanMang($A31*I$23/$D$16*2, $C$15/100,$D$15/100))*(1+$D$17))</f>
        <v>1363000</v>
      </c>
    </row>
    <row r="32" spans="1:20" x14ac:dyDescent="0.4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4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470000</v>
      </c>
      <c r="K33" s="40">
        <f>LamChanHangNgan((PhiInKM4M_BHR70($A33*F$23/$D$16*$E$16)+$A32*F$23/$D$16*$D$19+PhiMayCanMang($A33*F$23/$D$16*2, $C$15/100,$D$15/100))*(1+$D$17))</f>
        <v>726000</v>
      </c>
      <c r="L33" s="40">
        <f>LamChanHangNgan((PhiInKM4M_BHR70($A33*G$23/$D$16*$E$16)+$A32*G$23/$D$16*$D$19+PhiMayCanMang($A33*G$23/$D$16*2, $C$15/100,$D$15/100))*(1+$D$17))</f>
        <v>981000</v>
      </c>
      <c r="M33" s="40">
        <f>LamChanHangNgan((PhiInKM4M_BHR70($A33*H$23/$D$16*$E$16)+$A32*H$23/$D$16*$D$19+PhiMayCanMang($A33*H$23/$D$16*2, $C$15/100,$D$15/100))*(1+$D$17))</f>
        <v>1236000</v>
      </c>
      <c r="N33" s="40">
        <f>LamChanHangNgan((PhiInKM4M_BHR70($A33*I$23/$D$16*$E$16)+$A32*I$23/$D$16*$D$19+PhiMayCanMang($A33*I$23/$D$16*2, $C$15/100,$D$15/100))*(1+$D$17))</f>
        <v>1491000</v>
      </c>
    </row>
    <row r="34" spans="1:14" x14ac:dyDescent="0.4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4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496000</v>
      </c>
      <c r="K35" s="40">
        <f>LamChanHangNgan((PhiInKM4M_BHR70($A35*F$23/$D$16*$E$16)+$A34*F$23/$D$16*$D$19+PhiMayCanMang($A35*F$23/$D$16*2, $C$15/100,$D$15/100))*(1+$D$17))</f>
        <v>776000</v>
      </c>
      <c r="L35" s="40">
        <f>LamChanHangNgan((PhiInKM4M_BHR70($A35*G$23/$D$16*$E$16)+$A34*G$23/$D$16*$D$19+PhiMayCanMang($A35*G$23/$D$16*2, $C$15/100,$D$15/100))*(1+$D$17))</f>
        <v>1057000</v>
      </c>
      <c r="M35" s="40">
        <f>LamChanHangNgan((PhiInKM4M_BHR70($A35*H$23/$D$16*$E$16)+$A34*H$23/$D$16*$D$19+PhiMayCanMang($A35*H$23/$D$16*2, $C$15/100,$D$15/100))*(1+$D$17))</f>
        <v>1338000</v>
      </c>
      <c r="N35" s="40">
        <f>LamChanHangNgan((PhiInKM4M_BHR70($A35*I$23/$D$16*$E$16)+$A34*I$23/$D$16*$D$19+PhiMayCanMang($A35*I$23/$D$16*2, $C$15/100,$D$15/100))*(1+$D$17))</f>
        <v>1618000</v>
      </c>
    </row>
    <row r="36" spans="1:14" x14ac:dyDescent="0.4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4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521000</v>
      </c>
      <c r="K37" s="40">
        <f>LamChanHangNgan((PhiInKM4M_BHR70($A37*F$23/$D$16*$E$16)+$A36*F$23/$D$16*$D$19+PhiMayCanMang($A37*F$23/$D$16*2, $C$15/100,$D$15/100))*(1+$D$17))</f>
        <v>828000</v>
      </c>
      <c r="L37" s="40">
        <f>LamChanHangNgan((PhiInKM4M_BHR70($A37*G$23/$D$16*$E$16)+$A36*G$23/$D$16*$D$19+PhiMayCanMang($A37*G$23/$D$16*2, $C$15/100,$D$15/100))*(1+$D$17))</f>
        <v>1134000</v>
      </c>
      <c r="M37" s="40">
        <f>LamChanHangNgan((PhiInKM4M_BHR70($A37*H$23/$D$16*$E$16)+$A36*H$23/$D$16*$D$19+PhiMayCanMang($A37*H$23/$D$16*2, $C$15/100,$D$15/100))*(1+$D$17))</f>
        <v>1440000</v>
      </c>
      <c r="N37" s="40">
        <f>LamChanHangNgan((PhiInKM4M_BHR70($A37*I$23/$D$16*$E$16)+$A36*I$23/$D$16*$D$19+PhiMayCanMang($A37*I$23/$D$16*2, $C$15/100,$D$15/100))*(1+$D$17))</f>
        <v>1746000</v>
      </c>
    </row>
    <row r="38" spans="1:14" x14ac:dyDescent="0.45">
      <c r="A38" s="2"/>
      <c r="C38" s="7"/>
      <c r="D38" s="7"/>
      <c r="E38" s="7"/>
      <c r="F38" s="7"/>
      <c r="G38" s="7"/>
      <c r="H38" s="7"/>
    </row>
    <row r="39" spans="1:14" x14ac:dyDescent="0.45">
      <c r="A39" s="2"/>
    </row>
    <row r="40" spans="1:14" x14ac:dyDescent="0.45">
      <c r="A40" s="2" t="s">
        <v>314</v>
      </c>
    </row>
    <row r="41" spans="1:14" x14ac:dyDescent="0.4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4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4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45">
      <c r="A44" s="2"/>
    </row>
    <row r="45" spans="1:14" x14ac:dyDescent="0.45">
      <c r="A45" s="2"/>
    </row>
    <row r="46" spans="1:14" x14ac:dyDescent="0.45">
      <c r="A46" s="2"/>
    </row>
    <row r="47" spans="1:14" x14ac:dyDescent="0.45">
      <c r="A47" s="2"/>
    </row>
    <row r="48" spans="1:14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2"/>
    </row>
    <row r="54" spans="1:1" x14ac:dyDescent="0.45">
      <c r="A54" s="2"/>
    </row>
    <row r="55" spans="1:1" x14ac:dyDescent="0.45">
      <c r="A55" s="2"/>
    </row>
    <row r="56" spans="1:1" x14ac:dyDescent="0.45">
      <c r="A56" s="2"/>
    </row>
    <row r="57" spans="1:1" x14ac:dyDescent="0.45">
      <c r="A57" s="2"/>
    </row>
    <row r="58" spans="1:1" x14ac:dyDescent="0.45">
      <c r="A58" s="2"/>
    </row>
    <row r="59" spans="1:1" x14ac:dyDescent="0.45">
      <c r="A59" s="2"/>
    </row>
    <row r="60" spans="1:1" x14ac:dyDescent="0.45">
      <c r="A60" s="2"/>
    </row>
    <row r="61" spans="1:1" x14ac:dyDescent="0.45">
      <c r="A61" s="2"/>
    </row>
    <row r="62" spans="1:1" x14ac:dyDescent="0.45">
      <c r="A62" s="2"/>
    </row>
    <row r="63" spans="1:1" x14ac:dyDescent="0.45">
      <c r="A63" s="2"/>
    </row>
    <row r="64" spans="1:1" x14ac:dyDescent="0.45">
      <c r="A64" s="2"/>
    </row>
    <row r="65" spans="1:1" x14ac:dyDescent="0.4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dimension ref="A1:T65"/>
  <sheetViews>
    <sheetView topLeftCell="D13" workbookViewId="0">
      <selection activeCell="J24" sqref="J24:N37"/>
    </sheetView>
  </sheetViews>
  <sheetFormatPr defaultRowHeight="14.25" x14ac:dyDescent="0.45"/>
  <cols>
    <col min="1" max="1" width="20" bestFit="1" customWidth="1"/>
    <col min="2" max="2" width="11.59765625" customWidth="1"/>
    <col min="3" max="3" width="14.86328125" bestFit="1" customWidth="1"/>
    <col min="4" max="4" width="15.86328125" bestFit="1" customWidth="1"/>
    <col min="5" max="5" width="18.265625" bestFit="1" customWidth="1"/>
    <col min="6" max="6" width="15" bestFit="1" customWidth="1"/>
    <col min="7" max="8" width="15.86328125" bestFit="1" customWidth="1"/>
    <col min="9" max="9" width="15" bestFit="1" customWidth="1"/>
    <col min="10" max="11" width="13.265625" bestFit="1" customWidth="1"/>
    <col min="12" max="14" width="14.86328125" bestFit="1" customWidth="1"/>
    <col min="18" max="18" width="14.1328125" bestFit="1" customWidth="1"/>
  </cols>
  <sheetData>
    <row r="1" spans="1:5" x14ac:dyDescent="0.45">
      <c r="A1" t="s">
        <v>288</v>
      </c>
    </row>
    <row r="2" spans="1:5" x14ac:dyDescent="0.45">
      <c r="A2" t="s">
        <v>285</v>
      </c>
      <c r="B2" t="s">
        <v>289</v>
      </c>
    </row>
    <row r="3" spans="1:5" x14ac:dyDescent="0.45">
      <c r="A3" t="s">
        <v>290</v>
      </c>
      <c r="B3" t="s">
        <v>80</v>
      </c>
    </row>
    <row r="4" spans="1:5" x14ac:dyDescent="0.45">
      <c r="A4" t="s">
        <v>214</v>
      </c>
      <c r="B4" t="s">
        <v>291</v>
      </c>
    </row>
    <row r="5" spans="1:5" x14ac:dyDescent="0.45">
      <c r="A5" t="s">
        <v>286</v>
      </c>
      <c r="B5" t="s">
        <v>292</v>
      </c>
    </row>
    <row r="6" spans="1:5" x14ac:dyDescent="0.45">
      <c r="A6" t="s">
        <v>293</v>
      </c>
      <c r="B6" t="s">
        <v>294</v>
      </c>
    </row>
    <row r="9" spans="1:5" x14ac:dyDescent="0.45">
      <c r="A9" s="1" t="s">
        <v>287</v>
      </c>
      <c r="B9" t="s">
        <v>302</v>
      </c>
    </row>
    <row r="10" spans="1:5" x14ac:dyDescent="0.45">
      <c r="A10" t="s">
        <v>221</v>
      </c>
      <c r="B10" s="31">
        <v>43609</v>
      </c>
    </row>
    <row r="11" spans="1:5" x14ac:dyDescent="0.45">
      <c r="B11" t="s">
        <v>138</v>
      </c>
      <c r="C11" t="s">
        <v>139</v>
      </c>
    </row>
    <row r="12" spans="1:5" x14ac:dyDescent="0.45">
      <c r="A12" t="s">
        <v>208</v>
      </c>
      <c r="D12" t="s">
        <v>300</v>
      </c>
    </row>
    <row r="13" spans="1:5" x14ac:dyDescent="0.45">
      <c r="A13" t="s">
        <v>323</v>
      </c>
      <c r="B13">
        <v>19</v>
      </c>
      <c r="C13">
        <v>30</v>
      </c>
      <c r="D13">
        <v>0.3</v>
      </c>
    </row>
    <row r="15" spans="1:5" ht="28.5" x14ac:dyDescent="0.4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4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45">
      <c r="A17" t="s">
        <v>135</v>
      </c>
      <c r="D17" s="33">
        <v>0.75</v>
      </c>
      <c r="E17" s="34" t="s">
        <v>233</v>
      </c>
    </row>
    <row r="18" spans="1:20" x14ac:dyDescent="0.45">
      <c r="B18" t="s">
        <v>215</v>
      </c>
      <c r="C18" t="s">
        <v>216</v>
      </c>
      <c r="D18" t="s">
        <v>218</v>
      </c>
      <c r="E18" t="s">
        <v>217</v>
      </c>
    </row>
    <row r="19" spans="1:20" x14ac:dyDescent="0.4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45">
      <c r="E20" s="7"/>
    </row>
    <row r="21" spans="1:20" ht="42.75" x14ac:dyDescent="0.4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4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2.75" x14ac:dyDescent="0.4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87827.451000000001</v>
      </c>
    </row>
    <row r="24" spans="1:20" x14ac:dyDescent="0.4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4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521000</v>
      </c>
      <c r="K25" s="40">
        <f>LamChanHangNgan((PhiInKM4M_BHR70($A25*F$23/$D$16*$E$16)+$A24*F$23/$D$16*$D$19+PhiMayCanMang($A25*F$23/$D$16*2, $C$15/100,$D$15/100))*(1+$D$17))</f>
        <v>828000</v>
      </c>
      <c r="L25" s="40">
        <f>LamChanHangNgan((PhiInKM4M_BHR70($A25*G$23/$D$16*$E$16)+$A24*G$23/$D$16*$D$19+PhiMayCanMang($A25*G$23/$D$16*2, $C$15/100,$D$15/100))*(1+$D$17))</f>
        <v>1134000</v>
      </c>
      <c r="M25" s="40">
        <f>LamChanHangNgan((PhiInKM4M_BHR70($A25*H$23/$D$16*$E$16)+$A24*H$23/$D$16*$D$19+PhiMayCanMang($A25*H$23/$D$16*2, $C$15/100,$D$15/100))*(1+$D$17))</f>
        <v>1440000</v>
      </c>
      <c r="N25" s="40">
        <f>LamChanHangNgan((PhiInKM4M_BHR70($A25*I$23/$D$16*$E$16)+$A24*I$23/$D$16*$D$19+PhiMayCanMang($A25*I$23/$D$16*2, $C$15/100,$D$15/100))*(1+$D$17))</f>
        <v>1746000</v>
      </c>
    </row>
    <row r="26" spans="1:20" x14ac:dyDescent="0.4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4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573000</v>
      </c>
      <c r="K27" s="40">
        <f>LamChanHangNgan((PhiInKM4M_BHR70($A27*F$23/$D$16*$E$16)+$A26*F$23/$D$16*$D$19+PhiMayCanMang($A27*F$23/$D$16*2, $C$15/100,$D$15/100))*(1+$D$17))</f>
        <v>930000</v>
      </c>
      <c r="L27" s="40">
        <f>LamChanHangNgan((PhiInKM4M_BHR70($A27*G$23/$D$16*$E$16)+$A26*G$23/$D$16*$D$19+PhiMayCanMang($A27*G$23/$D$16*2, $C$15/100,$D$15/100))*(1+$D$17))</f>
        <v>1287000</v>
      </c>
      <c r="M27" s="40">
        <f>LamChanHangNgan((PhiInKM4M_BHR70($A27*H$23/$D$16*$E$16)+$A26*H$23/$D$16*$D$19+PhiMayCanMang($A27*H$23/$D$16*2, $C$15/100,$D$15/100))*(1+$D$17))</f>
        <v>1644000</v>
      </c>
      <c r="N27" s="40">
        <f>LamChanHangNgan((PhiInKM4M_BHR70($A27*I$23/$D$16*$E$16)+$A26*I$23/$D$16*$D$19+PhiMayCanMang($A27*I$23/$D$16*2, $C$15/100,$D$15/100))*(1+$D$17))</f>
        <v>2001000</v>
      </c>
    </row>
    <row r="28" spans="1:20" x14ac:dyDescent="0.4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4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623000</v>
      </c>
      <c r="K29" s="40">
        <f>LamChanHangNgan((PhiInKM4M_BHR70($A29*F$23/$D$16*$E$16)+$A28*F$23/$D$16*$D$19+PhiMayCanMang($A29*F$23/$D$16*2, $C$15/100,$D$15/100))*(1+$D$17))</f>
        <v>1031000</v>
      </c>
      <c r="L29" s="40">
        <f>LamChanHangNgan((PhiInKM4M_BHR70($A29*G$23/$D$16*$E$16)+$A28*G$23/$D$16*$D$19+PhiMayCanMang($A29*G$23/$D$16*2, $C$15/100,$D$15/100))*(1+$D$17))</f>
        <v>1440000</v>
      </c>
      <c r="M29" s="40">
        <f>LamChanHangNgan((PhiInKM4M_BHR70($A29*H$23/$D$16*$E$16)+$A28*H$23/$D$16*$D$19+PhiMayCanMang($A29*H$23/$D$16*2, $C$15/100,$D$15/100))*(1+$D$17))</f>
        <v>1848000</v>
      </c>
      <c r="N29" s="40">
        <f>LamChanHangNgan((PhiInKM4M_BHR70($A29*I$23/$D$16*$E$16)+$A28*I$23/$D$16*$D$19+PhiMayCanMang($A29*I$23/$D$16*2, $C$15/100,$D$15/100))*(1+$D$17))</f>
        <v>2256000</v>
      </c>
    </row>
    <row r="30" spans="1:20" x14ac:dyDescent="0.4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4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675000</v>
      </c>
      <c r="K31" s="40">
        <f>LamChanHangNgan((PhiInKM4M_BHR70($A31*F$23/$D$16*$E$16)+$A30*F$23/$D$16*$D$19+PhiMayCanMang($A31*F$23/$D$16*2, $C$15/100,$D$15/100))*(1+$D$17))</f>
        <v>1134000</v>
      </c>
      <c r="L31" s="40">
        <f>LamChanHangNgan((PhiInKM4M_BHR70($A31*G$23/$D$16*$E$16)+$A30*G$23/$D$16*$D$19+PhiMayCanMang($A31*G$23/$D$16*2, $C$15/100,$D$15/100))*(1+$D$17))</f>
        <v>1593000</v>
      </c>
      <c r="M31" s="40">
        <f>LamChanHangNgan((PhiInKM4M_BHR70($A31*H$23/$D$16*$E$16)+$A30*H$23/$D$16*$D$19+PhiMayCanMang($A31*H$23/$D$16*2, $C$15/100,$D$15/100))*(1+$D$17))</f>
        <v>2052000</v>
      </c>
      <c r="N31" s="40">
        <f>LamChanHangNgan((PhiInKM4M_BHR70($A31*I$23/$D$16*$E$16)+$A30*I$23/$D$16*$D$19+PhiMayCanMang($A31*I$23/$D$16*2, $C$15/100,$D$15/100))*(1+$D$17))</f>
        <v>2511000</v>
      </c>
    </row>
    <row r="32" spans="1:20" x14ac:dyDescent="0.4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4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726000</v>
      </c>
      <c r="K33" s="40">
        <f>LamChanHangNgan((PhiInKM4M_BHR70($A33*F$23/$D$16*$E$16)+$A32*F$23/$D$16*$D$19+PhiMayCanMang($A33*F$23/$D$16*2, $C$15/100,$D$15/100))*(1+$D$17))</f>
        <v>1236000</v>
      </c>
      <c r="L33" s="40">
        <f>LamChanHangNgan((PhiInKM4M_BHR70($A33*G$23/$D$16*$E$16)+$A32*G$23/$D$16*$D$19+PhiMayCanMang($A33*G$23/$D$16*2, $C$15/100,$D$15/100))*(1+$D$17))</f>
        <v>1746000</v>
      </c>
      <c r="M33" s="40">
        <f>LamChanHangNgan((PhiInKM4M_BHR70($A33*H$23/$D$16*$E$16)+$A32*H$23/$D$16*$D$19+PhiMayCanMang($A33*H$23/$D$16*2, $C$15/100,$D$15/100))*(1+$D$17))</f>
        <v>2256000</v>
      </c>
      <c r="N33" s="40">
        <f>LamChanHangNgan((PhiInKM4M_BHR70($A33*I$23/$D$16*$E$16)+$A32*I$23/$D$16*$D$19+PhiMayCanMang($A33*I$23/$D$16*2, $C$15/100,$D$15/100))*(1+$D$17))</f>
        <v>2766000</v>
      </c>
    </row>
    <row r="34" spans="1:14" x14ac:dyDescent="0.4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4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776000</v>
      </c>
      <c r="K35" s="40">
        <f>LamChanHangNgan((PhiInKM4M_BHR70($A35*F$23/$D$16*$E$16)+$A34*F$23/$D$16*$D$19+PhiMayCanMang($A35*F$23/$D$16*2, $C$15/100,$D$15/100))*(1+$D$17))</f>
        <v>1338000</v>
      </c>
      <c r="L35" s="40">
        <f>LamChanHangNgan((PhiInKM4M_BHR70($A35*G$23/$D$16*$E$16)+$A34*G$23/$D$16*$D$19+PhiMayCanMang($A35*G$23/$D$16*2, $C$15/100,$D$15/100))*(1+$D$17))</f>
        <v>1899000</v>
      </c>
      <c r="M35" s="40">
        <f>LamChanHangNgan((PhiInKM4M_BHR70($A35*H$23/$D$16*$E$16)+$A34*H$23/$D$16*$D$19+PhiMayCanMang($A35*H$23/$D$16*2, $C$15/100,$D$15/100))*(1+$D$17))</f>
        <v>2460000</v>
      </c>
      <c r="N35" s="40">
        <f>LamChanHangNgan((PhiInKM4M_BHR70($A35*I$23/$D$16*$E$16)+$A34*I$23/$D$16*$D$19+PhiMayCanMang($A35*I$23/$D$16*2, $C$15/100,$D$15/100))*(1+$D$17))</f>
        <v>3021000</v>
      </c>
    </row>
    <row r="36" spans="1:14" x14ac:dyDescent="0.4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4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828000</v>
      </c>
      <c r="K37" s="40">
        <f>LamChanHangNgan((PhiInKM4M_BHR70($A37*F$23/$D$16*$E$16)+$A36*F$23/$D$16*$D$19+PhiMayCanMang($A37*F$23/$D$16*2, $C$15/100,$D$15/100))*(1+$D$17))</f>
        <v>1440000</v>
      </c>
      <c r="L37" s="40">
        <f>LamChanHangNgan((PhiInKM4M_BHR70($A37*G$23/$D$16*$E$16)+$A36*G$23/$D$16*$D$19+PhiMayCanMang($A37*G$23/$D$16*2, $C$15/100,$D$15/100))*(1+$D$17))</f>
        <v>2052000</v>
      </c>
      <c r="M37" s="40">
        <f>LamChanHangNgan((PhiInKM4M_BHR70($A37*H$23/$D$16*$E$16)+$A36*H$23/$D$16*$D$19+PhiMayCanMang($A37*H$23/$D$16*2, $C$15/100,$D$15/100))*(1+$D$17))</f>
        <v>2664000</v>
      </c>
      <c r="N37" s="40">
        <f>LamChanHangNgan((PhiInKM4M_BHR70($A37*I$23/$D$16*$E$16)+$A36*I$23/$D$16*$D$19+PhiMayCanMang($A37*I$23/$D$16*2, $C$15/100,$D$15/100))*(1+$D$17))</f>
        <v>3276000</v>
      </c>
    </row>
    <row r="38" spans="1:14" x14ac:dyDescent="0.45">
      <c r="A38" s="2"/>
      <c r="C38" s="7"/>
      <c r="D38" s="7"/>
      <c r="E38" s="7"/>
      <c r="F38" s="7"/>
      <c r="G38" s="7"/>
      <c r="H38" s="7"/>
    </row>
    <row r="39" spans="1:14" x14ac:dyDescent="0.45">
      <c r="A39" s="2"/>
    </row>
    <row r="40" spans="1:14" x14ac:dyDescent="0.45">
      <c r="A40" s="2" t="s">
        <v>314</v>
      </c>
    </row>
    <row r="41" spans="1:14" x14ac:dyDescent="0.45">
      <c r="A41" s="2" t="s">
        <v>315</v>
      </c>
      <c r="B41">
        <v>6000</v>
      </c>
      <c r="D41" t="s">
        <v>316</v>
      </c>
      <c r="E41" s="7">
        <f>PhiLDPT_XepDotVoCuonLX(E$23)+$B$41*$C$13/100</f>
        <v>16244.4445</v>
      </c>
      <c r="F41" s="7">
        <f t="shared" ref="F41:I41" si="8">PhiLDPT_XepDotVoCuonLX(F$23)+$B$41*$C$13/100</f>
        <v>17688.888899999998</v>
      </c>
      <c r="G41" s="7">
        <f t="shared" si="8"/>
        <v>19133.333500000001</v>
      </c>
      <c r="H41" s="7">
        <f t="shared" si="8"/>
        <v>20577.7778</v>
      </c>
      <c r="I41" s="7">
        <f t="shared" si="8"/>
        <v>22022.222600000001</v>
      </c>
    </row>
    <row r="42" spans="1:14" x14ac:dyDescent="0.45">
      <c r="A42" s="2"/>
      <c r="D42" t="s">
        <v>317</v>
      </c>
      <c r="E42" s="7">
        <f>E$41*(1+$D$17)</f>
        <v>28427.777875</v>
      </c>
      <c r="F42" s="7">
        <f t="shared" ref="F42:I42" si="9">F$41*(1+$D$17)</f>
        <v>30955.555574999998</v>
      </c>
      <c r="G42" s="7">
        <f t="shared" si="9"/>
        <v>33483.333624999999</v>
      </c>
      <c r="H42" s="7">
        <f t="shared" si="9"/>
        <v>36011.111149999997</v>
      </c>
      <c r="I42" s="7">
        <f t="shared" si="9"/>
        <v>38538.88955</v>
      </c>
    </row>
    <row r="43" spans="1:14" x14ac:dyDescent="0.4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45">
      <c r="A44" s="2"/>
    </row>
    <row r="45" spans="1:14" x14ac:dyDescent="0.45">
      <c r="A45" s="2"/>
    </row>
    <row r="46" spans="1:14" x14ac:dyDescent="0.45">
      <c r="A46" s="2"/>
    </row>
    <row r="47" spans="1:14" x14ac:dyDescent="0.45">
      <c r="A47" s="2"/>
    </row>
    <row r="48" spans="1:14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2"/>
    </row>
    <row r="54" spans="1:1" x14ac:dyDescent="0.45">
      <c r="A54" s="2"/>
    </row>
    <row r="55" spans="1:1" x14ac:dyDescent="0.45">
      <c r="A55" s="2"/>
    </row>
    <row r="56" spans="1:1" x14ac:dyDescent="0.45">
      <c r="A56" s="2"/>
    </row>
    <row r="57" spans="1:1" x14ac:dyDescent="0.45">
      <c r="A57" s="2"/>
    </row>
    <row r="58" spans="1:1" x14ac:dyDescent="0.45">
      <c r="A58" s="2"/>
    </row>
    <row r="59" spans="1:1" x14ac:dyDescent="0.45">
      <c r="A59" s="2"/>
    </row>
    <row r="60" spans="1:1" x14ac:dyDescent="0.45">
      <c r="A60" s="2"/>
    </row>
    <row r="61" spans="1:1" x14ac:dyDescent="0.45">
      <c r="A61" s="2"/>
    </row>
    <row r="62" spans="1:1" x14ac:dyDescent="0.45">
      <c r="A62" s="2"/>
    </row>
    <row r="63" spans="1:1" x14ac:dyDescent="0.45">
      <c r="A63" s="2"/>
    </row>
    <row r="64" spans="1:1" x14ac:dyDescent="0.45">
      <c r="A64" s="2"/>
    </row>
    <row r="65" spans="1:1" x14ac:dyDescent="0.4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dimension ref="A1:T65"/>
  <sheetViews>
    <sheetView tabSelected="1" topLeftCell="A13" workbookViewId="0">
      <selection activeCell="J24" sqref="J24:N37"/>
    </sheetView>
  </sheetViews>
  <sheetFormatPr defaultRowHeight="14.25" x14ac:dyDescent="0.45"/>
  <cols>
    <col min="1" max="1" width="20" bestFit="1" customWidth="1"/>
    <col min="2" max="2" width="11.59765625" customWidth="1"/>
    <col min="3" max="3" width="14.86328125" bestFit="1" customWidth="1"/>
    <col min="4" max="4" width="15.86328125" bestFit="1" customWidth="1"/>
    <col min="5" max="5" width="18.265625" bestFit="1" customWidth="1"/>
    <col min="6" max="6" width="15" bestFit="1" customWidth="1"/>
    <col min="7" max="8" width="15.86328125" bestFit="1" customWidth="1"/>
    <col min="9" max="9" width="15" bestFit="1" customWidth="1"/>
    <col min="10" max="11" width="13.265625" bestFit="1" customWidth="1"/>
    <col min="12" max="14" width="14.86328125" bestFit="1" customWidth="1"/>
    <col min="18" max="18" width="14.1328125" bestFit="1" customWidth="1"/>
  </cols>
  <sheetData>
    <row r="1" spans="1:5" x14ac:dyDescent="0.45">
      <c r="A1" t="s">
        <v>288</v>
      </c>
    </row>
    <row r="2" spans="1:5" x14ac:dyDescent="0.45">
      <c r="A2" t="s">
        <v>285</v>
      </c>
      <c r="B2" t="s">
        <v>289</v>
      </c>
    </row>
    <row r="3" spans="1:5" x14ac:dyDescent="0.45">
      <c r="A3" t="s">
        <v>290</v>
      </c>
      <c r="B3" t="s">
        <v>80</v>
      </c>
    </row>
    <row r="4" spans="1:5" x14ac:dyDescent="0.45">
      <c r="A4" t="s">
        <v>214</v>
      </c>
      <c r="B4" t="s">
        <v>291</v>
      </c>
    </row>
    <row r="5" spans="1:5" x14ac:dyDescent="0.45">
      <c r="A5" t="s">
        <v>286</v>
      </c>
      <c r="B5" t="s">
        <v>292</v>
      </c>
    </row>
    <row r="6" spans="1:5" x14ac:dyDescent="0.45">
      <c r="A6" t="s">
        <v>293</v>
      </c>
      <c r="B6" t="s">
        <v>294</v>
      </c>
    </row>
    <row r="9" spans="1:5" x14ac:dyDescent="0.45">
      <c r="A9" s="1" t="s">
        <v>287</v>
      </c>
      <c r="B9" t="s">
        <v>302</v>
      </c>
    </row>
    <row r="10" spans="1:5" x14ac:dyDescent="0.45">
      <c r="A10" t="s">
        <v>221</v>
      </c>
      <c r="B10" s="31">
        <v>43609</v>
      </c>
    </row>
    <row r="11" spans="1:5" x14ac:dyDescent="0.45">
      <c r="B11" t="s">
        <v>138</v>
      </c>
      <c r="C11" t="s">
        <v>139</v>
      </c>
    </row>
    <row r="12" spans="1:5" x14ac:dyDescent="0.45">
      <c r="A12" t="s">
        <v>208</v>
      </c>
      <c r="D12" t="s">
        <v>300</v>
      </c>
    </row>
    <row r="13" spans="1:5" x14ac:dyDescent="0.45">
      <c r="A13" t="s">
        <v>321</v>
      </c>
      <c r="B13">
        <v>15</v>
      </c>
      <c r="C13">
        <v>34</v>
      </c>
      <c r="D13">
        <v>0.3</v>
      </c>
    </row>
    <row r="15" spans="1:5" ht="28.5" x14ac:dyDescent="0.4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4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45">
      <c r="A17" t="s">
        <v>135</v>
      </c>
      <c r="D17" s="33">
        <v>0.75</v>
      </c>
      <c r="E17" s="34" t="s">
        <v>233</v>
      </c>
    </row>
    <row r="18" spans="1:20" x14ac:dyDescent="0.45">
      <c r="B18" t="s">
        <v>215</v>
      </c>
      <c r="C18" t="s">
        <v>216</v>
      </c>
      <c r="D18" t="s">
        <v>218</v>
      </c>
      <c r="E18" t="s">
        <v>217</v>
      </c>
    </row>
    <row r="19" spans="1:20" x14ac:dyDescent="0.4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45">
      <c r="E20" s="7"/>
    </row>
    <row r="21" spans="1:20" ht="42.75" x14ac:dyDescent="0.4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4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2.75" x14ac:dyDescent="0.4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87827.451000000001</v>
      </c>
    </row>
    <row r="24" spans="1:20" x14ac:dyDescent="0.4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4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521000</v>
      </c>
      <c r="K25" s="40">
        <f>LamChanHangNgan((PhiInKM4M_BHR70($A25*F$23/$D$16*$E$16)+$A24*F$23/$D$16*$D$19+PhiMayCanMang($A25*F$23/$D$16*2, $C$15/100,$D$15/100))*(1+$D$17))</f>
        <v>828000</v>
      </c>
      <c r="L25" s="40">
        <f>LamChanHangNgan((PhiInKM4M_BHR70($A25*G$23/$D$16*$E$16)+$A24*G$23/$D$16*$D$19+PhiMayCanMang($A25*G$23/$D$16*2, $C$15/100,$D$15/100))*(1+$D$17))</f>
        <v>1134000</v>
      </c>
      <c r="M25" s="40">
        <f>LamChanHangNgan((PhiInKM4M_BHR70($A25*H$23/$D$16*$E$16)+$A24*H$23/$D$16*$D$19+PhiMayCanMang($A25*H$23/$D$16*2, $C$15/100,$D$15/100))*(1+$D$17))</f>
        <v>1440000</v>
      </c>
      <c r="N25" s="40">
        <f>LamChanHangNgan((PhiInKM4M_BHR70($A25*I$23/$D$16*$E$16)+$A24*I$23/$D$16*$D$19+PhiMayCanMang($A25*I$23/$D$16*2, $C$15/100,$D$15/100))*(1+$D$17))</f>
        <v>1746000</v>
      </c>
    </row>
    <row r="26" spans="1:20" x14ac:dyDescent="0.4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4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573000</v>
      </c>
      <c r="K27" s="40">
        <f>LamChanHangNgan((PhiInKM4M_BHR70($A27*F$23/$D$16*$E$16)+$A26*F$23/$D$16*$D$19+PhiMayCanMang($A27*F$23/$D$16*2, $C$15/100,$D$15/100))*(1+$D$17))</f>
        <v>930000</v>
      </c>
      <c r="L27" s="40">
        <f>LamChanHangNgan((PhiInKM4M_BHR70($A27*G$23/$D$16*$E$16)+$A26*G$23/$D$16*$D$19+PhiMayCanMang($A27*G$23/$D$16*2, $C$15/100,$D$15/100))*(1+$D$17))</f>
        <v>1287000</v>
      </c>
      <c r="M27" s="40">
        <f>LamChanHangNgan((PhiInKM4M_BHR70($A27*H$23/$D$16*$E$16)+$A26*H$23/$D$16*$D$19+PhiMayCanMang($A27*H$23/$D$16*2, $C$15/100,$D$15/100))*(1+$D$17))</f>
        <v>1644000</v>
      </c>
      <c r="N27" s="40">
        <f>LamChanHangNgan((PhiInKM4M_BHR70($A27*I$23/$D$16*$E$16)+$A26*I$23/$D$16*$D$19+PhiMayCanMang($A27*I$23/$D$16*2, $C$15/100,$D$15/100))*(1+$D$17))</f>
        <v>2001000</v>
      </c>
    </row>
    <row r="28" spans="1:20" x14ac:dyDescent="0.4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4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623000</v>
      </c>
      <c r="K29" s="40">
        <f>LamChanHangNgan((PhiInKM4M_BHR70($A29*F$23/$D$16*$E$16)+$A28*F$23/$D$16*$D$19+PhiMayCanMang($A29*F$23/$D$16*2, $C$15/100,$D$15/100))*(1+$D$17))</f>
        <v>1031000</v>
      </c>
      <c r="L29" s="40">
        <f>LamChanHangNgan((PhiInKM4M_BHR70($A29*G$23/$D$16*$E$16)+$A28*G$23/$D$16*$D$19+PhiMayCanMang($A29*G$23/$D$16*2, $C$15/100,$D$15/100))*(1+$D$17))</f>
        <v>1440000</v>
      </c>
      <c r="M29" s="40">
        <f>LamChanHangNgan((PhiInKM4M_BHR70($A29*H$23/$D$16*$E$16)+$A28*H$23/$D$16*$D$19+PhiMayCanMang($A29*H$23/$D$16*2, $C$15/100,$D$15/100))*(1+$D$17))</f>
        <v>1848000</v>
      </c>
      <c r="N29" s="40">
        <f>LamChanHangNgan((PhiInKM4M_BHR70($A29*I$23/$D$16*$E$16)+$A28*I$23/$D$16*$D$19+PhiMayCanMang($A29*I$23/$D$16*2, $C$15/100,$D$15/100))*(1+$D$17))</f>
        <v>2256000</v>
      </c>
    </row>
    <row r="30" spans="1:20" x14ac:dyDescent="0.4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4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675000</v>
      </c>
      <c r="K31" s="40">
        <f>LamChanHangNgan((PhiInKM4M_BHR70($A31*F$23/$D$16*$E$16)+$A30*F$23/$D$16*$D$19+PhiMayCanMang($A31*F$23/$D$16*2, $C$15/100,$D$15/100))*(1+$D$17))</f>
        <v>1134000</v>
      </c>
      <c r="L31" s="40">
        <f>LamChanHangNgan((PhiInKM4M_BHR70($A31*G$23/$D$16*$E$16)+$A30*G$23/$D$16*$D$19+PhiMayCanMang($A31*G$23/$D$16*2, $C$15/100,$D$15/100))*(1+$D$17))</f>
        <v>1593000</v>
      </c>
      <c r="M31" s="40">
        <f>LamChanHangNgan((PhiInKM4M_BHR70($A31*H$23/$D$16*$E$16)+$A30*H$23/$D$16*$D$19+PhiMayCanMang($A31*H$23/$D$16*2, $C$15/100,$D$15/100))*(1+$D$17))</f>
        <v>2052000</v>
      </c>
      <c r="N31" s="40">
        <f>LamChanHangNgan((PhiInKM4M_BHR70($A31*I$23/$D$16*$E$16)+$A30*I$23/$D$16*$D$19+PhiMayCanMang($A31*I$23/$D$16*2, $C$15/100,$D$15/100))*(1+$D$17))</f>
        <v>2511000</v>
      </c>
    </row>
    <row r="32" spans="1:20" x14ac:dyDescent="0.4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4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726000</v>
      </c>
      <c r="K33" s="40">
        <f>LamChanHangNgan((PhiInKM4M_BHR70($A33*F$23/$D$16*$E$16)+$A32*F$23/$D$16*$D$19+PhiMayCanMang($A33*F$23/$D$16*2, $C$15/100,$D$15/100))*(1+$D$17))</f>
        <v>1236000</v>
      </c>
      <c r="L33" s="40">
        <f>LamChanHangNgan((PhiInKM4M_BHR70($A33*G$23/$D$16*$E$16)+$A32*G$23/$D$16*$D$19+PhiMayCanMang($A33*G$23/$D$16*2, $C$15/100,$D$15/100))*(1+$D$17))</f>
        <v>1746000</v>
      </c>
      <c r="M33" s="40">
        <f>LamChanHangNgan((PhiInKM4M_BHR70($A33*H$23/$D$16*$E$16)+$A32*H$23/$D$16*$D$19+PhiMayCanMang($A33*H$23/$D$16*2, $C$15/100,$D$15/100))*(1+$D$17))</f>
        <v>2256000</v>
      </c>
      <c r="N33" s="40">
        <f>LamChanHangNgan((PhiInKM4M_BHR70($A33*I$23/$D$16*$E$16)+$A32*I$23/$D$16*$D$19+PhiMayCanMang($A33*I$23/$D$16*2, $C$15/100,$D$15/100))*(1+$D$17))</f>
        <v>2766000</v>
      </c>
    </row>
    <row r="34" spans="1:14" x14ac:dyDescent="0.4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4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776000</v>
      </c>
      <c r="K35" s="40">
        <f>LamChanHangNgan((PhiInKM4M_BHR70($A35*F$23/$D$16*$E$16)+$A34*F$23/$D$16*$D$19+PhiMayCanMang($A35*F$23/$D$16*2, $C$15/100,$D$15/100))*(1+$D$17))</f>
        <v>1338000</v>
      </c>
      <c r="L35" s="40">
        <f>LamChanHangNgan((PhiInKM4M_BHR70($A35*G$23/$D$16*$E$16)+$A34*G$23/$D$16*$D$19+PhiMayCanMang($A35*G$23/$D$16*2, $C$15/100,$D$15/100))*(1+$D$17))</f>
        <v>1899000</v>
      </c>
      <c r="M35" s="40">
        <f>LamChanHangNgan((PhiInKM4M_BHR70($A35*H$23/$D$16*$E$16)+$A34*H$23/$D$16*$D$19+PhiMayCanMang($A35*H$23/$D$16*2, $C$15/100,$D$15/100))*(1+$D$17))</f>
        <v>2460000</v>
      </c>
      <c r="N35" s="40">
        <f>LamChanHangNgan((PhiInKM4M_BHR70($A35*I$23/$D$16*$E$16)+$A34*I$23/$D$16*$D$19+PhiMayCanMang($A35*I$23/$D$16*2, $C$15/100,$D$15/100))*(1+$D$17))</f>
        <v>3021000</v>
      </c>
    </row>
    <row r="36" spans="1:14" x14ac:dyDescent="0.4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4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828000</v>
      </c>
      <c r="K37" s="40">
        <f>LamChanHangNgan((PhiInKM4M_BHR70($A37*F$23/$D$16*$E$16)+$A36*F$23/$D$16*$D$19+PhiMayCanMang($A37*F$23/$D$16*2, $C$15/100,$D$15/100))*(1+$D$17))</f>
        <v>1440000</v>
      </c>
      <c r="L37" s="40">
        <f>LamChanHangNgan((PhiInKM4M_BHR70($A37*G$23/$D$16*$E$16)+$A36*G$23/$D$16*$D$19+PhiMayCanMang($A37*G$23/$D$16*2, $C$15/100,$D$15/100))*(1+$D$17))</f>
        <v>2052000</v>
      </c>
      <c r="M37" s="40">
        <f>LamChanHangNgan((PhiInKM4M_BHR70($A37*H$23/$D$16*$E$16)+$A36*H$23/$D$16*$D$19+PhiMayCanMang($A37*H$23/$D$16*2, $C$15/100,$D$15/100))*(1+$D$17))</f>
        <v>2664000</v>
      </c>
      <c r="N37" s="40">
        <f>LamChanHangNgan((PhiInKM4M_BHR70($A37*I$23/$D$16*$E$16)+$A36*I$23/$D$16*$D$19+PhiMayCanMang($A37*I$23/$D$16*2, $C$15/100,$D$15/100))*(1+$D$17))</f>
        <v>3276000</v>
      </c>
    </row>
    <row r="38" spans="1:14" x14ac:dyDescent="0.45">
      <c r="A38" s="2"/>
      <c r="C38" s="7"/>
      <c r="D38" s="7"/>
      <c r="E38" s="7"/>
      <c r="F38" s="7"/>
      <c r="G38" s="7"/>
      <c r="H38" s="7"/>
    </row>
    <row r="39" spans="1:14" x14ac:dyDescent="0.45">
      <c r="A39" s="2"/>
    </row>
    <row r="40" spans="1:14" x14ac:dyDescent="0.45">
      <c r="A40" s="2" t="s">
        <v>314</v>
      </c>
    </row>
    <row r="41" spans="1:14" x14ac:dyDescent="0.45">
      <c r="A41" s="2" t="s">
        <v>315</v>
      </c>
      <c r="B41">
        <v>6000</v>
      </c>
      <c r="D41" t="s">
        <v>316</v>
      </c>
      <c r="E41" s="7">
        <f>PhiLDPT_XepDotVoCuonLX(E$23)+$B$41*$C$13/100</f>
        <v>16484.444499999998</v>
      </c>
      <c r="F41" s="7">
        <f t="shared" ref="F41:I41" si="8">PhiLDPT_XepDotVoCuonLX(F$23)+$B$41*$C$13/100</f>
        <v>17928.888899999998</v>
      </c>
      <c r="G41" s="7">
        <f t="shared" si="8"/>
        <v>19373.333500000001</v>
      </c>
      <c r="H41" s="7">
        <f t="shared" si="8"/>
        <v>20817.7778</v>
      </c>
      <c r="I41" s="7">
        <f t="shared" si="8"/>
        <v>22262.222600000001</v>
      </c>
    </row>
    <row r="42" spans="1:14" x14ac:dyDescent="0.45">
      <c r="A42" s="2"/>
      <c r="D42" t="s">
        <v>317</v>
      </c>
      <c r="E42" s="7">
        <f>E$41*(1+$D$17)</f>
        <v>28847.777874999996</v>
      </c>
      <c r="F42" s="7">
        <f t="shared" ref="F42:I42" si="9">F$41*(1+$D$17)</f>
        <v>31375.555574999998</v>
      </c>
      <c r="G42" s="7">
        <f t="shared" si="9"/>
        <v>33903.333624999999</v>
      </c>
      <c r="H42" s="7">
        <f t="shared" si="9"/>
        <v>36431.111149999997</v>
      </c>
      <c r="I42" s="7">
        <f t="shared" si="9"/>
        <v>38958.88955</v>
      </c>
    </row>
    <row r="43" spans="1:14" x14ac:dyDescent="0.4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45">
      <c r="A44" s="2"/>
    </row>
    <row r="45" spans="1:14" x14ac:dyDescent="0.45">
      <c r="A45" s="2"/>
    </row>
    <row r="46" spans="1:14" x14ac:dyDescent="0.45">
      <c r="A46" s="2"/>
    </row>
    <row r="47" spans="1:14" x14ac:dyDescent="0.45">
      <c r="A47" s="2"/>
    </row>
    <row r="48" spans="1:14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2"/>
    </row>
    <row r="54" spans="1:1" x14ac:dyDescent="0.45">
      <c r="A54" s="2"/>
    </row>
    <row r="55" spans="1:1" x14ac:dyDescent="0.45">
      <c r="A55" s="2"/>
    </row>
    <row r="56" spans="1:1" x14ac:dyDescent="0.45">
      <c r="A56" s="2"/>
    </row>
    <row r="57" spans="1:1" x14ac:dyDescent="0.45">
      <c r="A57" s="2"/>
    </row>
    <row r="58" spans="1:1" x14ac:dyDescent="0.45">
      <c r="A58" s="2"/>
    </row>
    <row r="59" spans="1:1" x14ac:dyDescent="0.45">
      <c r="A59" s="2"/>
    </row>
    <row r="60" spans="1:1" x14ac:dyDescent="0.45">
      <c r="A60" s="2"/>
    </row>
    <row r="61" spans="1:1" x14ac:dyDescent="0.45">
      <c r="A61" s="2"/>
    </row>
    <row r="62" spans="1:1" x14ac:dyDescent="0.45">
      <c r="A62" s="2"/>
    </row>
    <row r="63" spans="1:1" x14ac:dyDescent="0.45">
      <c r="A63" s="2"/>
    </row>
    <row r="64" spans="1:1" x14ac:dyDescent="0.45">
      <c r="A64" s="2"/>
    </row>
    <row r="65" spans="1:1" x14ac:dyDescent="0.4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4.25" x14ac:dyDescent="0.45"/>
  <cols>
    <col min="1" max="1" width="20" bestFit="1" customWidth="1"/>
    <col min="2" max="2" width="10.59765625" bestFit="1" customWidth="1"/>
    <col min="3" max="3" width="13.265625" bestFit="1" customWidth="1"/>
    <col min="7" max="7" width="12.59765625" bestFit="1" customWidth="1"/>
    <col min="10" max="10" width="11" bestFit="1" customWidth="1"/>
    <col min="12" max="12" width="6.86328125" bestFit="1" customWidth="1"/>
  </cols>
  <sheetData>
    <row r="1" spans="1:18" x14ac:dyDescent="0.45">
      <c r="C1" t="s">
        <v>48</v>
      </c>
    </row>
    <row r="2" spans="1:18" x14ac:dyDescent="0.4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4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4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4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4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4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4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4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4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4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4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4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4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4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4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4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4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4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workbookViewId="0">
      <selection activeCell="S16" sqref="S16"/>
    </sheetView>
  </sheetViews>
  <sheetFormatPr defaultRowHeight="14.25" x14ac:dyDescent="0.45"/>
  <cols>
    <col min="1" max="1" width="21.59765625" bestFit="1" customWidth="1"/>
    <col min="2" max="2" width="19" bestFit="1" customWidth="1"/>
    <col min="6" max="6" width="21.59765625" bestFit="1" customWidth="1"/>
    <col min="7" max="7" width="19" bestFit="1" customWidth="1"/>
    <col min="8" max="8" width="8.1328125" bestFit="1" customWidth="1"/>
    <col min="11" max="11" width="17.86328125" bestFit="1" customWidth="1"/>
    <col min="12" max="12" width="15.59765625" bestFit="1" customWidth="1"/>
    <col min="13" max="13" width="8.1328125" bestFit="1" customWidth="1"/>
    <col min="16" max="16" width="17.73046875" bestFit="1" customWidth="1"/>
    <col min="17" max="17" width="19.73046875" bestFit="1" customWidth="1"/>
    <col min="18" max="18" width="6.3984375" bestFit="1" customWidth="1"/>
  </cols>
  <sheetData>
    <row r="1" spans="1:18" x14ac:dyDescent="0.4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4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4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4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45">
      <c r="P5" t="s">
        <v>174</v>
      </c>
      <c r="Q5" t="s">
        <v>181</v>
      </c>
      <c r="R5">
        <v>488</v>
      </c>
    </row>
    <row r="6" spans="1:18" x14ac:dyDescent="0.45">
      <c r="P6" t="s">
        <v>176</v>
      </c>
      <c r="Q6" t="s">
        <v>182</v>
      </c>
      <c r="R6">
        <v>355</v>
      </c>
    </row>
    <row r="7" spans="1:18" x14ac:dyDescent="0.45">
      <c r="P7" t="s">
        <v>177</v>
      </c>
      <c r="Q7" t="s">
        <v>180</v>
      </c>
      <c r="R7">
        <v>500</v>
      </c>
    </row>
    <row r="8" spans="1:18" x14ac:dyDescent="0.45">
      <c r="P8" t="s">
        <v>178</v>
      </c>
      <c r="Q8" t="s">
        <v>183</v>
      </c>
      <c r="R8">
        <v>515</v>
      </c>
    </row>
    <row r="9" spans="1:18" x14ac:dyDescent="0.45">
      <c r="P9" t="s">
        <v>152</v>
      </c>
      <c r="Q9" t="s">
        <v>145</v>
      </c>
      <c r="R9">
        <v>628</v>
      </c>
    </row>
    <row r="10" spans="1:18" x14ac:dyDescent="0.45">
      <c r="P10" t="s">
        <v>199</v>
      </c>
      <c r="Q10" t="s">
        <v>200</v>
      </c>
      <c r="R10">
        <v>700</v>
      </c>
    </row>
    <row r="11" spans="1:18" x14ac:dyDescent="0.45">
      <c r="P11" t="s">
        <v>153</v>
      </c>
      <c r="Q11" t="s">
        <v>146</v>
      </c>
      <c r="R11">
        <v>860</v>
      </c>
    </row>
    <row r="12" spans="1:18" x14ac:dyDescent="0.45">
      <c r="P12" t="s">
        <v>154</v>
      </c>
      <c r="Q12" t="s">
        <v>147</v>
      </c>
      <c r="R12">
        <v>1056</v>
      </c>
    </row>
    <row r="13" spans="1:18" x14ac:dyDescent="0.45">
      <c r="P13" t="s">
        <v>201</v>
      </c>
      <c r="Q13" t="s">
        <v>202</v>
      </c>
      <c r="R13">
        <v>785</v>
      </c>
    </row>
    <row r="14" spans="1:18" x14ac:dyDescent="0.45">
      <c r="P14" t="s">
        <v>235</v>
      </c>
      <c r="Q14" t="s">
        <v>238</v>
      </c>
      <c r="R14">
        <v>1600</v>
      </c>
    </row>
    <row r="15" spans="1:18" x14ac:dyDescent="0.45">
      <c r="P15" t="s">
        <v>203</v>
      </c>
      <c r="Q15" t="s">
        <v>204</v>
      </c>
      <c r="R15">
        <v>1030</v>
      </c>
    </row>
    <row r="16" spans="1:18" x14ac:dyDescent="0.45">
      <c r="P16" t="s">
        <v>243</v>
      </c>
      <c r="Q16" t="s">
        <v>244</v>
      </c>
      <c r="R16">
        <v>1060</v>
      </c>
    </row>
    <row r="17" spans="16:18" x14ac:dyDescent="0.45">
      <c r="P17" t="s">
        <v>155</v>
      </c>
      <c r="Q17" t="s">
        <v>148</v>
      </c>
      <c r="R17">
        <v>1272</v>
      </c>
    </row>
    <row r="18" spans="16:18" x14ac:dyDescent="0.45">
      <c r="P18" t="s">
        <v>236</v>
      </c>
      <c r="Q18" t="s">
        <v>237</v>
      </c>
      <c r="R18">
        <v>2060</v>
      </c>
    </row>
    <row r="19" spans="16:18" x14ac:dyDescent="0.45">
      <c r="P19" t="s">
        <v>156</v>
      </c>
      <c r="Q19" t="s">
        <v>149</v>
      </c>
      <c r="R19">
        <v>1200</v>
      </c>
    </row>
    <row r="20" spans="16:18" x14ac:dyDescent="0.45">
      <c r="P20" t="s">
        <v>157</v>
      </c>
      <c r="Q20" t="s">
        <v>150</v>
      </c>
      <c r="R20">
        <v>1456</v>
      </c>
    </row>
    <row r="21" spans="16:18" x14ac:dyDescent="0.45">
      <c r="P21" t="s">
        <v>158</v>
      </c>
      <c r="Q21" t="s">
        <v>151</v>
      </c>
      <c r="R21">
        <v>1704</v>
      </c>
    </row>
    <row r="22" spans="16:18" x14ac:dyDescent="0.45">
      <c r="P22" t="s">
        <v>163</v>
      </c>
      <c r="Q22" t="s">
        <v>184</v>
      </c>
      <c r="R22">
        <v>488</v>
      </c>
    </row>
    <row r="23" spans="16:18" x14ac:dyDescent="0.45">
      <c r="P23" t="s">
        <v>164</v>
      </c>
      <c r="Q23" t="s">
        <v>185</v>
      </c>
      <c r="R23">
        <v>584</v>
      </c>
    </row>
    <row r="24" spans="16:18" x14ac:dyDescent="0.45">
      <c r="P24" t="s">
        <v>250</v>
      </c>
      <c r="Q24" t="s">
        <v>251</v>
      </c>
      <c r="R24">
        <v>2920</v>
      </c>
    </row>
    <row r="25" spans="16:18" x14ac:dyDescent="0.45">
      <c r="P25" t="s">
        <v>161</v>
      </c>
      <c r="Q25" t="s">
        <v>186</v>
      </c>
      <c r="R25">
        <v>700</v>
      </c>
    </row>
    <row r="26" spans="16:18" x14ac:dyDescent="0.45">
      <c r="P26" t="s">
        <v>252</v>
      </c>
      <c r="Q26" t="s">
        <v>186</v>
      </c>
      <c r="R26">
        <v>3500</v>
      </c>
    </row>
    <row r="27" spans="16:18" x14ac:dyDescent="0.45">
      <c r="P27" t="s">
        <v>160</v>
      </c>
      <c r="Q27" t="s">
        <v>187</v>
      </c>
      <c r="R27">
        <v>900</v>
      </c>
    </row>
    <row r="28" spans="16:18" x14ac:dyDescent="0.45">
      <c r="P28" t="s">
        <v>159</v>
      </c>
      <c r="Q28" t="s">
        <v>188</v>
      </c>
      <c r="R28">
        <v>740</v>
      </c>
    </row>
    <row r="29" spans="16:18" x14ac:dyDescent="0.45">
      <c r="P29" t="s">
        <v>162</v>
      </c>
      <c r="Q29" t="s">
        <v>189</v>
      </c>
      <c r="R29">
        <v>1232</v>
      </c>
    </row>
    <row r="30" spans="16:18" x14ac:dyDescent="0.45">
      <c r="P30" t="s">
        <v>166</v>
      </c>
      <c r="Q30" t="s">
        <v>190</v>
      </c>
    </row>
    <row r="31" spans="16:18" x14ac:dyDescent="0.45">
      <c r="P31" t="s">
        <v>165</v>
      </c>
      <c r="Q31" t="s">
        <v>192</v>
      </c>
    </row>
    <row r="32" spans="16:18" x14ac:dyDescent="0.45">
      <c r="P32" t="s">
        <v>167</v>
      </c>
      <c r="Q32" t="s">
        <v>191</v>
      </c>
    </row>
    <row r="33" spans="16:18" x14ac:dyDescent="0.45">
      <c r="P33" t="s">
        <v>168</v>
      </c>
      <c r="Q33" t="s">
        <v>193</v>
      </c>
    </row>
    <row r="34" spans="16:18" x14ac:dyDescent="0.45">
      <c r="P34" t="s">
        <v>172</v>
      </c>
      <c r="Q34" t="s">
        <v>194</v>
      </c>
    </row>
    <row r="35" spans="16:18" x14ac:dyDescent="0.45">
      <c r="P35" t="s">
        <v>171</v>
      </c>
      <c r="Q35" t="s">
        <v>195</v>
      </c>
    </row>
    <row r="36" spans="16:18" x14ac:dyDescent="0.45">
      <c r="P36" t="s">
        <v>170</v>
      </c>
      <c r="Q36" t="s">
        <v>196</v>
      </c>
    </row>
    <row r="37" spans="16:18" x14ac:dyDescent="0.45">
      <c r="P37" t="s">
        <v>169</v>
      </c>
      <c r="Q37" t="s">
        <v>197</v>
      </c>
    </row>
    <row r="38" spans="16:18" x14ac:dyDescent="0.45">
      <c r="P38" t="s">
        <v>239</v>
      </c>
      <c r="Q38" t="s">
        <v>240</v>
      </c>
      <c r="R38">
        <v>4200</v>
      </c>
    </row>
    <row r="39" spans="16:18" x14ac:dyDescent="0.45">
      <c r="P39" t="s">
        <v>241</v>
      </c>
      <c r="Q39" t="s">
        <v>242</v>
      </c>
      <c r="R39">
        <v>3500</v>
      </c>
    </row>
    <row r="40" spans="16:18" x14ac:dyDescent="0.45">
      <c r="P40" t="s">
        <v>246</v>
      </c>
      <c r="Q40" t="s">
        <v>247</v>
      </c>
      <c r="R40">
        <v>1250</v>
      </c>
    </row>
    <row r="41" spans="16:18" x14ac:dyDescent="0.45">
      <c r="P41" t="s">
        <v>277</v>
      </c>
      <c r="Q41" t="s">
        <v>278</v>
      </c>
      <c r="R41">
        <v>1650</v>
      </c>
    </row>
    <row r="42" spans="16:18" x14ac:dyDescent="0.45">
      <c r="P42" t="s">
        <v>279</v>
      </c>
      <c r="Q42" t="s">
        <v>280</v>
      </c>
      <c r="R42">
        <v>810</v>
      </c>
    </row>
    <row r="43" spans="16:18" x14ac:dyDescent="0.4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4.25" x14ac:dyDescent="0.45"/>
  <cols>
    <col min="3" max="3" width="7.1328125" bestFit="1" customWidth="1"/>
  </cols>
  <sheetData>
    <row r="2" spans="2:3" x14ac:dyDescent="0.45">
      <c r="B2" s="28" t="s">
        <v>135</v>
      </c>
      <c r="C2" s="28" t="s">
        <v>136</v>
      </c>
    </row>
    <row r="3" spans="2:3" x14ac:dyDescent="0.45">
      <c r="B3" s="29">
        <v>0.15</v>
      </c>
      <c r="C3" s="29">
        <v>0.13</v>
      </c>
    </row>
    <row r="4" spans="2:3" x14ac:dyDescent="0.45">
      <c r="B4" s="29">
        <v>0.2</v>
      </c>
      <c r="C4" s="30">
        <v>0.16700000000000001</v>
      </c>
    </row>
    <row r="5" spans="2:3" x14ac:dyDescent="0.45">
      <c r="B5" s="29">
        <v>0.25</v>
      </c>
      <c r="C5" s="29">
        <v>0.2</v>
      </c>
    </row>
    <row r="6" spans="2:3" x14ac:dyDescent="0.45">
      <c r="B6" s="29">
        <v>0.3</v>
      </c>
      <c r="C6" s="29">
        <v>0.23</v>
      </c>
    </row>
    <row r="7" spans="2:3" x14ac:dyDescent="0.45">
      <c r="B7" s="30">
        <v>0.33300000000000002</v>
      </c>
      <c r="C7" s="29">
        <v>0.25</v>
      </c>
    </row>
    <row r="8" spans="2:3" x14ac:dyDescent="0.45">
      <c r="B8" s="29">
        <v>0.4</v>
      </c>
      <c r="C8" s="30">
        <v>0.28599999999999998</v>
      </c>
    </row>
    <row r="9" spans="2:3" x14ac:dyDescent="0.45">
      <c r="B9" s="29">
        <v>0.43</v>
      </c>
      <c r="C9" s="29">
        <v>0.3</v>
      </c>
    </row>
    <row r="10" spans="2:3" x14ac:dyDescent="0.45">
      <c r="B10" s="29">
        <v>0.5</v>
      </c>
      <c r="C10" s="29">
        <v>0.33</v>
      </c>
    </row>
    <row r="11" spans="2:3" x14ac:dyDescent="0.45">
      <c r="B11" s="29">
        <v>0.75</v>
      </c>
      <c r="C11" s="30">
        <v>0.42899999999999999</v>
      </c>
    </row>
    <row r="12" spans="2:3" x14ac:dyDescent="0.4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14</vt:i4>
      </vt:variant>
      <vt:variant>
        <vt:lpstr>Phạm vi Có tên</vt:lpstr>
      </vt:variant>
      <vt:variant>
        <vt:i4>8</vt:i4>
      </vt:variant>
    </vt:vector>
  </HeadingPairs>
  <TitlesOfParts>
    <vt:vector size="22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2019-06-07T00:15:22Z</dcterms:modified>
</cp:coreProperties>
</file>