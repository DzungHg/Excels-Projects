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71C94EF5-55EA-46C0-BA7C-1CDD18C6B1AA}" xr6:coauthVersionLast="44" xr6:coauthVersionMax="44" xr10:uidLastSave="{00000000-0000-0000-0000-000000000000}"/>
  <bookViews>
    <workbookView xWindow="0" yWindow="0" windowWidth="28800" windowHeight="15750" firstSheet="15" activeTab="17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LX-10x19-v2" sheetId="56" r:id="rId12"/>
    <sheet name="Menu-LX-DongCuon" sheetId="57" r:id="rId13"/>
    <sheet name="Menu-LX-15x19-v2" sheetId="55" r:id="rId14"/>
    <sheet name="Menu-LX-19x30_v2" sheetId="54" r:id="rId15"/>
    <sheet name="Menu-LX-15x34_v2" sheetId="53" r:id="rId16"/>
    <sheet name="Menu-BiaCungVit-Ruot" sheetId="49" r:id="rId17"/>
    <sheet name="Menu-BatVit-Zen-TheoNhuCau" sheetId="59" r:id="rId18"/>
    <sheet name="Menu-BatVit-LamBiaCung-TheoNhuC" sheetId="60" r:id="rId19"/>
    <sheet name="Menu-BiaCungVit-Bia" sheetId="50" r:id="rId20"/>
    <sheet name="Menu-MoPhang-Ruot" sheetId="51" r:id="rId21"/>
    <sheet name="Menu-MoPhang-Bia" sheetId="52" r:id="rId22"/>
    <sheet name="Base-MayIn" sheetId="10" r:id="rId23"/>
    <sheet name="NguyenVatLieu" sheetId="13" r:id="rId24"/>
    <sheet name="Base-Margin" sheetId="15" r:id="rId25"/>
  </sheets>
  <functionGroups builtInGroupCount="19"/>
  <definedNames>
    <definedName name="atools_list_filter_1" localSheetId="1" hidden="1">BaiCMYK!$E$8:$F$9</definedName>
    <definedName name="atools_list_filter_1" localSheetId="16" hidden="1">'Menu-BiaCungVit-Ruot'!$B$21:$D$21</definedName>
    <definedName name="atools_list_filter_1" localSheetId="7" hidden="1">'Menu-LXo-10x19'!$A$13:$D$13</definedName>
    <definedName name="atools_list_filter_1" localSheetId="21" hidden="1">'Menu-MoPhang-Bia'!$B$19:$D$19</definedName>
    <definedName name="atools_list_filter_1" localSheetId="20" hidden="1">'Menu-MoPhang-Ruot'!$B$19:$D$19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16" hidden="1">";;"</definedName>
    <definedName name="atools_list_filter_1_colinvisibles_ext" localSheetId="7" hidden="1">";;;"</definedName>
    <definedName name="atools_list_filter_1_colinvisibles_ext" localSheetId="21" hidden="1">";;"</definedName>
    <definedName name="atools_list_filter_1_colinvisibles_ext" localSheetId="20" hidden="1">";;"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16" hidden="1">"1;2;3"</definedName>
    <definedName name="atools_list_filter_1_colsrcidxs_ext" localSheetId="7" hidden="1">"1;2;3;4"</definedName>
    <definedName name="atools_list_filter_1_colsrcidxs_ext" localSheetId="21" hidden="1">"1;2;3"</definedName>
    <definedName name="atools_list_filter_1_colsrcidxs_ext" localSheetId="20" hidden="1">"1;2;3"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16" hidden="1">"77;96;88"</definedName>
    <definedName name="atools_list_filter_1_colwidths_ext" localSheetId="7" hidden="1">"92;76;71;80"</definedName>
    <definedName name="atools_list_filter_1_colwidths_ext" localSheetId="21" hidden="1">"88;96;84"</definedName>
    <definedName name="atools_list_filter_1_colwidths_ext" localSheetId="20" hidden="1">"88;96;84"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16" hidden="1">"='Menu-BiaCungVit-Ruot'!$B$21:$D$21"</definedName>
    <definedName name="atools_list_filter_1_onrangeaddr" localSheetId="7" hidden="1">"='Menu-LXo'!$A$13:$D$13"</definedName>
    <definedName name="atools_list_filter_1_onrangeaddr" localSheetId="21" hidden="1">"='Menu-MoPhang-Bia'!$B$19:$D$19"</definedName>
    <definedName name="atools_list_filter_1_onrangeaddr" localSheetId="20" hidden="1">"='Menu-MoPhang-Ruot'!$B$19:$D$19"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16" hidden="1">"0;1;2"</definedName>
    <definedName name="atools_list_filter_1_pos_ext" localSheetId="7" hidden="1">"0;1;2;3"</definedName>
    <definedName name="atools_list_filter_1_pos_ext" localSheetId="21" hidden="1">"0;1;2"</definedName>
    <definedName name="atools_list_filter_1_pos_ext" localSheetId="20" hidden="1">"0;1;2"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16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21" hidden="1">"1|1|0|0|0|||322|133||0|,||1||0||0|18|185|2.0|1|1|1|0"</definedName>
    <definedName name="atools_list_filter_1_proper" localSheetId="20" hidden="1">"1|1|0|0|0|||324|118||0|,||1||0||0|18|185|2.0|1|1|1|0"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16" hidden="1">GIA_MANG</definedName>
    <definedName name="atools_list_filter_1_source" localSheetId="7" hidden="1">KHO_CAT_SAN_PHAM</definedName>
    <definedName name="atools_list_filter_1_source" localSheetId="21" hidden="1">GIA_GIAY_CO_BAN</definedName>
    <definedName name="atools_list_filter_1_source" localSheetId="20" hidden="1">GIA_GIAY_CO_BAN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16" hidden="1">"=GIA_MANG"</definedName>
    <definedName name="atools_list_filter_1_sourceaddr" localSheetId="7" hidden="1">"=KHO_CAT_SAN_PHAM"</definedName>
    <definedName name="atools_list_filter_1_sourceaddr" localSheetId="21" hidden="1">"=GIA_GIAY_CO_BAN"</definedName>
    <definedName name="atools_list_filter_1_sourceaddr" localSheetId="20" hidden="1">"=GIA_GIAY_CO_BAN"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9" i="59" l="1"/>
  <c r="G8" i="11" a="1"/>
  <c r="B2" i="11" a="1"/>
  <c r="E34" i="60"/>
  <c r="G8" i="11" l="1"/>
  <c r="K8" i="11"/>
  <c r="J9" i="11"/>
  <c r="I10" i="11"/>
  <c r="H11" i="11"/>
  <c r="H8" i="11"/>
  <c r="G9" i="11"/>
  <c r="K9" i="11"/>
  <c r="I11" i="11"/>
  <c r="I8" i="11"/>
  <c r="H9" i="11"/>
  <c r="G10" i="11"/>
  <c r="K10" i="11"/>
  <c r="J11" i="11"/>
  <c r="J8" i="11"/>
  <c r="I9" i="11"/>
  <c r="G11" i="11"/>
  <c r="K11" i="11"/>
  <c r="J10" i="11"/>
  <c r="H10" i="11"/>
  <c r="B2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F2" i="11"/>
  <c r="E3" i="11"/>
  <c r="D4" i="11"/>
  <c r="C5" i="11"/>
  <c r="I30" i="60"/>
  <c r="G30" i="60"/>
  <c r="I25" i="60"/>
  <c r="G25" i="60"/>
  <c r="E25" i="60"/>
  <c r="E19" i="60"/>
  <c r="G13" i="60"/>
  <c r="J13" i="60" s="1"/>
  <c r="F13" i="60"/>
  <c r="I13" i="60" s="1"/>
  <c r="B25" i="59"/>
  <c r="E19" i="59"/>
  <c r="G13" i="59"/>
  <c r="F13" i="59"/>
  <c r="E26" i="60"/>
  <c r="E28" i="60"/>
  <c r="I34" i="60"/>
  <c r="G34" i="60"/>
  <c r="I26" i="60"/>
  <c r="M12" i="60"/>
  <c r="I31" i="60"/>
  <c r="G31" i="60"/>
  <c r="G28" i="60"/>
  <c r="I28" i="60"/>
  <c r="D16" i="59"/>
  <c r="E27" i="60" l="1"/>
  <c r="E29" i="60"/>
  <c r="E32" i="60" s="1"/>
  <c r="I27" i="60"/>
  <c r="I29" i="60" s="1"/>
  <c r="I32" i="60" s="1"/>
  <c r="G27" i="60"/>
  <c r="E25" i="59"/>
  <c r="I25" i="59"/>
  <c r="F25" i="59"/>
  <c r="E26" i="59"/>
  <c r="E28" i="59"/>
  <c r="E35" i="60"/>
  <c r="F26" i="59"/>
  <c r="F28" i="59"/>
  <c r="F29" i="59"/>
  <c r="I35" i="60"/>
  <c r="G26" i="60"/>
  <c r="I29" i="59"/>
  <c r="E42" i="50"/>
  <c r="I39" i="50"/>
  <c r="G39" i="50"/>
  <c r="H39" i="50"/>
  <c r="F39" i="50"/>
  <c r="E39" i="50"/>
  <c r="E34" i="50"/>
  <c r="F27" i="59" l="1"/>
  <c r="F30" i="59" s="1"/>
  <c r="E27" i="59"/>
  <c r="E30" i="59" s="1"/>
  <c r="G29" i="60"/>
  <c r="G32" i="60" s="1"/>
  <c r="I27" i="59"/>
  <c r="E31" i="59"/>
  <c r="F31" i="59"/>
  <c r="E37" i="60"/>
  <c r="G35" i="60"/>
  <c r="I37" i="60"/>
  <c r="I28" i="59"/>
  <c r="I26" i="59"/>
  <c r="F34" i="59" l="1"/>
  <c r="F36" i="59" s="1"/>
  <c r="E34" i="59"/>
  <c r="I26" i="57"/>
  <c r="H26" i="57"/>
  <c r="G26" i="57"/>
  <c r="F26" i="57"/>
  <c r="E26" i="57"/>
  <c r="G37" i="60"/>
  <c r="I31" i="59"/>
  <c r="E19" i="57" l="1"/>
  <c r="I13" i="57"/>
  <c r="G13" i="57"/>
  <c r="J13" i="57" s="1"/>
  <c r="F13" i="57"/>
  <c r="I25" i="57"/>
  <c r="F25" i="57"/>
  <c r="E25" i="57"/>
  <c r="H25" i="57"/>
  <c r="G25" i="57"/>
  <c r="M12" i="57"/>
  <c r="H27" i="57" l="1"/>
  <c r="H28" i="57" s="1"/>
  <c r="G27" i="57"/>
  <c r="G28" i="57" s="1"/>
  <c r="F27" i="57"/>
  <c r="F28" i="57" s="1"/>
  <c r="E27" i="57"/>
  <c r="E28" i="57" s="1"/>
  <c r="I27" i="57"/>
  <c r="I28" i="57" s="1"/>
  <c r="B67" i="56" l="1"/>
  <c r="B60" i="56"/>
  <c r="B53" i="56"/>
  <c r="B46" i="56"/>
  <c r="B39" i="56"/>
  <c r="B32" i="56"/>
  <c r="B25" i="56"/>
  <c r="E19" i="56"/>
  <c r="G13" i="56"/>
  <c r="F13" i="56"/>
  <c r="B67" i="55"/>
  <c r="B60" i="55"/>
  <c r="B53" i="55"/>
  <c r="B46" i="55"/>
  <c r="B39" i="55"/>
  <c r="B32" i="55"/>
  <c r="B25" i="55"/>
  <c r="E19" i="55"/>
  <c r="G13" i="55"/>
  <c r="F13" i="55"/>
  <c r="B67" i="54"/>
  <c r="B60" i="54"/>
  <c r="B53" i="54"/>
  <c r="B46" i="54"/>
  <c r="B39" i="54"/>
  <c r="B32" i="54"/>
  <c r="B25" i="54"/>
  <c r="E19" i="54"/>
  <c r="G13" i="54"/>
  <c r="F13" i="54"/>
  <c r="B67" i="53"/>
  <c r="B60" i="53"/>
  <c r="B53" i="53"/>
  <c r="B46" i="53"/>
  <c r="B39" i="53"/>
  <c r="B32" i="53"/>
  <c r="B25" i="53"/>
  <c r="E19" i="53"/>
  <c r="G13" i="53"/>
  <c r="F13" i="53"/>
  <c r="D16" i="56"/>
  <c r="D16" i="53"/>
  <c r="D16" i="55"/>
  <c r="D16" i="54"/>
  <c r="F67" i="56" l="1"/>
  <c r="I60" i="56"/>
  <c r="E60" i="56"/>
  <c r="H53" i="56"/>
  <c r="G46" i="56"/>
  <c r="F39" i="56"/>
  <c r="I32" i="56"/>
  <c r="E32" i="56"/>
  <c r="H25" i="56"/>
  <c r="I67" i="56"/>
  <c r="E67" i="56"/>
  <c r="H60" i="56"/>
  <c r="G53" i="56"/>
  <c r="F46" i="56"/>
  <c r="I39" i="56"/>
  <c r="E39" i="56"/>
  <c r="H32" i="56"/>
  <c r="G25" i="56"/>
  <c r="H67" i="56"/>
  <c r="G60" i="56"/>
  <c r="F53" i="56"/>
  <c r="I46" i="56"/>
  <c r="E46" i="56"/>
  <c r="H39" i="56"/>
  <c r="G32" i="56"/>
  <c r="F25" i="56"/>
  <c r="G67" i="56"/>
  <c r="F60" i="56"/>
  <c r="I53" i="56"/>
  <c r="E53" i="56"/>
  <c r="H46" i="56"/>
  <c r="G39" i="56"/>
  <c r="F32" i="56"/>
  <c r="I25" i="56"/>
  <c r="E25" i="56"/>
  <c r="F67" i="55"/>
  <c r="I60" i="55"/>
  <c r="E60" i="55"/>
  <c r="H53" i="55"/>
  <c r="G46" i="55"/>
  <c r="F39" i="55"/>
  <c r="I32" i="55"/>
  <c r="E32" i="55"/>
  <c r="H25" i="55"/>
  <c r="I53" i="55"/>
  <c r="H46" i="55"/>
  <c r="E25" i="55"/>
  <c r="I67" i="55"/>
  <c r="E67" i="55"/>
  <c r="H60" i="55"/>
  <c r="G53" i="55"/>
  <c r="F46" i="55"/>
  <c r="I39" i="55"/>
  <c r="E39" i="55"/>
  <c r="H32" i="55"/>
  <c r="G25" i="55"/>
  <c r="G60" i="55"/>
  <c r="F53" i="55"/>
  <c r="E46" i="55"/>
  <c r="G32" i="55"/>
  <c r="F25" i="55"/>
  <c r="H67" i="55"/>
  <c r="I46" i="55"/>
  <c r="H39" i="55"/>
  <c r="G67" i="55"/>
  <c r="F60" i="55"/>
  <c r="E53" i="55"/>
  <c r="G39" i="55"/>
  <c r="F32" i="55"/>
  <c r="I25" i="55"/>
  <c r="F67" i="54"/>
  <c r="I60" i="54"/>
  <c r="E60" i="54"/>
  <c r="H53" i="54"/>
  <c r="G46" i="54"/>
  <c r="F39" i="54"/>
  <c r="I32" i="54"/>
  <c r="E32" i="54"/>
  <c r="H25" i="54"/>
  <c r="H67" i="54"/>
  <c r="G60" i="54"/>
  <c r="I46" i="54"/>
  <c r="I67" i="54"/>
  <c r="E67" i="54"/>
  <c r="H60" i="54"/>
  <c r="G53" i="54"/>
  <c r="F46" i="54"/>
  <c r="I39" i="54"/>
  <c r="E39" i="54"/>
  <c r="H32" i="54"/>
  <c r="G25" i="54"/>
  <c r="F53" i="54"/>
  <c r="E46" i="54"/>
  <c r="H39" i="54"/>
  <c r="G32" i="54"/>
  <c r="F25" i="54"/>
  <c r="G67" i="54"/>
  <c r="E25" i="54"/>
  <c r="I53" i="54"/>
  <c r="G39" i="54"/>
  <c r="F60" i="54"/>
  <c r="E53" i="54"/>
  <c r="H46" i="54"/>
  <c r="F32" i="54"/>
  <c r="I25" i="54"/>
  <c r="G67" i="53"/>
  <c r="G60" i="53"/>
  <c r="G53" i="53"/>
  <c r="G46" i="53"/>
  <c r="G39" i="53"/>
  <c r="G32" i="53"/>
  <c r="G25" i="53"/>
  <c r="H67" i="53"/>
  <c r="F67" i="53"/>
  <c r="F60" i="53"/>
  <c r="F53" i="53"/>
  <c r="F46" i="53"/>
  <c r="F39" i="53"/>
  <c r="F32" i="53"/>
  <c r="F25" i="53"/>
  <c r="I67" i="53"/>
  <c r="E67" i="53"/>
  <c r="I60" i="53"/>
  <c r="E60" i="53"/>
  <c r="I53" i="53"/>
  <c r="E53" i="53"/>
  <c r="I46" i="53"/>
  <c r="E46" i="53"/>
  <c r="I39" i="53"/>
  <c r="E39" i="53"/>
  <c r="I32" i="53"/>
  <c r="E32" i="53"/>
  <c r="I25" i="53"/>
  <c r="E25" i="53"/>
  <c r="H60" i="53"/>
  <c r="H53" i="53"/>
  <c r="H46" i="53"/>
  <c r="H39" i="53"/>
  <c r="H32" i="53"/>
  <c r="H25" i="53"/>
  <c r="I30" i="52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I31" i="52"/>
  <c r="H31" i="52"/>
  <c r="G33" i="52"/>
  <c r="F26" i="52"/>
  <c r="E33" i="52"/>
  <c r="G26" i="52"/>
  <c r="H33" i="52"/>
  <c r="F33" i="52"/>
  <c r="E31" i="52"/>
  <c r="I28" i="52"/>
  <c r="I33" i="52"/>
  <c r="H28" i="52"/>
  <c r="D16" i="51"/>
  <c r="G28" i="52"/>
  <c r="E28" i="52"/>
  <c r="G31" i="52"/>
  <c r="F31" i="52"/>
  <c r="M12" i="52"/>
  <c r="E69" i="56" l="1"/>
  <c r="F62" i="56"/>
  <c r="G62" i="56"/>
  <c r="H62" i="56"/>
  <c r="H55" i="56"/>
  <c r="H48" i="56"/>
  <c r="E48" i="56"/>
  <c r="I41" i="56"/>
  <c r="E62" i="56"/>
  <c r="I27" i="56"/>
  <c r="E55" i="56"/>
  <c r="F27" i="56"/>
  <c r="I48" i="56"/>
  <c r="G27" i="56"/>
  <c r="F48" i="56"/>
  <c r="I69" i="56"/>
  <c r="F41" i="56"/>
  <c r="I62" i="56"/>
  <c r="G41" i="56"/>
  <c r="H41" i="56"/>
  <c r="E41" i="56"/>
  <c r="E34" i="56"/>
  <c r="E27" i="56"/>
  <c r="G69" i="56"/>
  <c r="H69" i="56"/>
  <c r="I34" i="56"/>
  <c r="F34" i="56"/>
  <c r="I55" i="56"/>
  <c r="G34" i="56"/>
  <c r="F55" i="56"/>
  <c r="H34" i="56"/>
  <c r="G55" i="56"/>
  <c r="H27" i="56"/>
  <c r="G48" i="56"/>
  <c r="F69" i="56"/>
  <c r="E55" i="55"/>
  <c r="E48" i="55"/>
  <c r="E34" i="55"/>
  <c r="I48" i="55"/>
  <c r="H34" i="55"/>
  <c r="G55" i="55"/>
  <c r="E27" i="55"/>
  <c r="H55" i="55"/>
  <c r="I27" i="55"/>
  <c r="F62" i="55"/>
  <c r="H69" i="55"/>
  <c r="F55" i="55"/>
  <c r="E41" i="55"/>
  <c r="H62" i="55"/>
  <c r="H48" i="55"/>
  <c r="I34" i="55"/>
  <c r="E62" i="55"/>
  <c r="F34" i="55"/>
  <c r="G69" i="55"/>
  <c r="F27" i="55"/>
  <c r="G62" i="55"/>
  <c r="I41" i="55"/>
  <c r="E69" i="55"/>
  <c r="I55" i="55"/>
  <c r="F41" i="55"/>
  <c r="I62" i="55"/>
  <c r="G41" i="55"/>
  <c r="H41" i="55"/>
  <c r="G34" i="55"/>
  <c r="G27" i="55"/>
  <c r="F48" i="55"/>
  <c r="I69" i="55"/>
  <c r="H27" i="55"/>
  <c r="G48" i="55"/>
  <c r="F69" i="55"/>
  <c r="E27" i="54"/>
  <c r="H34" i="54"/>
  <c r="I48" i="54"/>
  <c r="H55" i="54"/>
  <c r="I27" i="54"/>
  <c r="G69" i="54"/>
  <c r="E41" i="54"/>
  <c r="G62" i="54"/>
  <c r="E62" i="54"/>
  <c r="F34" i="54"/>
  <c r="G41" i="54"/>
  <c r="F27" i="54"/>
  <c r="F55" i="54"/>
  <c r="I41" i="54"/>
  <c r="E69" i="54"/>
  <c r="H69" i="54"/>
  <c r="F41" i="54"/>
  <c r="I62" i="54"/>
  <c r="E55" i="54"/>
  <c r="H41" i="54"/>
  <c r="G55" i="54"/>
  <c r="E34" i="54"/>
  <c r="F62" i="54"/>
  <c r="E48" i="54"/>
  <c r="H62" i="54"/>
  <c r="I34" i="54"/>
  <c r="H48" i="54"/>
  <c r="I55" i="54"/>
  <c r="G34" i="54"/>
  <c r="G27" i="54"/>
  <c r="F48" i="54"/>
  <c r="I69" i="54"/>
  <c r="H27" i="54"/>
  <c r="G48" i="54"/>
  <c r="F69" i="54"/>
  <c r="H48" i="53"/>
  <c r="I27" i="53"/>
  <c r="I41" i="53"/>
  <c r="I55" i="53"/>
  <c r="I69" i="53"/>
  <c r="F48" i="53"/>
  <c r="H69" i="53"/>
  <c r="G48" i="53"/>
  <c r="H27" i="53"/>
  <c r="H55" i="53"/>
  <c r="E34" i="53"/>
  <c r="E48" i="53"/>
  <c r="E62" i="53"/>
  <c r="F27" i="53"/>
  <c r="F55" i="53"/>
  <c r="G27" i="53"/>
  <c r="G55" i="53"/>
  <c r="H34" i="53"/>
  <c r="H62" i="53"/>
  <c r="I34" i="53"/>
  <c r="I48" i="53"/>
  <c r="I62" i="53"/>
  <c r="F34" i="53"/>
  <c r="F62" i="53"/>
  <c r="G34" i="53"/>
  <c r="G62" i="53"/>
  <c r="H41" i="53"/>
  <c r="E27" i="53"/>
  <c r="E41" i="53"/>
  <c r="E55" i="53"/>
  <c r="E69" i="53"/>
  <c r="F41" i="53"/>
  <c r="F69" i="53"/>
  <c r="G41" i="53"/>
  <c r="G69" i="53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E51" i="51" l="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F26" i="53"/>
  <c r="G62" i="51"/>
  <c r="I30" i="51"/>
  <c r="E68" i="54"/>
  <c r="H31" i="50"/>
  <c r="H34" i="50"/>
  <c r="H42" i="55"/>
  <c r="G70" i="51"/>
  <c r="F33" i="53"/>
  <c r="G30" i="51"/>
  <c r="E26" i="56"/>
  <c r="I54" i="54"/>
  <c r="F26" i="50"/>
  <c r="H28" i="51"/>
  <c r="F63" i="53"/>
  <c r="H26" i="52"/>
  <c r="F49" i="53"/>
  <c r="E63" i="56"/>
  <c r="I63" i="54"/>
  <c r="E69" i="51"/>
  <c r="H40" i="55"/>
  <c r="E70" i="54"/>
  <c r="E37" i="51"/>
  <c r="E30" i="51"/>
  <c r="I34" i="51"/>
  <c r="I70" i="56"/>
  <c r="G47" i="56"/>
  <c r="H47" i="54"/>
  <c r="G40" i="55"/>
  <c r="F63" i="55"/>
  <c r="I58" i="51"/>
  <c r="F46" i="51"/>
  <c r="E70" i="53"/>
  <c r="I70" i="51"/>
  <c r="F40" i="56"/>
  <c r="F70" i="54"/>
  <c r="G61" i="51"/>
  <c r="G37" i="51"/>
  <c r="G56" i="54"/>
  <c r="E78" i="51"/>
  <c r="I54" i="53"/>
  <c r="I54" i="51"/>
  <c r="I28" i="55"/>
  <c r="E63" i="54"/>
  <c r="G53" i="51"/>
  <c r="H60" i="51"/>
  <c r="E42" i="53"/>
  <c r="I28" i="54"/>
  <c r="H35" i="56"/>
  <c r="I26" i="50"/>
  <c r="F47" i="55"/>
  <c r="H68" i="56"/>
  <c r="G54" i="55"/>
  <c r="E28" i="56"/>
  <c r="H70" i="56"/>
  <c r="E61" i="51"/>
  <c r="G42" i="51"/>
  <c r="G58" i="51"/>
  <c r="I47" i="55"/>
  <c r="F63" i="56"/>
  <c r="F56" i="55"/>
  <c r="H26" i="56"/>
  <c r="E56" i="55"/>
  <c r="E45" i="51"/>
  <c r="G28" i="51"/>
  <c r="F61" i="51"/>
  <c r="E56" i="54"/>
  <c r="E70" i="55"/>
  <c r="I40" i="54"/>
  <c r="I40" i="55"/>
  <c r="H33" i="55"/>
  <c r="H29" i="51"/>
  <c r="F47" i="56"/>
  <c r="E54" i="55"/>
  <c r="F69" i="51"/>
  <c r="G68" i="51"/>
  <c r="I70" i="54"/>
  <c r="F42" i="56"/>
  <c r="H61" i="53"/>
  <c r="F54" i="56"/>
  <c r="H49" i="53"/>
  <c r="H37" i="51"/>
  <c r="F49" i="55"/>
  <c r="I44" i="51"/>
  <c r="E26" i="54"/>
  <c r="E68" i="51"/>
  <c r="G46" i="51"/>
  <c r="G69" i="51"/>
  <c r="E26" i="55"/>
  <c r="F42" i="53"/>
  <c r="G68" i="55"/>
  <c r="F76" i="51"/>
  <c r="G42" i="53"/>
  <c r="F35" i="54"/>
  <c r="E35" i="53"/>
  <c r="E49" i="53"/>
  <c r="F77" i="51"/>
  <c r="F70" i="56"/>
  <c r="E28" i="51"/>
  <c r="I28" i="53"/>
  <c r="I52" i="51"/>
  <c r="F28" i="54"/>
  <c r="G56" i="55"/>
  <c r="H47" i="56"/>
  <c r="I56" i="54"/>
  <c r="G66" i="51"/>
  <c r="G40" i="53"/>
  <c r="F68" i="56"/>
  <c r="I31" i="50"/>
  <c r="H40" i="53"/>
  <c r="F54" i="51"/>
  <c r="F28" i="51"/>
  <c r="H56" i="55"/>
  <c r="G70" i="56"/>
  <c r="E26" i="50"/>
  <c r="F50" i="51"/>
  <c r="H68" i="55"/>
  <c r="I35" i="56"/>
  <c r="I28" i="51"/>
  <c r="E52" i="51"/>
  <c r="I33" i="56"/>
  <c r="F33" i="55"/>
  <c r="G40" i="56"/>
  <c r="E33" i="55"/>
  <c r="F54" i="55"/>
  <c r="I28" i="56"/>
  <c r="F61" i="56"/>
  <c r="F70" i="53"/>
  <c r="I47" i="56"/>
  <c r="G54" i="51"/>
  <c r="H42" i="53"/>
  <c r="I66" i="51"/>
  <c r="F37" i="51"/>
  <c r="H38" i="51"/>
  <c r="I26" i="56"/>
  <c r="E47" i="54"/>
  <c r="E33" i="56"/>
  <c r="H70" i="51"/>
  <c r="E54" i="53"/>
  <c r="E58" i="51"/>
  <c r="G36" i="51"/>
  <c r="I68" i="53"/>
  <c r="F35" i="56"/>
  <c r="I49" i="53"/>
  <c r="H42" i="56"/>
  <c r="E54" i="56"/>
  <c r="H40" i="54"/>
  <c r="H26" i="53"/>
  <c r="F34" i="51"/>
  <c r="F49" i="56"/>
  <c r="H35" i="53"/>
  <c r="I26" i="53"/>
  <c r="I45" i="51"/>
  <c r="I42" i="56"/>
  <c r="F28" i="53"/>
  <c r="G26" i="53"/>
  <c r="E47" i="53"/>
  <c r="E76" i="51"/>
  <c r="G54" i="56"/>
  <c r="H28" i="54"/>
  <c r="F28" i="56"/>
  <c r="E70" i="51"/>
  <c r="G47" i="53"/>
  <c r="H45" i="51"/>
  <c r="E29" i="51"/>
  <c r="F56" i="56"/>
  <c r="H49" i="56"/>
  <c r="F63" i="54"/>
  <c r="G49" i="56"/>
  <c r="E54" i="51"/>
  <c r="G28" i="53"/>
  <c r="I74" i="51"/>
  <c r="H74" i="51"/>
  <c r="H42" i="51"/>
  <c r="E63" i="53"/>
  <c r="E49" i="56"/>
  <c r="F70" i="55"/>
  <c r="H63" i="54"/>
  <c r="I26" i="54"/>
  <c r="F61" i="53"/>
  <c r="H54" i="55"/>
  <c r="E28" i="53"/>
  <c r="E53" i="51"/>
  <c r="I60" i="51"/>
  <c r="H52" i="51"/>
  <c r="I68" i="54"/>
  <c r="E42" i="54"/>
  <c r="G68" i="53"/>
  <c r="H61" i="55"/>
  <c r="G54" i="53"/>
  <c r="E60" i="51"/>
  <c r="F61" i="54"/>
  <c r="G38" i="51"/>
  <c r="F68" i="53"/>
  <c r="F70" i="51"/>
  <c r="E70" i="56"/>
  <c r="H36" i="51"/>
  <c r="E40" i="56"/>
  <c r="F60" i="51"/>
  <c r="E40" i="53"/>
  <c r="G28" i="54"/>
  <c r="F58" i="51"/>
  <c r="I70" i="55"/>
  <c r="E54" i="54"/>
  <c r="E47" i="55"/>
  <c r="I47" i="53"/>
  <c r="E40" i="55"/>
  <c r="H28" i="56"/>
  <c r="I37" i="51"/>
  <c r="F33" i="54"/>
  <c r="H61" i="51"/>
  <c r="I47" i="54"/>
  <c r="F49" i="54"/>
  <c r="I61" i="51"/>
  <c r="I62" i="51"/>
  <c r="F30" i="51"/>
  <c r="I26" i="51"/>
  <c r="I35" i="53"/>
  <c r="H33" i="53"/>
  <c r="G34" i="52"/>
  <c r="E33" i="53"/>
  <c r="G31" i="50"/>
  <c r="I38" i="51"/>
  <c r="F78" i="51"/>
  <c r="F68" i="54"/>
  <c r="I76" i="51"/>
  <c r="G61" i="56"/>
  <c r="H69" i="51"/>
  <c r="E61" i="56"/>
  <c r="F74" i="51"/>
  <c r="F34" i="50"/>
  <c r="I68" i="55"/>
  <c r="G29" i="51"/>
  <c r="E47" i="56"/>
  <c r="E56" i="56"/>
  <c r="F42" i="54"/>
  <c r="H26" i="55"/>
  <c r="I68" i="56"/>
  <c r="I34" i="50"/>
  <c r="I53" i="51"/>
  <c r="G78" i="51"/>
  <c r="I56" i="55"/>
  <c r="I46" i="51"/>
  <c r="I68" i="51"/>
  <c r="F26" i="56"/>
  <c r="F40" i="53"/>
  <c r="I33" i="53"/>
  <c r="G61" i="53"/>
  <c r="G76" i="51"/>
  <c r="I42" i="51"/>
  <c r="G35" i="53"/>
  <c r="I26" i="52"/>
  <c r="I63" i="56"/>
  <c r="F61" i="55"/>
  <c r="F28" i="55"/>
  <c r="G28" i="56"/>
  <c r="F26" i="54"/>
  <c r="G45" i="51"/>
  <c r="H33" i="54"/>
  <c r="I36" i="51"/>
  <c r="E61" i="53"/>
  <c r="H46" i="51"/>
  <c r="I33" i="54"/>
  <c r="F40" i="54"/>
  <c r="I61" i="54"/>
  <c r="F53" i="51"/>
  <c r="G26" i="51"/>
  <c r="F47" i="54"/>
  <c r="F26" i="55"/>
  <c r="I69" i="51"/>
  <c r="G56" i="56"/>
  <c r="F66" i="51"/>
  <c r="F54" i="53"/>
  <c r="E26" i="52"/>
  <c r="H34" i="51"/>
  <c r="H42" i="54"/>
  <c r="G56" i="53"/>
  <c r="G63" i="56"/>
  <c r="H58" i="51"/>
  <c r="H26" i="51"/>
  <c r="I78" i="51"/>
  <c r="G33" i="56"/>
  <c r="H77" i="51"/>
  <c r="G54" i="54"/>
  <c r="E42" i="51"/>
  <c r="H54" i="56"/>
  <c r="I40" i="53"/>
  <c r="E28" i="55"/>
  <c r="G35" i="55"/>
  <c r="I61" i="55"/>
  <c r="H54" i="51"/>
  <c r="H62" i="51"/>
  <c r="G42" i="55"/>
  <c r="G60" i="51"/>
  <c r="E62" i="51"/>
  <c r="G52" i="51"/>
  <c r="F33" i="56"/>
  <c r="I54" i="56"/>
  <c r="I42" i="53"/>
  <c r="I56" i="53"/>
  <c r="G34" i="50"/>
  <c r="E46" i="51"/>
  <c r="H61" i="54"/>
  <c r="E26" i="53"/>
  <c r="E34" i="51"/>
  <c r="G40" i="54"/>
  <c r="G33" i="54"/>
  <c r="E49" i="54"/>
  <c r="G35" i="54"/>
  <c r="I49" i="56"/>
  <c r="G70" i="53"/>
  <c r="G35" i="56"/>
  <c r="G61" i="55"/>
  <c r="I70" i="53"/>
  <c r="F31" i="50"/>
  <c r="G49" i="55"/>
  <c r="G33" i="55"/>
  <c r="H35" i="54"/>
  <c r="H70" i="54"/>
  <c r="F35" i="55"/>
  <c r="E26" i="51"/>
  <c r="H70" i="55"/>
  <c r="G26" i="50"/>
  <c r="H49" i="55"/>
  <c r="H53" i="51"/>
  <c r="E35" i="55"/>
  <c r="I50" i="51"/>
  <c r="H56" i="53"/>
  <c r="I29" i="51"/>
  <c r="I40" i="56"/>
  <c r="G47" i="55"/>
  <c r="E40" i="54"/>
  <c r="H76" i="51"/>
  <c r="G50" i="51"/>
  <c r="H56" i="56"/>
  <c r="H63" i="56"/>
  <c r="F42" i="51"/>
  <c r="F29" i="51"/>
  <c r="H54" i="54"/>
  <c r="G63" i="53"/>
  <c r="I33" i="55"/>
  <c r="G77" i="51"/>
  <c r="H28" i="53"/>
  <c r="E68" i="53"/>
  <c r="I49" i="54"/>
  <c r="F68" i="51"/>
  <c r="F40" i="55"/>
  <c r="G68" i="54"/>
  <c r="F62" i="51"/>
  <c r="F35" i="53"/>
  <c r="F44" i="51"/>
  <c r="H33" i="56"/>
  <c r="G26" i="54"/>
  <c r="H47" i="55"/>
  <c r="H63" i="55"/>
  <c r="I42" i="55"/>
  <c r="G70" i="54"/>
  <c r="F54" i="54"/>
  <c r="H63" i="53"/>
  <c r="E61" i="55"/>
  <c r="G34" i="51"/>
  <c r="H49" i="54"/>
  <c r="E66" i="51"/>
  <c r="F56" i="53"/>
  <c r="G63" i="54"/>
  <c r="E77" i="51"/>
  <c r="I49" i="55"/>
  <c r="G74" i="51"/>
  <c r="H54" i="53"/>
  <c r="I35" i="55"/>
  <c r="E74" i="51"/>
  <c r="F42" i="55"/>
  <c r="E50" i="51"/>
  <c r="I63" i="53"/>
  <c r="H61" i="56"/>
  <c r="E63" i="55"/>
  <c r="E33" i="54"/>
  <c r="E42" i="55"/>
  <c r="I77" i="51"/>
  <c r="I26" i="55"/>
  <c r="G70" i="55"/>
  <c r="I61" i="56"/>
  <c r="H26" i="50"/>
  <c r="E56" i="53"/>
  <c r="H78" i="51"/>
  <c r="F28" i="52"/>
  <c r="G47" i="54"/>
  <c r="F45" i="51"/>
  <c r="H30" i="51"/>
  <c r="E68" i="56"/>
  <c r="F56" i="54"/>
  <c r="H66" i="51"/>
  <c r="E42" i="56"/>
  <c r="I56" i="56"/>
  <c r="G26" i="56"/>
  <c r="F26" i="51"/>
  <c r="E49" i="55"/>
  <c r="H44" i="51"/>
  <c r="I54" i="55"/>
  <c r="E28" i="54"/>
  <c r="H68" i="51"/>
  <c r="E31" i="50"/>
  <c r="I63" i="55"/>
  <c r="H70" i="53"/>
  <c r="G63" i="55"/>
  <c r="H35" i="55"/>
  <c r="I61" i="53"/>
  <c r="F52" i="51"/>
  <c r="G44" i="51"/>
  <c r="H47" i="53"/>
  <c r="E38" i="51"/>
  <c r="G68" i="56"/>
  <c r="G33" i="53"/>
  <c r="E68" i="55"/>
  <c r="I35" i="54"/>
  <c r="E61" i="54"/>
  <c r="H68" i="54"/>
  <c r="G61" i="54"/>
  <c r="E35" i="56"/>
  <c r="F36" i="51"/>
  <c r="G42" i="54"/>
  <c r="G28" i="55"/>
  <c r="H40" i="56"/>
  <c r="H50" i="51"/>
  <c r="G42" i="56"/>
  <c r="E44" i="51"/>
  <c r="E36" i="51"/>
  <c r="H68" i="53"/>
  <c r="F68" i="55"/>
  <c r="I42" i="54"/>
  <c r="E35" i="54"/>
  <c r="G49" i="53"/>
  <c r="H28" i="55"/>
  <c r="G26" i="55"/>
  <c r="H26" i="54"/>
  <c r="H56" i="54"/>
  <c r="F38" i="51"/>
  <c r="F47" i="53"/>
  <c r="G49" i="54"/>
  <c r="M12" i="50"/>
  <c r="E29" i="52" l="1"/>
  <c r="E32" i="52" s="1"/>
  <c r="F29" i="52"/>
  <c r="F32" i="52" s="1"/>
  <c r="I29" i="52"/>
  <c r="I32" i="52" s="1"/>
  <c r="H29" i="52"/>
  <c r="H32" i="52" s="1"/>
  <c r="E19" i="50"/>
  <c r="G13" i="50"/>
  <c r="J13" i="50" s="1"/>
  <c r="F13" i="50"/>
  <c r="I13" i="50" s="1"/>
  <c r="B67" i="49"/>
  <c r="B60" i="49"/>
  <c r="B53" i="49"/>
  <c r="B46" i="49"/>
  <c r="B39" i="49"/>
  <c r="B32" i="49"/>
  <c r="B25" i="49"/>
  <c r="E65" i="53"/>
  <c r="H63" i="51"/>
  <c r="H40" i="51"/>
  <c r="G65" i="54"/>
  <c r="F66" i="53"/>
  <c r="G31" i="53"/>
  <c r="G79" i="51"/>
  <c r="G31" i="56"/>
  <c r="I65" i="55"/>
  <c r="F32" i="51"/>
  <c r="G38" i="53"/>
  <c r="I58" i="56"/>
  <c r="H31" i="55"/>
  <c r="E58" i="55"/>
  <c r="G44" i="56"/>
  <c r="H72" i="56"/>
  <c r="E52" i="54"/>
  <c r="H45" i="56"/>
  <c r="I71" i="51"/>
  <c r="F58" i="56"/>
  <c r="H38" i="53"/>
  <c r="E37" i="53"/>
  <c r="F65" i="55"/>
  <c r="G55" i="51"/>
  <c r="I58" i="55"/>
  <c r="E31" i="51"/>
  <c r="I55" i="51"/>
  <c r="G58" i="53"/>
  <c r="I72" i="55"/>
  <c r="E38" i="56"/>
  <c r="E37" i="56"/>
  <c r="E45" i="53"/>
  <c r="I38" i="56"/>
  <c r="F65" i="54"/>
  <c r="E51" i="55"/>
  <c r="E38" i="55"/>
  <c r="H56" i="51"/>
  <c r="G65" i="55"/>
  <c r="G32" i="51"/>
  <c r="G59" i="55"/>
  <c r="I52" i="54"/>
  <c r="F30" i="54"/>
  <c r="H48" i="51"/>
  <c r="I63" i="51"/>
  <c r="G73" i="55"/>
  <c r="F58" i="54"/>
  <c r="H72" i="54"/>
  <c r="E52" i="55"/>
  <c r="H37" i="55"/>
  <c r="F52" i="56"/>
  <c r="E51" i="56"/>
  <c r="F71" i="51"/>
  <c r="G66" i="56"/>
  <c r="E58" i="53"/>
  <c r="H58" i="54"/>
  <c r="I38" i="53"/>
  <c r="F79" i="51"/>
  <c r="G39" i="51"/>
  <c r="H73" i="56"/>
  <c r="G56" i="51"/>
  <c r="G30" i="56"/>
  <c r="G66" i="55"/>
  <c r="G51" i="56"/>
  <c r="I52" i="56"/>
  <c r="G72" i="54"/>
  <c r="H73" i="55"/>
  <c r="I51" i="56"/>
  <c r="G52" i="53"/>
  <c r="I31" i="53"/>
  <c r="H30" i="55"/>
  <c r="G65" i="56"/>
  <c r="E38" i="54"/>
  <c r="F38" i="54"/>
  <c r="F56" i="51"/>
  <c r="I31" i="54"/>
  <c r="H37" i="54"/>
  <c r="G58" i="56"/>
  <c r="E51" i="54"/>
  <c r="I79" i="51"/>
  <c r="H73" i="53"/>
  <c r="I38" i="54"/>
  <c r="E59" i="54"/>
  <c r="E48" i="51"/>
  <c r="E31" i="56"/>
  <c r="G52" i="55"/>
  <c r="I58" i="54"/>
  <c r="I80" i="51"/>
  <c r="E30" i="56"/>
  <c r="I45" i="55"/>
  <c r="H66" i="53"/>
  <c r="E59" i="53"/>
  <c r="E30" i="54"/>
  <c r="E73" i="56"/>
  <c r="G52" i="54"/>
  <c r="E73" i="54"/>
  <c r="F72" i="56"/>
  <c r="E45" i="55"/>
  <c r="I64" i="51"/>
  <c r="I48" i="51"/>
  <c r="G51" i="54"/>
  <c r="G66" i="54"/>
  <c r="F51" i="54"/>
  <c r="G36" i="52"/>
  <c r="G51" i="55"/>
  <c r="G65" i="53"/>
  <c r="H38" i="56"/>
  <c r="I30" i="53"/>
  <c r="I30" i="56"/>
  <c r="E58" i="54"/>
  <c r="E37" i="55"/>
  <c r="I58" i="53"/>
  <c r="I51" i="53"/>
  <c r="I31" i="51"/>
  <c r="H44" i="54"/>
  <c r="G38" i="56"/>
  <c r="G38" i="55"/>
  <c r="G40" i="51"/>
  <c r="I47" i="51"/>
  <c r="E52" i="56"/>
  <c r="I44" i="56"/>
  <c r="F55" i="51"/>
  <c r="F30" i="56"/>
  <c r="H51" i="56"/>
  <c r="G37" i="54"/>
  <c r="H59" i="53"/>
  <c r="E80" i="51"/>
  <c r="I45" i="53"/>
  <c r="F66" i="54"/>
  <c r="H45" i="55"/>
  <c r="F58" i="53"/>
  <c r="F45" i="53"/>
  <c r="I37" i="54"/>
  <c r="E44" i="55"/>
  <c r="H65" i="54"/>
  <c r="H51" i="55"/>
  <c r="G37" i="56"/>
  <c r="I72" i="56"/>
  <c r="H79" i="51"/>
  <c r="F52" i="55"/>
  <c r="E79" i="51"/>
  <c r="I59" i="53"/>
  <c r="F30" i="55"/>
  <c r="F31" i="51"/>
  <c r="G37" i="53"/>
  <c r="G45" i="53"/>
  <c r="G30" i="55"/>
  <c r="E72" i="54"/>
  <c r="I59" i="56"/>
  <c r="I45" i="56"/>
  <c r="F31" i="55"/>
  <c r="E51" i="53"/>
  <c r="F37" i="54"/>
  <c r="G52" i="56"/>
  <c r="E45" i="56"/>
  <c r="H72" i="51"/>
  <c r="E72" i="51"/>
  <c r="F38" i="53"/>
  <c r="G45" i="56"/>
  <c r="F73" i="55"/>
  <c r="I65" i="54"/>
  <c r="H59" i="55"/>
  <c r="F45" i="54"/>
  <c r="H80" i="51"/>
  <c r="I44" i="54"/>
  <c r="I32" i="51"/>
  <c r="I34" i="52"/>
  <c r="F48" i="51"/>
  <c r="E59" i="55"/>
  <c r="H30" i="56"/>
  <c r="E32" i="51"/>
  <c r="H44" i="53"/>
  <c r="H52" i="53"/>
  <c r="H51" i="53"/>
  <c r="F64" i="51"/>
  <c r="I52" i="53"/>
  <c r="I51" i="55"/>
  <c r="F52" i="53"/>
  <c r="G31" i="51"/>
  <c r="E73" i="53"/>
  <c r="E30" i="53"/>
  <c r="E31" i="53"/>
  <c r="G64" i="51"/>
  <c r="F45" i="56"/>
  <c r="H47" i="51"/>
  <c r="I52" i="55"/>
  <c r="H65" i="56"/>
  <c r="F72" i="55"/>
  <c r="G72" i="55"/>
  <c r="I65" i="56"/>
  <c r="G58" i="55"/>
  <c r="E37" i="54"/>
  <c r="E55" i="51"/>
  <c r="H65" i="53"/>
  <c r="I65" i="53"/>
  <c r="I66" i="53"/>
  <c r="F39" i="51"/>
  <c r="E72" i="53"/>
  <c r="F38" i="56"/>
  <c r="F59" i="56"/>
  <c r="G71" i="51"/>
  <c r="H51" i="54"/>
  <c r="I72" i="51"/>
  <c r="G44" i="53"/>
  <c r="F31" i="53"/>
  <c r="E31" i="55"/>
  <c r="H66" i="55"/>
  <c r="H71" i="51"/>
  <c r="E59" i="56"/>
  <c r="H39" i="51"/>
  <c r="H31" i="54"/>
  <c r="E66" i="53"/>
  <c r="F31" i="54"/>
  <c r="E65" i="55"/>
  <c r="H65" i="55"/>
  <c r="H30" i="54"/>
  <c r="E44" i="53"/>
  <c r="F44" i="55"/>
  <c r="I30" i="54"/>
  <c r="I31" i="56"/>
  <c r="H44" i="55"/>
  <c r="F44" i="53"/>
  <c r="G63" i="51"/>
  <c r="I44" i="55"/>
  <c r="E44" i="56"/>
  <c r="I73" i="54"/>
  <c r="H45" i="54"/>
  <c r="F37" i="53"/>
  <c r="I59" i="54"/>
  <c r="H72" i="53"/>
  <c r="F72" i="51"/>
  <c r="I66" i="54"/>
  <c r="G30" i="53"/>
  <c r="H44" i="56"/>
  <c r="E72" i="56"/>
  <c r="H52" i="55"/>
  <c r="F38" i="55"/>
  <c r="F37" i="55"/>
  <c r="I37" i="55"/>
  <c r="I72" i="53"/>
  <c r="H64" i="51"/>
  <c r="I73" i="56"/>
  <c r="I51" i="54"/>
  <c r="H58" i="55"/>
  <c r="H52" i="56"/>
  <c r="G73" i="54"/>
  <c r="I37" i="56"/>
  <c r="G73" i="56"/>
  <c r="F47" i="51"/>
  <c r="F52" i="54"/>
  <c r="I45" i="54"/>
  <c r="H72" i="55"/>
  <c r="I72" i="54"/>
  <c r="I56" i="51"/>
  <c r="F80" i="51"/>
  <c r="F30" i="53"/>
  <c r="G31" i="54"/>
  <c r="G30" i="54"/>
  <c r="G80" i="51"/>
  <c r="H52" i="54"/>
  <c r="I44" i="53"/>
  <c r="I39" i="51"/>
  <c r="E64" i="51"/>
  <c r="I59" i="55"/>
  <c r="G45" i="55"/>
  <c r="G44" i="55"/>
  <c r="G38" i="54"/>
  <c r="E52" i="53"/>
  <c r="G51" i="53"/>
  <c r="G66" i="53"/>
  <c r="G58" i="54"/>
  <c r="E72" i="55"/>
  <c r="I30" i="55"/>
  <c r="H37" i="53"/>
  <c r="E45" i="54"/>
  <c r="F73" i="54"/>
  <c r="E65" i="54"/>
  <c r="F51" i="55"/>
  <c r="I66" i="55"/>
  <c r="F58" i="55"/>
  <c r="H59" i="56"/>
  <c r="G59" i="54"/>
  <c r="H38" i="55"/>
  <c r="H66" i="54"/>
  <c r="G31" i="55"/>
  <c r="F37" i="56"/>
  <c r="F51" i="53"/>
  <c r="H31" i="51"/>
  <c r="E31" i="54"/>
  <c r="F40" i="51"/>
  <c r="E73" i="55"/>
  <c r="F59" i="53"/>
  <c r="F31" i="56"/>
  <c r="I37" i="53"/>
  <c r="F72" i="53"/>
  <c r="E47" i="51"/>
  <c r="E66" i="54"/>
  <c r="F66" i="55"/>
  <c r="H31" i="53"/>
  <c r="I31" i="55"/>
  <c r="E65" i="56"/>
  <c r="E66" i="56"/>
  <c r="I73" i="53"/>
  <c r="I73" i="55"/>
  <c r="H30" i="53"/>
  <c r="H73" i="54"/>
  <c r="I66" i="56"/>
  <c r="F73" i="56"/>
  <c r="E44" i="54"/>
  <c r="E38" i="53"/>
  <c r="F72" i="54"/>
  <c r="E39" i="51"/>
  <c r="H31" i="56"/>
  <c r="E56" i="51"/>
  <c r="G59" i="53"/>
  <c r="H59" i="54"/>
  <c r="H58" i="56"/>
  <c r="E66" i="55"/>
  <c r="E71" i="51"/>
  <c r="G72" i="51"/>
  <c r="F44" i="56"/>
  <c r="G47" i="51"/>
  <c r="F45" i="55"/>
  <c r="H37" i="56"/>
  <c r="H55" i="51"/>
  <c r="I38" i="55"/>
  <c r="G73" i="53"/>
  <c r="F44" i="54"/>
  <c r="I40" i="51"/>
  <c r="E40" i="51"/>
  <c r="H66" i="56"/>
  <c r="G44" i="54"/>
  <c r="F59" i="55"/>
  <c r="F65" i="56"/>
  <c r="G37" i="55"/>
  <c r="H58" i="53"/>
  <c r="F63" i="51"/>
  <c r="F59" i="54"/>
  <c r="G72" i="53"/>
  <c r="F34" i="52"/>
  <c r="G48" i="51"/>
  <c r="E63" i="51"/>
  <c r="H32" i="51"/>
  <c r="E30" i="55"/>
  <c r="G59" i="56"/>
  <c r="F73" i="53"/>
  <c r="H45" i="53"/>
  <c r="G45" i="54"/>
  <c r="F66" i="56"/>
  <c r="F65" i="53"/>
  <c r="E34" i="52"/>
  <c r="H34" i="52"/>
  <c r="H38" i="54"/>
  <c r="E58" i="56"/>
  <c r="G72" i="56"/>
  <c r="F51" i="56"/>
  <c r="G13" i="49" l="1"/>
  <c r="F13" i="49"/>
  <c r="E19" i="49"/>
  <c r="F36" i="52"/>
  <c r="H36" i="52"/>
  <c r="D16" i="49"/>
  <c r="E36" i="52"/>
  <c r="I36" i="52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E35" i="49"/>
  <c r="D16" i="48"/>
  <c r="F57" i="49"/>
  <c r="F71" i="49"/>
  <c r="I41" i="47"/>
  <c r="H41" i="48"/>
  <c r="I28" i="50"/>
  <c r="E50" i="49"/>
  <c r="H41" i="47"/>
  <c r="E70" i="49"/>
  <c r="G28" i="50"/>
  <c r="E28" i="50"/>
  <c r="E42" i="49"/>
  <c r="I26" i="49"/>
  <c r="D16" i="47"/>
  <c r="G64" i="49"/>
  <c r="F47" i="49"/>
  <c r="H71" i="49"/>
  <c r="G47" i="49"/>
  <c r="I42" i="49"/>
  <c r="E56" i="49"/>
  <c r="F43" i="49"/>
  <c r="F28" i="50"/>
  <c r="E40" i="49"/>
  <c r="I64" i="49"/>
  <c r="F63" i="49"/>
  <c r="G63" i="49"/>
  <c r="G29" i="49"/>
  <c r="G70" i="49"/>
  <c r="H68" i="49"/>
  <c r="F54" i="49"/>
  <c r="F50" i="49"/>
  <c r="E57" i="49"/>
  <c r="H70" i="49"/>
  <c r="H56" i="49"/>
  <c r="F61" i="49"/>
  <c r="E61" i="49"/>
  <c r="I33" i="49"/>
  <c r="F56" i="49"/>
  <c r="G61" i="49"/>
  <c r="I40" i="49"/>
  <c r="E71" i="49"/>
  <c r="F41" i="48"/>
  <c r="I29" i="49"/>
  <c r="F41" i="47"/>
  <c r="E36" i="49"/>
  <c r="H28" i="50"/>
  <c r="E41" i="48"/>
  <c r="E41" i="47"/>
  <c r="G68" i="49"/>
  <c r="G40" i="49"/>
  <c r="I41" i="48"/>
  <c r="E49" i="49"/>
  <c r="G41" i="47"/>
  <c r="F70" i="49"/>
  <c r="E28" i="49"/>
  <c r="F33" i="49"/>
  <c r="I43" i="49"/>
  <c r="E54" i="49"/>
  <c r="F68" i="49"/>
  <c r="I28" i="49"/>
  <c r="E47" i="49"/>
  <c r="G41" i="48"/>
  <c r="F40" i="49"/>
  <c r="E33" i="49"/>
  <c r="H61" i="49"/>
  <c r="F42" i="49"/>
  <c r="H40" i="49"/>
  <c r="E29" i="49"/>
  <c r="E68" i="49"/>
  <c r="I63" i="49"/>
  <c r="F64" i="49"/>
  <c r="G35" i="49"/>
  <c r="G50" i="49"/>
  <c r="G36" i="49"/>
  <c r="H43" i="49"/>
  <c r="G71" i="49"/>
  <c r="E43" i="49"/>
  <c r="H57" i="49"/>
  <c r="I57" i="49"/>
  <c r="I70" i="49"/>
  <c r="G49" i="49"/>
  <c r="F49" i="49"/>
  <c r="E26" i="49"/>
  <c r="G33" i="49"/>
  <c r="F35" i="49"/>
  <c r="H36" i="49"/>
  <c r="H49" i="49"/>
  <c r="H26" i="49"/>
  <c r="H63" i="49"/>
  <c r="G42" i="49"/>
  <c r="G57" i="49"/>
  <c r="G28" i="49"/>
  <c r="I49" i="49"/>
  <c r="F29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F36" i="49"/>
  <c r="G30" i="47"/>
  <c r="N31" i="47"/>
  <c r="N27" i="47"/>
  <c r="I30" i="47"/>
  <c r="N35" i="48"/>
  <c r="G36" i="47"/>
  <c r="N37" i="48"/>
  <c r="L27" i="47"/>
  <c r="I34" i="48"/>
  <c r="E63" i="49"/>
  <c r="I36" i="48"/>
  <c r="H30" i="48"/>
  <c r="H72" i="49"/>
  <c r="H28" i="48"/>
  <c r="H54" i="49"/>
  <c r="F28" i="49"/>
  <c r="F26" i="48"/>
  <c r="G26" i="47"/>
  <c r="E28" i="48"/>
  <c r="H64" i="49"/>
  <c r="N29" i="47"/>
  <c r="M25" i="47"/>
  <c r="I32" i="48"/>
  <c r="M33" i="48"/>
  <c r="L29" i="48"/>
  <c r="H32" i="47"/>
  <c r="F28" i="48"/>
  <c r="E45" i="49"/>
  <c r="H24" i="48"/>
  <c r="L25" i="47"/>
  <c r="I28" i="47"/>
  <c r="S23" i="47"/>
  <c r="M37" i="48"/>
  <c r="G36" i="48"/>
  <c r="M27" i="47"/>
  <c r="K29" i="48"/>
  <c r="E44" i="49"/>
  <c r="J35" i="48"/>
  <c r="N29" i="48"/>
  <c r="I28" i="48"/>
  <c r="M35" i="48"/>
  <c r="I56" i="49"/>
  <c r="N25" i="47"/>
  <c r="E28" i="47"/>
  <c r="L33" i="48"/>
  <c r="N25" i="48"/>
  <c r="J31" i="48"/>
  <c r="F66" i="49"/>
  <c r="J37" i="48"/>
  <c r="I45" i="49"/>
  <c r="M37" i="47"/>
  <c r="F72" i="49"/>
  <c r="E30" i="48"/>
  <c r="G32" i="48"/>
  <c r="M31" i="47"/>
  <c r="G28" i="47"/>
  <c r="K25" i="47"/>
  <c r="L25" i="48"/>
  <c r="H44" i="49"/>
  <c r="E34" i="47"/>
  <c r="J33" i="48"/>
  <c r="H50" i="49"/>
  <c r="J35" i="47"/>
  <c r="E24" i="47"/>
  <c r="G56" i="49"/>
  <c r="I30" i="49"/>
  <c r="I30" i="48"/>
  <c r="F28" i="47"/>
  <c r="I68" i="49"/>
  <c r="I54" i="49"/>
  <c r="F32" i="47"/>
  <c r="G38" i="49"/>
  <c r="K25" i="48"/>
  <c r="I71" i="49"/>
  <c r="L33" i="47"/>
  <c r="F26" i="49"/>
  <c r="G26" i="48"/>
  <c r="J27" i="48"/>
  <c r="L37" i="48"/>
  <c r="E64" i="49"/>
  <c r="G43" i="49"/>
  <c r="S23" i="48"/>
  <c r="J25" i="48"/>
  <c r="K35" i="48"/>
  <c r="J27" i="47"/>
  <c r="I26" i="48"/>
  <c r="H26" i="48"/>
  <c r="M25" i="48"/>
  <c r="J29" i="48"/>
  <c r="E58" i="49"/>
  <c r="G37" i="49"/>
  <c r="E59" i="49"/>
  <c r="G24" i="48"/>
  <c r="N31" i="48"/>
  <c r="H30" i="47"/>
  <c r="H28" i="47"/>
  <c r="K27" i="48"/>
  <c r="F52" i="49"/>
  <c r="H33" i="49"/>
  <c r="M35" i="47"/>
  <c r="I61" i="49"/>
  <c r="I36" i="49"/>
  <c r="F34" i="47"/>
  <c r="I24" i="47"/>
  <c r="I26" i="47"/>
  <c r="F34" i="48"/>
  <c r="F24" i="48"/>
  <c r="H26" i="47"/>
  <c r="E32" i="47"/>
  <c r="G30" i="48"/>
  <c r="G35" i="50"/>
  <c r="N33" i="47"/>
  <c r="H29" i="49"/>
  <c r="H36" i="48"/>
  <c r="G34" i="48"/>
  <c r="E32" i="48"/>
  <c r="F58" i="49"/>
  <c r="K37" i="48"/>
  <c r="G34" i="47"/>
  <c r="N27" i="48"/>
  <c r="L27" i="48"/>
  <c r="K35" i="47"/>
  <c r="G66" i="49"/>
  <c r="I35" i="49"/>
  <c r="I44" i="49"/>
  <c r="E37" i="49"/>
  <c r="E31" i="49"/>
  <c r="L35" i="48"/>
  <c r="I50" i="49"/>
  <c r="E26" i="47"/>
  <c r="M29" i="47"/>
  <c r="K27" i="47"/>
  <c r="M33" i="47"/>
  <c r="L31" i="47"/>
  <c r="J33" i="47"/>
  <c r="K31" i="48"/>
  <c r="N33" i="48"/>
  <c r="L35" i="47"/>
  <c r="H34" i="48"/>
  <c r="K33" i="48"/>
  <c r="G73" i="49"/>
  <c r="I24" i="48"/>
  <c r="F32" i="48"/>
  <c r="G32" i="47"/>
  <c r="I31" i="49"/>
  <c r="F45" i="49"/>
  <c r="H42" i="49"/>
  <c r="F26" i="47"/>
  <c r="L29" i="47"/>
  <c r="H32" i="48"/>
  <c r="F30" i="47"/>
  <c r="I47" i="49"/>
  <c r="F59" i="49"/>
  <c r="F24" i="47"/>
  <c r="J31" i="47"/>
  <c r="I36" i="47"/>
  <c r="M27" i="48"/>
  <c r="I35" i="50"/>
  <c r="G26" i="49"/>
  <c r="N35" i="47"/>
  <c r="I32" i="47"/>
  <c r="H24" i="47"/>
  <c r="F36" i="48"/>
  <c r="F30" i="48"/>
  <c r="H35" i="49"/>
  <c r="E24" i="48"/>
  <c r="E30" i="47"/>
  <c r="M31" i="48"/>
  <c r="E36" i="47"/>
  <c r="H28" i="49"/>
  <c r="E26" i="48"/>
  <c r="F36" i="47"/>
  <c r="L37" i="47"/>
  <c r="H47" i="49"/>
  <c r="L31" i="48"/>
  <c r="K29" i="47"/>
  <c r="G28" i="48"/>
  <c r="F35" i="50"/>
  <c r="K37" i="47"/>
  <c r="I34" i="47"/>
  <c r="K33" i="47"/>
  <c r="M29" i="48"/>
  <c r="K31" i="47"/>
  <c r="H35" i="50"/>
  <c r="H34" i="47"/>
  <c r="H36" i="47"/>
  <c r="E34" i="48"/>
  <c r="N37" i="47"/>
  <c r="J29" i="47"/>
  <c r="G54" i="49"/>
  <c r="E36" i="48"/>
  <c r="E38" i="49"/>
  <c r="J37" i="47"/>
  <c r="J25" i="47"/>
  <c r="G24" i="47"/>
  <c r="E72" i="49"/>
  <c r="F44" i="49"/>
  <c r="E35" i="50"/>
  <c r="E51" i="49"/>
  <c r="G52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G45" i="49"/>
  <c r="G31" i="49"/>
  <c r="G51" i="49"/>
  <c r="H37" i="50"/>
  <c r="I65" i="49"/>
  <c r="I51" i="49"/>
  <c r="H58" i="49"/>
  <c r="H31" i="49"/>
  <c r="E73" i="49"/>
  <c r="E65" i="49"/>
  <c r="I73" i="49"/>
  <c r="I37" i="49"/>
  <c r="G37" i="50"/>
  <c r="H73" i="49"/>
  <c r="H66" i="49"/>
  <c r="I37" i="50"/>
  <c r="F37" i="49"/>
  <c r="I38" i="49"/>
  <c r="F38" i="49"/>
  <c r="E30" i="49"/>
  <c r="E52" i="49"/>
  <c r="H30" i="49"/>
  <c r="G30" i="49"/>
  <c r="F51" i="49"/>
  <c r="H41" i="46"/>
  <c r="I66" i="49"/>
  <c r="I72" i="49"/>
  <c r="G65" i="49"/>
  <c r="F37" i="50"/>
  <c r="F31" i="49"/>
  <c r="H37" i="49"/>
  <c r="H51" i="49"/>
  <c r="G41" i="46"/>
  <c r="G58" i="49"/>
  <c r="E66" i="49"/>
  <c r="G44" i="49"/>
  <c r="H59" i="49"/>
  <c r="I59" i="49"/>
  <c r="I58" i="49"/>
  <c r="F65" i="49"/>
  <c r="F30" i="49"/>
  <c r="H52" i="49"/>
  <c r="G72" i="49"/>
  <c r="D16" i="46"/>
  <c r="F41" i="46"/>
  <c r="H65" i="49"/>
  <c r="H38" i="49"/>
  <c r="E41" i="46"/>
  <c r="E37" i="50"/>
  <c r="G59" i="49"/>
  <c r="F73" i="49"/>
  <c r="I52" i="49"/>
  <c r="H45" i="49"/>
  <c r="I41" i="46"/>
  <c r="O22" i="46" l="1"/>
  <c r="F42" i="46"/>
  <c r="G42" i="46"/>
  <c r="S22" i="46"/>
  <c r="P22" i="46"/>
  <c r="H42" i="46"/>
  <c r="E42" i="46"/>
  <c r="I42" i="46"/>
  <c r="M27" i="46"/>
  <c r="N33" i="46"/>
  <c r="N25" i="46"/>
  <c r="K31" i="46"/>
  <c r="L29" i="46"/>
  <c r="I26" i="46"/>
  <c r="H34" i="46"/>
  <c r="G36" i="46"/>
  <c r="H28" i="46"/>
  <c r="N35" i="46"/>
  <c r="I24" i="46"/>
  <c r="J33" i="46"/>
  <c r="E32" i="46"/>
  <c r="I32" i="46"/>
  <c r="K35" i="46"/>
  <c r="H26" i="46"/>
  <c r="F34" i="46"/>
  <c r="E24" i="46"/>
  <c r="G30" i="46"/>
  <c r="I28" i="46"/>
  <c r="S23" i="46"/>
  <c r="M25" i="46"/>
  <c r="G26" i="46"/>
  <c r="I36" i="46"/>
  <c r="M35" i="46"/>
  <c r="M37" i="46"/>
  <c r="G32" i="46"/>
  <c r="G34" i="46"/>
  <c r="F30" i="46"/>
  <c r="G24" i="46"/>
  <c r="E28" i="46"/>
  <c r="J37" i="46"/>
  <c r="K37" i="46"/>
  <c r="F26" i="46"/>
  <c r="F24" i="46"/>
  <c r="J31" i="46"/>
  <c r="N31" i="46"/>
  <c r="H32" i="46"/>
  <c r="E34" i="46"/>
  <c r="N27" i="46"/>
  <c r="L35" i="46"/>
  <c r="L37" i="46"/>
  <c r="L33" i="46"/>
  <c r="H36" i="46"/>
  <c r="E30" i="46"/>
  <c r="J27" i="46"/>
  <c r="I30" i="46"/>
  <c r="M33" i="46"/>
  <c r="F32" i="46"/>
  <c r="L27" i="46"/>
  <c r="K33" i="46"/>
  <c r="K25" i="46"/>
  <c r="M29" i="46"/>
  <c r="M31" i="46"/>
  <c r="F36" i="46"/>
  <c r="J25" i="46"/>
  <c r="J29" i="46"/>
  <c r="K29" i="46"/>
  <c r="N29" i="46"/>
  <c r="H30" i="46"/>
  <c r="K27" i="46"/>
  <c r="I34" i="46"/>
  <c r="F28" i="46"/>
  <c r="N37" i="46"/>
  <c r="J35" i="46"/>
  <c r="L25" i="46"/>
  <c r="E36" i="46"/>
  <c r="L31" i="46"/>
  <c r="H24" i="46"/>
  <c r="G28" i="46"/>
  <c r="E26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H41" i="45"/>
  <c r="D16" i="45"/>
  <c r="F41" i="45"/>
  <c r="E41" i="45"/>
  <c r="I41" i="45"/>
  <c r="G41" i="45"/>
  <c r="O22" i="45" l="1"/>
  <c r="S22" i="45"/>
  <c r="P22" i="45"/>
  <c r="E42" i="45"/>
  <c r="G42" i="45"/>
  <c r="H42" i="45"/>
  <c r="F42" i="45"/>
  <c r="I42" i="45"/>
  <c r="B25" i="45"/>
  <c r="F36" i="45"/>
  <c r="L27" i="45"/>
  <c r="K37" i="45"/>
  <c r="I34" i="45"/>
  <c r="L35" i="45"/>
  <c r="I16" i="17"/>
  <c r="M27" i="45"/>
  <c r="E24" i="45"/>
  <c r="N27" i="45"/>
  <c r="F34" i="45"/>
  <c r="J16" i="17"/>
  <c r="J37" i="45"/>
  <c r="E36" i="45"/>
  <c r="H15" i="17"/>
  <c r="M31" i="45"/>
  <c r="K35" i="45"/>
  <c r="M25" i="45"/>
  <c r="K31" i="45"/>
  <c r="L37" i="45"/>
  <c r="J27" i="45"/>
  <c r="G15" i="17"/>
  <c r="J25" i="45"/>
  <c r="I30" i="45"/>
  <c r="N31" i="45"/>
  <c r="H30" i="45"/>
  <c r="N35" i="45"/>
  <c r="K25" i="45"/>
  <c r="J35" i="45"/>
  <c r="H24" i="45"/>
  <c r="G30" i="45"/>
  <c r="E16" i="17"/>
  <c r="G24" i="45"/>
  <c r="G36" i="45"/>
  <c r="K29" i="45"/>
  <c r="H34" i="45"/>
  <c r="H26" i="45"/>
  <c r="L29" i="45"/>
  <c r="J33" i="45"/>
  <c r="F32" i="45"/>
  <c r="L25" i="45"/>
  <c r="G26" i="45"/>
  <c r="H16" i="17"/>
  <c r="H36" i="45"/>
  <c r="I36" i="45"/>
  <c r="E32" i="45"/>
  <c r="S23" i="45"/>
  <c r="N25" i="45"/>
  <c r="N33" i="45"/>
  <c r="E34" i="45"/>
  <c r="I32" i="45"/>
  <c r="K27" i="45"/>
  <c r="I26" i="45"/>
  <c r="E28" i="45"/>
  <c r="F16" i="17"/>
  <c r="N29" i="45"/>
  <c r="L33" i="45"/>
  <c r="E30" i="45"/>
  <c r="G34" i="45"/>
  <c r="F26" i="45"/>
  <c r="F24" i="45"/>
  <c r="F15" i="17"/>
  <c r="H32" i="45"/>
  <c r="I24" i="45"/>
  <c r="J29" i="45"/>
  <c r="M29" i="45"/>
  <c r="N37" i="45"/>
  <c r="J31" i="45"/>
  <c r="I28" i="45"/>
  <c r="F28" i="45"/>
  <c r="F30" i="45"/>
  <c r="G28" i="45"/>
  <c r="M37" i="45"/>
  <c r="J15" i="17"/>
  <c r="L31" i="45"/>
  <c r="I15" i="17"/>
  <c r="G16" i="17"/>
  <c r="M35" i="45"/>
  <c r="E15" i="17"/>
  <c r="E26" i="45"/>
  <c r="K33" i="45"/>
  <c r="H28" i="45"/>
  <c r="G32" i="45"/>
  <c r="M33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H22" i="38"/>
  <c r="E21" i="38"/>
  <c r="C13" i="38"/>
  <c r="D25" i="38"/>
  <c r="E20" i="38"/>
  <c r="H25" i="38"/>
  <c r="F18" i="38"/>
  <c r="E13" i="38"/>
  <c r="H17" i="38"/>
  <c r="G25" i="38"/>
  <c r="G19" i="38"/>
  <c r="D13" i="38"/>
  <c r="G18" i="38"/>
  <c r="D24" i="38"/>
  <c r="E17" i="38"/>
  <c r="F25" i="38"/>
  <c r="F20" i="38"/>
  <c r="G21" i="38"/>
  <c r="H21" i="38"/>
  <c r="H15" i="38"/>
  <c r="D19" i="38"/>
  <c r="G17" i="38"/>
  <c r="C24" i="38"/>
  <c r="G16" i="38"/>
  <c r="D14" i="38"/>
  <c r="G24" i="38"/>
  <c r="H24" i="38"/>
  <c r="E18" i="38"/>
  <c r="C22" i="38"/>
  <c r="D18" i="38"/>
  <c r="F16" i="38"/>
  <c r="H19" i="38"/>
  <c r="D15" i="38"/>
  <c r="D20" i="38"/>
  <c r="C16" i="38"/>
  <c r="H13" i="38"/>
  <c r="E25" i="38"/>
  <c r="F23" i="38"/>
  <c r="E14" i="38"/>
  <c r="F21" i="38"/>
  <c r="G14" i="38"/>
  <c r="D16" i="38"/>
  <c r="C23" i="38"/>
  <c r="C15" i="38"/>
  <c r="F13" i="38"/>
  <c r="C18" i="38"/>
  <c r="C19" i="38"/>
  <c r="C20" i="38"/>
  <c r="H14" i="38"/>
  <c r="F15" i="38"/>
  <c r="C25" i="38"/>
  <c r="C21" i="38"/>
  <c r="G15" i="38"/>
  <c r="G23" i="38"/>
  <c r="E22" i="38"/>
  <c r="H23" i="38"/>
  <c r="F14" i="38"/>
  <c r="F24" i="38"/>
  <c r="E24" i="38"/>
  <c r="E16" i="38"/>
  <c r="D17" i="38"/>
  <c r="F22" i="38"/>
  <c r="C14" i="38"/>
  <c r="G13" i="38"/>
  <c r="F17" i="38"/>
  <c r="G22" i="38"/>
  <c r="G20" i="38"/>
  <c r="D23" i="38"/>
  <c r="E15" i="38"/>
  <c r="H20" i="38"/>
  <c r="H18" i="38"/>
  <c r="E19" i="38"/>
  <c r="N13" i="38"/>
  <c r="D21" i="38"/>
  <c r="D22" i="38"/>
  <c r="C17" i="38"/>
  <c r="F19" i="38"/>
  <c r="E23" i="38"/>
  <c r="H16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E26" i="39"/>
  <c r="G26" i="39"/>
  <c r="F18" i="37"/>
  <c r="C26" i="39"/>
  <c r="E18" i="39"/>
  <c r="C18" i="39"/>
  <c r="F26" i="39"/>
  <c r="D18" i="39"/>
  <c r="D26" i="39"/>
  <c r="C18" i="37"/>
  <c r="E18" i="37"/>
  <c r="F18" i="39"/>
  <c r="H26" i="39"/>
  <c r="G18" i="37"/>
  <c r="H18" i="37"/>
  <c r="G18" i="39"/>
  <c r="H18" i="39"/>
  <c r="D18" i="37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C26" i="37"/>
  <c r="H26" i="37"/>
  <c r="F26" i="37"/>
  <c r="D26" i="37"/>
  <c r="G26" i="37"/>
  <c r="G17" i="39"/>
  <c r="E17" i="39"/>
  <c r="E26" i="37"/>
  <c r="D17" i="39"/>
  <c r="H17" i="39"/>
  <c r="C17" i="39"/>
  <c r="F17" i="39"/>
  <c r="G17" i="37"/>
  <c r="H17" i="37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C17" i="37"/>
  <c r="E17" i="37"/>
  <c r="H34" i="39"/>
  <c r="D34" i="39"/>
  <c r="C34" i="39"/>
  <c r="F34" i="39"/>
  <c r="F17" i="37"/>
  <c r="D17" i="37"/>
  <c r="G34" i="39"/>
  <c r="E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19" i="14"/>
  <c r="D23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12" i="2"/>
  <c r="B52" i="2"/>
  <c r="B57" i="2"/>
  <c r="B35" i="2"/>
  <c r="B46" i="2"/>
  <c r="B21" i="2"/>
  <c r="B25" i="2"/>
  <c r="B14" i="2"/>
  <c r="B64" i="2"/>
  <c r="B66" i="2"/>
  <c r="B16" i="2"/>
  <c r="B58" i="2"/>
  <c r="B49" i="2"/>
  <c r="B27" i="2"/>
  <c r="B71" i="2"/>
  <c r="B65" i="2"/>
  <c r="B41" i="2"/>
  <c r="B23" i="2"/>
  <c r="B13" i="2"/>
  <c r="B24" i="2"/>
  <c r="B32" i="2"/>
  <c r="B30" i="2"/>
  <c r="B44" i="2"/>
  <c r="B63" i="2"/>
  <c r="B22" i="2"/>
  <c r="B29" i="2"/>
  <c r="B62" i="2"/>
  <c r="B11" i="2"/>
  <c r="B34" i="2"/>
  <c r="B48" i="2"/>
  <c r="B56" i="2"/>
  <c r="B67" i="2"/>
  <c r="B54" i="2"/>
  <c r="B72" i="2"/>
  <c r="B18" i="2"/>
  <c r="B42" i="2"/>
  <c r="B10" i="2"/>
  <c r="B17" i="2"/>
  <c r="B61" i="2"/>
  <c r="B19" i="2"/>
  <c r="B36" i="2"/>
  <c r="B26" i="2"/>
  <c r="B43" i="2"/>
  <c r="B9" i="2"/>
  <c r="B20" i="2"/>
  <c r="B68" i="2"/>
  <c r="B53" i="2"/>
  <c r="B7" i="2"/>
  <c r="B70" i="2"/>
  <c r="B55" i="2"/>
  <c r="B50" i="2"/>
  <c r="B60" i="2"/>
  <c r="B51" i="2"/>
  <c r="B47" i="2"/>
  <c r="B8" i="2"/>
  <c r="B45" i="2"/>
  <c r="B28" i="2"/>
  <c r="B31" i="2"/>
  <c r="B15" i="2"/>
  <c r="B33" i="2"/>
  <c r="B69" i="2"/>
  <c r="B59" i="2"/>
  <c r="B6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<sst xmlns="http://schemas.openxmlformats.org/spreadsheetml/2006/main" count="1468" uniqueCount="391">
  <si>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</si>
  <si>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</si>
  <si>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</si>
  <si>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</si>
  <si>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</si>
  <si>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</si>
  <si>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</si>
  <si>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</si>
  <si>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</si>
  <si>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</si>
  <si>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</si>
  <si>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</si>
  <si>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</si>
  <si>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</si>
  <si>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</si>
  <si>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</si>
  <si>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</si>
  <si>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</si>
  <si>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</si>
  <si>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</si>
  <si>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</si>
  <si>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</si>
  <si>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</si>
  <si>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</si>
  <si>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</si>
  <si>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</si>
  <si>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</si>
  <si>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</si>
  <si>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</si>
  <si>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</si>
  <si>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</si>
  <si>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</si>
  <si>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</si>
  <si>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</si>
  <si>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</si>
  <si>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</si>
  <si>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</si>
  <si>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</si>
  <si>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</si>
  <si>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</si>
  <si>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</si>
  <si>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</si>
  <si>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</si>
  <si>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</si>
  <si>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</si>
  <si>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</si>
  <si>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</si>
  <si>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</si>
  <si>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</si>
  <si>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</si>
  <si>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</si>
  <si>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</si>
  <si>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</si>
  <si>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</si>
  <si>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</si>
  <si>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</si>
  <si>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</si>
  <si>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</si>
  <si>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</si>
  <si>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</si>
  <si>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</si>
  <si>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</si>
  <si>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</si>
  <si>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</si>
  <si>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</si>
  <si>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</si>
  <si>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</si>
  <si>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</si>
  <si>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</si>
  <si>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</si>
  <si>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</si>
  <si>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</si>
  <si>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</si>
  <si>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</si>
  <si>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</si>
  <si>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</si>
  <si>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</si>
  <si>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</si>
  <si>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</si>
  <si>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</si>
  <si>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</si>
  <si>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</si>
  <si>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</si>
  <si>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</si>
  <si>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</si>
  <si>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</si>
  <si>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</si>
  <si>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</si>
  <si>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</si>
  <si>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</si>
  <si>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</si>
  <si>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</si>
  <si>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</si>
  <si>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</si>
  <si>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</si>
  <si>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</si>
  <si>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</si>
  <si>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</si>
  <si>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</si>
  <si>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</si>
  <si>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</si>
  <si>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</si>
  <si>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</si>
  <si>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</si>
  <si>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</si>
  <si>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</si>
  <si>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</si>
  <si>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</si>
  <si>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</si>
  <si>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</si>
  <si>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</si>
  <si>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</si>
  <si>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</si>
  <si>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</si>
  <si>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</si>
  <si>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</si>
  <si>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</si>
  <si>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</si>
  <si>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</si>
  <si>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</si>
  <si>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</si>
  <si>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</si>
  <si>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</si>
  <si>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</si>
  <si>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</si>
  <si>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</si>
  <si>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</si>
  <si>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</si>
  <si>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</si>
  <si>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</si>
  <si>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</si>
  <si>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</si>
  <si>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</si>
  <si>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</si>
  <si>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</si>
  <si>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</si>
  <si>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</si>
  <si>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</si>
  <si>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</si>
  <si>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</si>
  <si>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</si>
  <si>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</si>
  <si>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</si>
  <si>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</si>
  <si>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</si>
  <si>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</si>
  <si>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</si>
  <si>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</si>
  <si>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</si>
  <si>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</si>
  <si>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</si>
  <si>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</si>
  <si>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</si>
  <si>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</si>
  <si>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</si>
  <si>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</si>
  <si>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</si>
  <si>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</si>
  <si>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</si>
  <si>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</si>
  <si>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</si>
  <si>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</si>
  <si>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</si>
  <si>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</si>
  <si>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</si>
  <si>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</si>
  <si>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</si>
  <si>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</si>
  <si>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</si>
  <si>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</si>
  <si>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</si>
  <si>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</si>
  <si>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</si>
  <si>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</si>
  <si>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</si>
  <si>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</si>
  <si>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</si>
  <si>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</si>
  <si>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</si>
  <si>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</si>
  <si>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</si>
  <si>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</si>
  <si>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</si>
  <si>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</si>
  <si>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</si>
  <si>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</si>
  <si>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</si>
  <si>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</si>
  <si>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</si>
  <si>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</si>
  <si>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</si>
  <si>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</si>
  <si>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</si>
  <si>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</si>
  <si>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</si>
  <si>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</si>
  <si>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</si>
  <si>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</si>
  <si>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</si>
  <si>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</si>
  <si>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</si>
  <si>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</si>
  <si>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</si>
  <si>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</si>
  <si>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</si>
  <si>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</si>
  <si>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</si>
  <si>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</si>
  <si>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</si>
  <si>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</si>
  <si>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</si>
  <si>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</si>
  <si>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</si>
  <si>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</si>
  <si>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</si>
  <si>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</si>
  <si>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</si>
  <si>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</si>
  <si>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</si>
  <si>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</si>
  <si>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</si>
  <si>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</si>
  <si>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</si>
  <si>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</si>
  <si>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</si>
  <si>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</si>
  <si>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</si>
  <si>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</si>
  <si>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</si>
  <si>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</si>
  <si>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</si>
  <si>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</si>
  <si>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</si>
  <si>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</si>
  <si>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</si>
  <si>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</si>
  <si>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</si>
  <si>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</si>
  <si>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</si>
  <si>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</si>
  <si>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</si>
  <si>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</si>
  <si>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</si>
  <si>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</si>
  <si>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</si>
  <si>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</si>
  <si>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</si>
  <si>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</si>
  <si>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</si>
  <si>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</si>
  <si>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</si>
  <si>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</si>
  <si>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</si>
  <si>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</si>
  <si>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</si>
  <si>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</si>
  <si>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</si>
  <si>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</si>
  <si>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</si>
  <si>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</si>
  <si>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</si>
  <si>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</si>
  <si>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</si>
  <si>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</si>
  <si>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</si>
  <si>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</si>
  <si>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</si>
  <si>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</si>
  <si>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</si>
  <si>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</si>
  <si>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</si>
  <si>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</si>
  <si>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</si>
  <si>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</si>
  <si>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</si>
  <si>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</si>
  <si>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</si>
  <si>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</si>
  <si>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</si>
  <si>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</si>
  <si>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</si>
  <si>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</si>
  <si>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</si>
  <si>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</si>
  <si>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</si>
  <si>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</si>
  <si>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</si>
  <si>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</si>
  <si>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</si>
  <si>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</si>
  <si>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</si>
  <si>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</si>
  <si>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</si>
  <si>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</si>
  <si>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</si>
  <si>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</si>
  <si>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</si>
  <si>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</si>
  <si>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</si>
  <si>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</si>
  <si>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</si>
  <si>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</si>
  <si>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</si>
  <si>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</si>
  <si>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</si>
  <si>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</si>
  <si>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</si>
  <si>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</si>
  <si>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</si>
  <si>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</si>
  <si>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</si>
  <si>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</si>
  <si>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</si>
  <si>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</si>
  <si>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</si>
  <si>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</si>
  <si>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</si>
  <si>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</si>
  <si>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</si>
  <si>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</si>
  <si>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</si>
  <si>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</si>
  <si>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</si>
  <si>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</si>
  <si>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</si>
  <si>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</si>
  <si>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</si>
  <si>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</si>
  <si>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</si>
  <si>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</si>
  <si>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</si>
  <si>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</si>
  <si>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</si>
  <si>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</si>
  <si>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</si>
  <si>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</si>
  <si>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</si>
  <si>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</si>
  <si>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</si>
  <si>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</si>
  <si>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</si>
  <si>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</si>
  <si>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</si>
  <si>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</si>
  <si>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</si>
  <si>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</si>
  <si>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</si>
  <si>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</si>
  <si>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</si>
  <si>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</si>
  <si>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</si>
  <si>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</si>
  <si>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</si>
  <si>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</si>
  <si>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</si>
  <si>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</si>
  <si>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</si>
  <si>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</si>
  <si>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</si>
  <si>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</si>
  <si>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</si>
  <si>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</si>
  <si>
    <t>Ruột menu Lò xo cơ bản</t>
  </si>
  <si>
    <t>Đóng cuốn lò xo</t>
  </si>
  <si>
    <t>Bìa lò xo chung cuốn</t>
  </si>
  <si>
    <t>Lấy giá lò xo trung bình</t>
  </si>
  <si>
    <t>Công đoạn: sắp cuốn, đột, vô lò xo</t>
  </si>
  <si>
    <t>Phí sắp đột vô lò xo</t>
  </si>
  <si>
    <t>Lò xo</t>
  </si>
  <si>
    <t>Loxo chung</t>
  </si>
  <si>
    <t>Lò xo chung</t>
  </si>
  <si>
    <t>Đơn giá /met</t>
  </si>
  <si>
    <t>Phí lò xo lấy a4</t>
  </si>
  <si>
    <t>Niêm yết TB cuốn</t>
  </si>
  <si>
    <t xml:space="preserve">Tiền làm ruột Slit, công thức (soCuon As Integer, soTo As Integer, gayCao As Double) </t>
  </si>
  <si>
    <t>Yêu cầu: menu bắt vit Zen Vbind</t>
  </si>
  <si>
    <t>Cán màng</t>
  </si>
  <si>
    <t>Zen Vbind</t>
  </si>
  <si>
    <t>Tiền AccBind</t>
  </si>
  <si>
    <t>Phần bìa cứng của htoe nhu cầu</t>
  </si>
  <si>
    <t>A4</t>
  </si>
  <si>
    <t>Làm tay</t>
  </si>
  <si>
    <t>Tổng tiền in +  giấy gói bìa</t>
  </si>
  <si>
    <t>Tổng phí làm ruột</t>
  </si>
  <si>
    <t>Tổng bán theo lãi</t>
  </si>
  <si>
    <t>Tiền bìa + đóng cuốn</t>
  </si>
  <si>
    <t>Tổng phí làm bìa</t>
  </si>
  <si>
    <t>Phí vô bìa</t>
  </si>
  <si>
    <t>Tiền đóng cuốn bìa cứng bắt vít lãi</t>
  </si>
  <si>
    <t>Tổng giá bán</t>
  </si>
  <si>
    <t>Giá TB/cuốn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</si>
</sst>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00BDB77-69EA-43BD-95FD-6C4086667499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B85355AF-E5BC-40EB-82E0-3B1707B42F0C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D2E73B2-3D6C-4395-B8BB-0A253013C594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413EA70-F6C7-415F-B50B-1D3A7495444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447674</xdr:colOff>
      <xdr:row>0</xdr:row>
      <xdr:rowOff>95251</xdr:rowOff>
    </xdr:from>
    <xdr:to>
      <xdr:col>5</xdr:col>
      <xdr:colOff>333374</xdr:colOff>
      <xdr:row>7</xdr:row>
      <xdr:rowOff>57151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68A2DD0-B413-4276-9374-82CAC8B16EF5}"/>
            </a:ext>
          </a:extLst>
        </xdr:cNvPr>
        <xdr:cNvSpPr txBox="1"/>
      </xdr:nvSpPr>
      <xdr:spPr>
        <a:xfrm>
          <a:off x="3019424" y="95251"/>
          <a:ext cx="3286125" cy="129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vi-VN" sz="1100">
              <a:solidFill>
                <a:srgbClr val="0070C0"/>
              </a:solidFill>
            </a:rPr>
            <a:t>24 cuốn giấy c300 cán mờ ( in test 1 cuốn + in 23 cuốn )Menu đã có thiết kế trên khổ A4 tổng cộng 14 trang kích thước sau khi FA để in : trang bìa và trang lót: 4 trang - 26.4 cm x 33.1 cm10 trang ruột 24.31cm  x 30.52cm</a:t>
          </a:r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38996.078399999999</v>
      </c>
      <c r="E18" s="32">
        <f t="shared" si="3"/>
        <v>42360.784200000002</v>
      </c>
      <c r="F18" s="32">
        <f t="shared" si="3"/>
        <v>47796.078399999999</v>
      </c>
      <c r="G18" s="32">
        <f t="shared" si="3"/>
        <v>53490.196000000004</v>
      </c>
      <c r="H18" s="32">
        <f t="shared" si="3"/>
        <v>58925.490100000003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221554.87234999999</v>
      </c>
      <c r="D23" s="25">
        <f t="shared" si="7"/>
        <v>271584.97047499998</v>
      </c>
      <c r="E23" s="25">
        <f t="shared" si="7"/>
        <v>422128.205625</v>
      </c>
      <c r="F23" s="25">
        <f t="shared" si="7"/>
        <v>672731.6372</v>
      </c>
      <c r="G23" s="25">
        <f t="shared" si="7"/>
        <v>923788.00954999996</v>
      </c>
      <c r="H23" s="25">
        <f t="shared" si="7"/>
        <v>1174391.44095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468013.20562499994</v>
      </c>
      <c r="D29" s="7">
        <f t="shared" si="11"/>
        <v>545751.6372</v>
      </c>
      <c r="E29" s="7">
        <f t="shared" si="11"/>
        <v>779419.87235000008</v>
      </c>
      <c r="F29" s="7">
        <f t="shared" si="11"/>
        <v>1168564.9704749999</v>
      </c>
      <c r="G29" s="7">
        <f t="shared" si="11"/>
        <v>1558163.0095500001</v>
      </c>
      <c r="H29" s="7">
        <f t="shared" si="11"/>
        <v>1947308.1076750001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468000</v>
      </c>
      <c r="D34" s="7">
        <f t="shared" si="14"/>
        <v>545000</v>
      </c>
      <c r="E34" s="7">
        <f t="shared" si="14"/>
        <v>779000</v>
      </c>
      <c r="F34" s="7">
        <f t="shared" si="14"/>
        <v>1168000</v>
      </c>
      <c r="G34" s="7">
        <f t="shared" si="14"/>
        <v>1558000</v>
      </c>
      <c r="H34" s="7">
        <f t="shared" si="14"/>
        <v>1947000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39254.901899999997</v>
      </c>
      <c r="E18" s="32">
        <f t="shared" si="3"/>
        <v>42878.431299999997</v>
      </c>
      <c r="F18" s="32">
        <f t="shared" si="3"/>
        <v>48831.372499999998</v>
      </c>
      <c r="G18" s="32">
        <f t="shared" si="3"/>
        <v>55043.137199999997</v>
      </c>
      <c r="H18" s="32">
        <f t="shared" si="3"/>
        <v>60996.078399999999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22" workbookViewId="0">
      <selection activeCell="E41" sqref="E41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253000</v>
      </c>
      <c r="K25" s="40">
        <f>LamChanHangNgan((PhiInKM4M_BHR70($A25*F$23/$D$16*$E$16)+$A24*F$23/$D$16*$D$19+PhiMayCanMang($A25*F$23/$D$16*2, $C$15/100,$D$15/100))*(1+$D$17))</f>
        <v>355000</v>
      </c>
      <c r="L25" s="40">
        <f>LamChanHangNgan((PhiInKM4M_BHR70($A25*G$23/$D$16*$E$16)+$A24*G$23/$D$16*$D$19+PhiMayCanMang($A25*G$23/$D$16*2, $C$15/100,$D$15/100))*(1+$D$17))</f>
        <v>457000</v>
      </c>
      <c r="M25" s="40">
        <f>LamChanHangNgan((PhiInKM4M_BHR70($A25*H$23/$D$16*$E$16)+$A24*H$23/$D$16*$D$19+PhiMayCanMang($A25*H$23/$D$16*2, $C$15/100,$D$15/100))*(1+$D$17))</f>
        <v>559000</v>
      </c>
      <c r="N25" s="40">
        <f>LamChanHangNgan((PhiInKM4M_BHR70($A25*I$23/$D$16*$E$16)+$A24*I$23/$D$16*$D$19+PhiMayCanMang($A25*I$23/$D$16*2, $C$15/100,$D$15/100))*(1+$D$17))</f>
        <v>661000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271000</v>
      </c>
      <c r="K27" s="40">
        <f>LamChanHangNgan((PhiInKM4M_BHR70($A27*F$23/$D$16*$E$16)+$A26*F$23/$D$16*$D$19+PhiMayCanMang($A27*F$23/$D$16*2, $C$15/100,$D$15/100))*(1+$D$17))</f>
        <v>389000</v>
      </c>
      <c r="L27" s="40">
        <f>LamChanHangNgan((PhiInKM4M_BHR70($A27*G$23/$D$16*$E$16)+$A26*G$23/$D$16*$D$19+PhiMayCanMang($A27*G$23/$D$16*2, $C$15/100,$D$15/100))*(1+$D$17))</f>
        <v>508000</v>
      </c>
      <c r="M27" s="40">
        <f>LamChanHangNgan((PhiInKM4M_BHR70($A27*H$23/$D$16*$E$16)+$A26*H$23/$D$16*$D$19+PhiMayCanMang($A27*H$23/$D$16*2, $C$15/100,$D$15/100))*(1+$D$17))</f>
        <v>628000</v>
      </c>
      <c r="N27" s="40">
        <f>LamChanHangNgan((PhiInKM4M_BHR70($A27*I$23/$D$16*$E$16)+$A26*I$23/$D$16*$D$19+PhiMayCanMang($A27*I$23/$D$16*2, $C$15/100,$D$15/100))*(1+$D$17))</f>
        <v>746000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287000</v>
      </c>
      <c r="K29" s="40">
        <f>LamChanHangNgan((PhiInKM4M_BHR70($A29*F$23/$D$16*$E$16)+$A28*F$23/$D$16*$D$19+PhiMayCanMang($A29*F$23/$D$16*2, $C$15/100,$D$15/100))*(1+$D$17))</f>
        <v>424000</v>
      </c>
      <c r="L29" s="40">
        <f>LamChanHangNgan((PhiInKM4M_BHR70($A29*G$23/$D$16*$E$16)+$A28*G$23/$D$16*$D$19+PhiMayCanMang($A29*G$23/$D$16*2, $C$15/100,$D$15/100))*(1+$D$17))</f>
        <v>559000</v>
      </c>
      <c r="M29" s="40">
        <f>LamChanHangNgan((PhiInKM4M_BHR70($A29*H$23/$D$16*$E$16)+$A28*H$23/$D$16*$D$19+PhiMayCanMang($A29*H$23/$D$16*2, $C$15/100,$D$15/100))*(1+$D$17))</f>
        <v>695000</v>
      </c>
      <c r="N29" s="40">
        <f>LamChanHangNgan((PhiInKM4M_BHR70($A29*I$23/$D$16*$E$16)+$A28*I$23/$D$16*$D$19+PhiMayCanMang($A29*I$23/$D$16*2, $C$15/100,$D$15/100))*(1+$D$17))</f>
        <v>832000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304000</v>
      </c>
      <c r="K31" s="40">
        <f>LamChanHangNgan((PhiInKM4M_BHR70($A31*F$23/$D$16*$E$16)+$A30*F$23/$D$16*$D$19+PhiMayCanMang($A31*F$23/$D$16*2, $C$15/100,$D$15/100))*(1+$D$17))</f>
        <v>457000</v>
      </c>
      <c r="L31" s="40">
        <f>LamChanHangNgan((PhiInKM4M_BHR70($A31*G$23/$D$16*$E$16)+$A30*G$23/$D$16*$D$19+PhiMayCanMang($A31*G$23/$D$16*2, $C$15/100,$D$15/100))*(1+$D$17))</f>
        <v>611000</v>
      </c>
      <c r="M31" s="40">
        <f>LamChanHangNgan((PhiInKM4M_BHR70($A31*H$23/$D$16*$E$16)+$A30*H$23/$D$16*$D$19+PhiMayCanMang($A31*H$23/$D$16*2, $C$15/100,$D$15/100))*(1+$D$17))</f>
        <v>763000</v>
      </c>
      <c r="N31" s="40">
        <f>LamChanHangNgan((PhiInKM4M_BHR70($A31*I$23/$D$16*$E$16)+$A30*I$23/$D$16*$D$19+PhiMayCanMang($A31*I$23/$D$16*2, $C$15/100,$D$15/100))*(1+$D$17))</f>
        <v>916000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321000</v>
      </c>
      <c r="K33" s="40">
        <f>LamChanHangNgan((PhiInKM4M_BHR70($A33*F$23/$D$16*$E$16)+$A32*F$23/$D$16*$D$19+PhiMayCanMang($A33*F$23/$D$16*2, $C$15/100,$D$15/100))*(1+$D$17))</f>
        <v>491000</v>
      </c>
      <c r="L33" s="40">
        <f>LamChanHangNgan((PhiInKM4M_BHR70($A33*G$23/$D$16*$E$16)+$A32*G$23/$D$16*$D$19+PhiMayCanMang($A33*G$23/$D$16*2, $C$15/100,$D$15/100))*(1+$D$17))</f>
        <v>661000</v>
      </c>
      <c r="M33" s="40">
        <f>LamChanHangNgan((PhiInKM4M_BHR70($A33*H$23/$D$16*$E$16)+$A32*H$23/$D$16*$D$19+PhiMayCanMang($A33*H$23/$D$16*2, $C$15/100,$D$15/100))*(1+$D$17))</f>
        <v>832000</v>
      </c>
      <c r="N33" s="40">
        <f>LamChanHangNgan((PhiInKM4M_BHR70($A33*I$23/$D$16*$E$16)+$A32*I$23/$D$16*$D$19+PhiMayCanMang($A33*I$23/$D$16*2, $C$15/100,$D$15/100))*(1+$D$17))</f>
        <v>1001000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338000</v>
      </c>
      <c r="K35" s="40">
        <f>LamChanHangNgan((PhiInKM4M_BHR70($A35*F$23/$D$16*$E$16)+$A34*F$23/$D$16*$D$19+PhiMayCanMang($A35*F$23/$D$16*2, $C$15/100,$D$15/100))*(1+$D$17))</f>
        <v>526000</v>
      </c>
      <c r="L35" s="40">
        <f>LamChanHangNgan((PhiInKM4M_BHR70($A35*G$23/$D$16*$E$16)+$A34*G$23/$D$16*$D$19+PhiMayCanMang($A35*G$23/$D$16*2, $C$15/100,$D$15/100))*(1+$D$17))</f>
        <v>712000</v>
      </c>
      <c r="M35" s="40">
        <f>LamChanHangNgan((PhiInKM4M_BHR70($A35*H$23/$D$16*$E$16)+$A34*H$23/$D$16*$D$19+PhiMayCanMang($A35*H$23/$D$16*2, $C$15/100,$D$15/100))*(1+$D$17))</f>
        <v>899000</v>
      </c>
      <c r="N35" s="40">
        <f>LamChanHangNgan((PhiInKM4M_BHR70($A35*I$23/$D$16*$E$16)+$A34*I$23/$D$16*$D$19+PhiMayCanMang($A35*I$23/$D$16*2, $C$15/100,$D$15/100))*(1+$D$17))</f>
        <v>1087000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355000</v>
      </c>
      <c r="K37" s="40">
        <f>LamChanHangNgan((PhiInKM4M_BHR70($A37*F$23/$D$16*$E$16)+$A36*F$23/$D$16*$D$19+PhiMayCanMang($A37*F$23/$D$16*2, $C$15/100,$D$15/100))*(1+$D$17))</f>
        <v>559000</v>
      </c>
      <c r="L37" s="40">
        <f>LamChanHangNgan((PhiInKM4M_BHR70($A37*G$23/$D$16*$E$16)+$A36*G$23/$D$16*$D$19+PhiMayCanMang($A37*G$23/$D$16*2, $C$15/100,$D$15/100))*(1+$D$17))</f>
        <v>763000</v>
      </c>
      <c r="M37" s="40">
        <f>LamChanHangNgan((PhiInKM4M_BHR70($A37*H$23/$D$16*$E$16)+$A36*H$23/$D$16*$D$19+PhiMayCanMang($A37*H$23/$D$16*2, $C$15/100,$D$15/100))*(1+$D$17))</f>
        <v>967000</v>
      </c>
      <c r="N37" s="40">
        <f>LamChanHangNgan((PhiInKM4M_BHR70($A37*I$23/$D$16*$E$16)+$A36*I$23/$D$16*$D$19+PhiMayCanMang($A37*I$23/$D$16*2, $C$15/100,$D$15/100))*(1+$D$17))</f>
        <v>1172000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A19" workbookViewId="0">
      <selection activeCell="F23" sqref="F2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304000</v>
      </c>
      <c r="K25" s="40">
        <f>LamChanHangNgan((PhiInKM4M_BHR70($A25*F$23/$D$16*$E$16)+$A24*F$23/$D$16*$D$19+PhiMayCanMang($A25*F$23/$D$16*2, $C$15/100,$D$15/100))*(1+$D$17))</f>
        <v>457000</v>
      </c>
      <c r="L25" s="40">
        <f>LamChanHangNgan((PhiInKM4M_BHR70($A25*G$23/$D$16*$E$16)+$A24*G$23/$D$16*$D$19+PhiMayCanMang($A25*G$23/$D$16*2, $C$15/100,$D$15/100))*(1+$D$17))</f>
        <v>611000</v>
      </c>
      <c r="M25" s="40">
        <f>LamChanHangNgan((PhiInKM4M_BHR70($A25*H$23/$D$16*$E$16)+$A24*H$23/$D$16*$D$19+PhiMayCanMang($A25*H$23/$D$16*2, $C$15/100,$D$15/100))*(1+$D$17))</f>
        <v>763000</v>
      </c>
      <c r="N25" s="40">
        <f>LamChanHangNgan((PhiInKM4M_BHR70($A25*I$23/$D$16*$E$16)+$A24*I$23/$D$16*$D$19+PhiMayCanMang($A25*I$23/$D$16*2, $C$15/100,$D$15/100))*(1+$D$17))</f>
        <v>916000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330000</v>
      </c>
      <c r="K27" s="40">
        <f>LamChanHangNgan((PhiInKM4M_BHR70($A27*F$23/$D$16*$E$16)+$A26*F$23/$D$16*$D$19+PhiMayCanMang($A27*F$23/$D$16*2, $C$15/100,$D$15/100))*(1+$D$17))</f>
        <v>508000</v>
      </c>
      <c r="L27" s="40">
        <f>LamChanHangNgan((PhiInKM4M_BHR70($A27*G$23/$D$16*$E$16)+$A26*G$23/$D$16*$D$19+PhiMayCanMang($A27*G$23/$D$16*2, $C$15/100,$D$15/100))*(1+$D$17))</f>
        <v>687000</v>
      </c>
      <c r="M27" s="40">
        <f>LamChanHangNgan((PhiInKM4M_BHR70($A27*H$23/$D$16*$E$16)+$A26*H$23/$D$16*$D$19+PhiMayCanMang($A27*H$23/$D$16*2, $C$15/100,$D$15/100))*(1+$D$17))</f>
        <v>866000</v>
      </c>
      <c r="N27" s="40">
        <f>LamChanHangNgan((PhiInKM4M_BHR70($A27*I$23/$D$16*$E$16)+$A26*I$23/$D$16*$D$19+PhiMayCanMang($A27*I$23/$D$16*2, $C$15/100,$D$15/100))*(1+$D$17))</f>
        <v>1044000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355000</v>
      </c>
      <c r="K29" s="40">
        <f>LamChanHangNgan((PhiInKM4M_BHR70($A29*F$23/$D$16*$E$16)+$A28*F$23/$D$16*$D$19+PhiMayCanMang($A29*F$23/$D$16*2, $C$15/100,$D$15/100))*(1+$D$17))</f>
        <v>559000</v>
      </c>
      <c r="L29" s="40">
        <f>LamChanHangNgan((PhiInKM4M_BHR70($A29*G$23/$D$16*$E$16)+$A28*G$23/$D$16*$D$19+PhiMayCanMang($A29*G$23/$D$16*2, $C$15/100,$D$15/100))*(1+$D$17))</f>
        <v>763000</v>
      </c>
      <c r="M29" s="40">
        <f>LamChanHangNgan((PhiInKM4M_BHR70($A29*H$23/$D$16*$E$16)+$A28*H$23/$D$16*$D$19+PhiMayCanMang($A29*H$23/$D$16*2, $C$15/100,$D$15/100))*(1+$D$17))</f>
        <v>967000</v>
      </c>
      <c r="N29" s="40">
        <f>LamChanHangNgan((PhiInKM4M_BHR70($A29*I$23/$D$16*$E$16)+$A28*I$23/$D$16*$D$19+PhiMayCanMang($A29*I$23/$D$16*2, $C$15/100,$D$15/100))*(1+$D$17))</f>
        <v>1172000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381000</v>
      </c>
      <c r="K31" s="40">
        <f>LamChanHangNgan((PhiInKM4M_BHR70($A31*F$23/$D$16*$E$16)+$A30*F$23/$D$16*$D$19+PhiMayCanMang($A31*F$23/$D$16*2, $C$15/100,$D$15/100))*(1+$D$17))</f>
        <v>611000</v>
      </c>
      <c r="L31" s="40">
        <f>LamChanHangNgan((PhiInKM4M_BHR70($A31*G$23/$D$16*$E$16)+$A30*G$23/$D$16*$D$19+PhiMayCanMang($A31*G$23/$D$16*2, $C$15/100,$D$15/100))*(1+$D$17))</f>
        <v>840000</v>
      </c>
      <c r="M31" s="40">
        <f>LamChanHangNgan((PhiInKM4M_BHR70($A31*H$23/$D$16*$E$16)+$A30*H$23/$D$16*$D$19+PhiMayCanMang($A31*H$23/$D$16*2, $C$15/100,$D$15/100))*(1+$D$17))</f>
        <v>1069000</v>
      </c>
      <c r="N31" s="40">
        <f>LamChanHangNgan((PhiInKM4M_BHR70($A31*I$23/$D$16*$E$16)+$A30*I$23/$D$16*$D$19+PhiMayCanMang($A31*I$23/$D$16*2, $C$15/100,$D$15/100))*(1+$D$17))</f>
        <v>1299000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406000</v>
      </c>
      <c r="K33" s="40">
        <f>LamChanHangNgan((PhiInKM4M_BHR70($A33*F$23/$D$16*$E$16)+$A32*F$23/$D$16*$D$19+PhiMayCanMang($A33*F$23/$D$16*2, $C$15/100,$D$15/100))*(1+$D$17))</f>
        <v>661000</v>
      </c>
      <c r="L33" s="40">
        <f>LamChanHangNgan((PhiInKM4M_BHR70($A33*G$23/$D$16*$E$16)+$A32*G$23/$D$16*$D$19+PhiMayCanMang($A33*G$23/$D$16*2, $C$15/100,$D$15/100))*(1+$D$17))</f>
        <v>916000</v>
      </c>
      <c r="M33" s="40">
        <f>LamChanHangNgan((PhiInKM4M_BHR70($A33*H$23/$D$16*$E$16)+$A32*H$23/$D$16*$D$19+PhiMayCanMang($A33*H$23/$D$16*2, $C$15/100,$D$15/100))*(1+$D$17))</f>
        <v>1172000</v>
      </c>
      <c r="N33" s="40">
        <f>LamChanHangNgan((PhiInKM4M_BHR70($A33*I$23/$D$16*$E$16)+$A32*I$23/$D$16*$D$19+PhiMayCanMang($A33*I$23/$D$16*2, $C$15/100,$D$15/100))*(1+$D$17))</f>
        <v>1427000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432000</v>
      </c>
      <c r="K35" s="40">
        <f>LamChanHangNgan((PhiInKM4M_BHR70($A35*F$23/$D$16*$E$16)+$A34*F$23/$D$16*$D$19+PhiMayCanMang($A35*F$23/$D$16*2, $C$15/100,$D$15/100))*(1+$D$17))</f>
        <v>712000</v>
      </c>
      <c r="L35" s="40">
        <f>LamChanHangNgan((PhiInKM4M_BHR70($A35*G$23/$D$16*$E$16)+$A34*G$23/$D$16*$D$19+PhiMayCanMang($A35*G$23/$D$16*2, $C$15/100,$D$15/100))*(1+$D$17))</f>
        <v>993000</v>
      </c>
      <c r="M35" s="40">
        <f>LamChanHangNgan((PhiInKM4M_BHR70($A35*H$23/$D$16*$E$16)+$A34*H$23/$D$16*$D$19+PhiMayCanMang($A35*H$23/$D$16*2, $C$15/100,$D$15/100))*(1+$D$17))</f>
        <v>1274000</v>
      </c>
      <c r="N35" s="40">
        <f>LamChanHangNgan((PhiInKM4M_BHR70($A35*I$23/$D$16*$E$16)+$A34*I$23/$D$16*$D$19+PhiMayCanMang($A35*I$23/$D$16*2, $C$15/100,$D$15/100))*(1+$D$17))</f>
        <v>1554000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457000</v>
      </c>
      <c r="K37" s="40">
        <f>LamChanHangNgan((PhiInKM4M_BHR70($A37*F$23/$D$16*$E$16)+$A36*F$23/$D$16*$D$19+PhiMayCanMang($A37*F$23/$D$16*2, $C$15/100,$D$15/100))*(1+$D$17))</f>
        <v>763000</v>
      </c>
      <c r="L37" s="40">
        <f>LamChanHangNgan((PhiInKM4M_BHR70($A37*G$23/$D$16*$E$16)+$A36*G$23/$D$16*$D$19+PhiMayCanMang($A37*G$23/$D$16*2, $C$15/100,$D$15/100))*(1+$D$17))</f>
        <v>1069000</v>
      </c>
      <c r="M37" s="40">
        <f>LamChanHangNgan((PhiInKM4M_BHR70($A37*H$23/$D$16*$E$16)+$A36*H$23/$D$16*$D$19+PhiMayCanMang($A37*H$23/$D$16*2, $C$15/100,$D$15/100))*(1+$D$17))</f>
        <v>1376000</v>
      </c>
      <c r="N37" s="40">
        <f>LamChanHangNgan((PhiInKM4M_BHR70($A37*I$23/$D$16*$E$16)+$A36*I$23/$D$16*$D$19+PhiMayCanMang($A37*I$23/$D$16*2, $C$15/100,$D$15/100))*(1+$D$17))</f>
        <v>1682000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A22" workbookViewId="0">
      <selection activeCell="D41" sqref="D41:I4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22022.2228</v>
      </c>
      <c r="F41" s="7">
        <f t="shared" ref="F41:I41" si="8">PhiLDPT_XepDotVoCuonLX(F$23)+$B$41*$C$13/100</f>
        <v>24911.111700000001</v>
      </c>
      <c r="G41" s="7">
        <f t="shared" si="8"/>
        <v>27800.000700000001</v>
      </c>
      <c r="H41" s="7">
        <f t="shared" si="8"/>
        <v>30688.8897</v>
      </c>
      <c r="I41" s="7">
        <f t="shared" si="8"/>
        <v>33577.778699999995</v>
      </c>
    </row>
    <row r="42" spans="1:14" x14ac:dyDescent="0.25">
      <c r="A42" s="2"/>
      <c r="D42" t="s">
        <v>317</v>
      </c>
      <c r="E42" s="7">
        <f>E$41*(1+$D$17)</f>
        <v>38538.889900000002</v>
      </c>
      <c r="F42" s="7">
        <f t="shared" ref="F42:I42" si="9">F$41*(1+$D$17)</f>
        <v>43594.445475</v>
      </c>
      <c r="G42" s="7">
        <f t="shared" si="9"/>
        <v>48650.001225</v>
      </c>
      <c r="H42" s="7">
        <f t="shared" si="9"/>
        <v>53705.556975</v>
      </c>
      <c r="I42" s="7">
        <f t="shared" si="9"/>
        <v>58761.112724999992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16" workbookViewId="0">
      <selection activeCell="F40" sqref="F40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22262.2228</v>
      </c>
      <c r="F41" s="7">
        <f t="shared" ref="F41:I41" si="8">PhiLDPT_XepDotVoCuonLX(F$23)+$B$41*$C$13/100</f>
        <v>25151.111700000001</v>
      </c>
      <c r="G41" s="7">
        <f t="shared" si="8"/>
        <v>28040.000700000001</v>
      </c>
      <c r="H41" s="7">
        <f t="shared" si="8"/>
        <v>30928.8897</v>
      </c>
      <c r="I41" s="7">
        <f t="shared" si="8"/>
        <v>33817.778699999995</v>
      </c>
    </row>
    <row r="42" spans="1:14" x14ac:dyDescent="0.25">
      <c r="A42" s="2"/>
      <c r="D42" t="s">
        <v>317</v>
      </c>
      <c r="E42" s="7">
        <f>E$41*(1+$D$17)</f>
        <v>38958.889900000002</v>
      </c>
      <c r="F42" s="7">
        <f t="shared" ref="F42:I42" si="9">F$41*(1+$D$17)</f>
        <v>44014.445475</v>
      </c>
      <c r="G42" s="7">
        <f t="shared" si="9"/>
        <v>49070.001225</v>
      </c>
      <c r="H42" s="7">
        <f t="shared" si="9"/>
        <v>54125.556975</v>
      </c>
      <c r="I42" s="7">
        <f t="shared" si="9"/>
        <v>59181.112724999992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822-3F33-4EBD-AFF0-A626967EA186}">
  <sheetPr codeName="Trang_tính11"/>
  <dimension ref="A1:I73"/>
  <sheetViews>
    <sheetView topLeftCell="A28" workbookViewId="0">
      <selection activeCell="B43" sqref="B4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10</v>
      </c>
      <c r="C13">
        <v>19</v>
      </c>
      <c r="D13">
        <v>0.3</v>
      </c>
      <c r="E13">
        <v>0</v>
      </c>
      <c r="F13">
        <f>$B13+$E13+$D13*2</f>
        <v>10.6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6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10</v>
      </c>
      <c r="F25">
        <f t="shared" ref="F25:I25" si="0">($A25*F$24/2)/$D$16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306</v>
      </c>
      <c r="E26" s="7">
        <f>PhiInKM4M_BHR70(E$25*$E$16*2)*(1+$D$17)</f>
        <v>136500</v>
      </c>
      <c r="F26" s="7">
        <f>PhiInKM4M_BHR70(F$25*$E$16*2)*(1+$D$17)</f>
        <v>185500</v>
      </c>
      <c r="G26" s="7">
        <f>PhiInKM4M_BHR70(G$25*$E$16*2)*(1+$D$17)</f>
        <v>234500</v>
      </c>
      <c r="H26" s="7">
        <f>PhiInKM4M_BHR70(H$25*$E$16*2)*(1+$D$17)</f>
        <v>283500</v>
      </c>
      <c r="I26" s="7">
        <f>PhiInKM4M_BHR70(I$25*$E$16*2)*(1+$D$17)</f>
        <v>332500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158000</v>
      </c>
      <c r="F30" s="25">
        <f t="shared" ref="F30:I30" si="2">LamChanHangNgan(F$26+F$27+F$29)</f>
        <v>230000</v>
      </c>
      <c r="G30" s="25">
        <f t="shared" si="2"/>
        <v>301000</v>
      </c>
      <c r="H30" s="25">
        <f t="shared" si="2"/>
        <v>372000</v>
      </c>
      <c r="I30" s="25">
        <f t="shared" si="2"/>
        <v>443000</v>
      </c>
    </row>
    <row r="31" spans="1:9" x14ac:dyDescent="0.25">
      <c r="C31" t="s">
        <v>330</v>
      </c>
      <c r="E31" s="25">
        <f>LamChanHangNgan(E$26+E$27+E$28+E$29)</f>
        <v>233000</v>
      </c>
      <c r="F31" s="25">
        <f t="shared" ref="F31:I31" si="3">LamChanHangNgan(F$26+F$27+F$28+F$29)</f>
        <v>315000</v>
      </c>
      <c r="G31" s="25">
        <f t="shared" si="3"/>
        <v>397000</v>
      </c>
      <c r="H31" s="25">
        <f t="shared" si="3"/>
        <v>479000</v>
      </c>
      <c r="I31" s="25">
        <f t="shared" si="3"/>
        <v>560000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11.666666666666666</v>
      </c>
      <c r="F32">
        <f t="shared" ref="F32:I32" si="4">($A32*F$24/2)/$D$16</f>
        <v>23.333333333333332</v>
      </c>
      <c r="G32">
        <f t="shared" si="4"/>
        <v>35</v>
      </c>
      <c r="H32">
        <f t="shared" si="4"/>
        <v>46.666666666666664</v>
      </c>
      <c r="I32">
        <f t="shared" si="4"/>
        <v>58.333333333333336</v>
      </c>
    </row>
    <row r="33" spans="1:9" x14ac:dyDescent="0.25">
      <c r="C33" t="s">
        <v>306</v>
      </c>
      <c r="E33" s="26">
        <f>PhiInKM4M_BHR70(E32*$E$16*2)*(1+$D$17)</f>
        <v>145075</v>
      </c>
      <c r="F33" s="26">
        <f>PhiInKM4M_BHR70(F32*$E$16*2)*(1+$D$17)</f>
        <v>201425</v>
      </c>
      <c r="G33" s="26">
        <f>PhiInKM4M_BHR70(G32*$E$16*2)*(1+$D$17)</f>
        <v>259000</v>
      </c>
      <c r="H33" s="26">
        <f>PhiInKM4M_BHR70(H32*$E$16*2)*(1+$D$17)</f>
        <v>316575</v>
      </c>
      <c r="I33" s="26">
        <f>PhiInKM4M_BHR70(I32*$E$16*2)*(1+$D$17)</f>
        <v>372925</v>
      </c>
    </row>
    <row r="34" spans="1:9" x14ac:dyDescent="0.25">
      <c r="C34" t="s">
        <v>333</v>
      </c>
      <c r="E34" s="26">
        <f>E32*$D$19*(1+$D$17)</f>
        <v>25970</v>
      </c>
      <c r="F34" s="26">
        <f t="shared" ref="F34:I34" si="5">F32*$D$19*(1+$D$17)</f>
        <v>51940</v>
      </c>
      <c r="G34" s="26">
        <f t="shared" si="5"/>
        <v>77910</v>
      </c>
      <c r="H34" s="26">
        <f t="shared" si="5"/>
        <v>103880</v>
      </c>
      <c r="I34" s="26">
        <f t="shared" si="5"/>
        <v>129850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76413.339275000006</v>
      </c>
      <c r="F35" s="26">
        <f>(PhiMayCanMang(F32*2,$C$15/100,$D$15/100) + PhiMangCan(F32*2,$C$15/100,$D$15/100,$D$21))*(1+$D$17)</f>
        <v>88975.852350000001</v>
      </c>
      <c r="G35" s="26">
        <f>(PhiMayCanMang(G32*2,$C$15/100,$D$15/100) + PhiMangCan(G32*2,$C$15/100,$D$15/100,$D$21))*(1+$D$17)</f>
        <v>101222.52525000001</v>
      </c>
      <c r="H35" s="26">
        <f>(PhiMayCanMang(H32*2,$C$15/100,$D$15/100) + PhiMangCan(H32*2,$C$15/100,$D$15/100,$D$21))*(1+$D$17)</f>
        <v>113469.19779999999</v>
      </c>
      <c r="I35" s="26">
        <f>(PhiMayCanMang(I32*2,$C$15/100,$D$15/100) + PhiMangCan(I32*2,$C$15/100,$D$15/100,$D$21))*(1+$D$17)</f>
        <v>126031.710875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171000</v>
      </c>
      <c r="F37" s="42">
        <f t="shared" ref="F37:I37" si="6">LamChanHangNgan(F33+F34+F36)</f>
        <v>253000</v>
      </c>
      <c r="G37" s="42">
        <f t="shared" si="6"/>
        <v>336000</v>
      </c>
      <c r="H37" s="42">
        <f t="shared" si="6"/>
        <v>420000</v>
      </c>
      <c r="I37" s="42">
        <f t="shared" si="6"/>
        <v>502000</v>
      </c>
    </row>
    <row r="38" spans="1:9" x14ac:dyDescent="0.25">
      <c r="C38" t="s">
        <v>330</v>
      </c>
      <c r="E38" s="42">
        <f>LamChanHangNgan(E33+E34+E35+E36)</f>
        <v>247000</v>
      </c>
      <c r="F38" s="42">
        <f t="shared" ref="F38:I38" si="7">LamChanHangNgan(F33+F34+F35+F36)</f>
        <v>342000</v>
      </c>
      <c r="G38" s="42">
        <f t="shared" si="7"/>
        <v>438000</v>
      </c>
      <c r="H38" s="42">
        <f t="shared" si="7"/>
        <v>533000</v>
      </c>
      <c r="I38" s="42">
        <f t="shared" si="7"/>
        <v>628000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13.333333333333334</v>
      </c>
      <c r="F39">
        <f t="shared" ref="F39:I39" si="8">($A39*F$24/2)/$D$16</f>
        <v>26.666666666666668</v>
      </c>
      <c r="G39">
        <f t="shared" si="8"/>
        <v>40</v>
      </c>
      <c r="H39">
        <f t="shared" si="8"/>
        <v>53.333333333333336</v>
      </c>
      <c r="I39">
        <f t="shared" si="8"/>
        <v>66.666666666666671</v>
      </c>
    </row>
    <row r="40" spans="1:9" x14ac:dyDescent="0.25">
      <c r="C40" t="s">
        <v>306</v>
      </c>
      <c r="E40">
        <f>PhiInKM4M_BHR70(E39*$E$16*2)*(1+$D$17)</f>
        <v>152425</v>
      </c>
      <c r="F40">
        <f>PhiInKM4M_BHR70(F39*$E$16*2)*(1+$D$17)</f>
        <v>218575</v>
      </c>
      <c r="G40">
        <f>PhiInKM4M_BHR70(G39*$E$16*2)*(1+$D$17)</f>
        <v>283500</v>
      </c>
      <c r="H40">
        <f>PhiInKM4M_BHR70(H39*$E$16*2)*(1+$D$17)</f>
        <v>348425</v>
      </c>
      <c r="I40">
        <f>PhiInKM4M_BHR70(I39*$E$16*2)*(1+$D$17)</f>
        <v>414575</v>
      </c>
    </row>
    <row r="41" spans="1:9" x14ac:dyDescent="0.25">
      <c r="C41" t="s">
        <v>333</v>
      </c>
      <c r="E41">
        <f>E39*$D$19*(1+$D$17)</f>
        <v>29680</v>
      </c>
      <c r="F41">
        <f t="shared" ref="F41:I41" si="9">F39*$D$19*(1+$D$17)</f>
        <v>59360</v>
      </c>
      <c r="G41">
        <f t="shared" si="9"/>
        <v>89040</v>
      </c>
      <c r="H41">
        <f t="shared" si="9"/>
        <v>118720</v>
      </c>
      <c r="I41">
        <f t="shared" si="9"/>
        <v>148400</v>
      </c>
    </row>
    <row r="42" spans="1:9" x14ac:dyDescent="0.25">
      <c r="C42" t="s">
        <v>310</v>
      </c>
      <c r="E42">
        <f>(PhiMayCanMang(E39*2,$C$15/100,$D$15/100) + PhiMangCan(E39*2,$C$15/100,$D$15/100,$D$21))*(1+$D$17)</f>
        <v>78582.582049999997</v>
      </c>
      <c r="F42">
        <f>(PhiMayCanMang(F39*2,$C$15/100,$D$15/100) + PhiMangCan(F39*2,$C$15/100,$D$15/100,$D$21))*(1+$D$17)</f>
        <v>92229.71590000001</v>
      </c>
      <c r="G42">
        <f>(PhiMayCanMang(G39*2,$C$15/100,$D$15/100) + PhiMangCan(G39*2,$C$15/100,$D$15/100,$D$21))*(1+$D$17)</f>
        <v>106645.63035000001</v>
      </c>
      <c r="H42">
        <f>(PhiMayCanMang(H39*2,$C$15/100,$D$15/100) + PhiMangCan(H39*2,$C$15/100,$D$15/100,$D$21))*(1+$D$17)</f>
        <v>120608.60577499999</v>
      </c>
      <c r="I42">
        <f>(PhiMayCanMang(I39*2,$C$15/100,$D$15/100) + PhiMangCan(I39*2,$C$15/100,$D$15/100,$D$21))*(1+$D$17)</f>
        <v>134708.67777499999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182000</v>
      </c>
      <c r="F44" s="25">
        <f t="shared" ref="F44:I44" si="10">LamChanHangNgan(F40+F41+F43)</f>
        <v>277000</v>
      </c>
      <c r="G44" s="25">
        <f t="shared" si="10"/>
        <v>372000</v>
      </c>
      <c r="H44" s="25">
        <f t="shared" si="10"/>
        <v>467000</v>
      </c>
      <c r="I44" s="25">
        <f t="shared" si="10"/>
        <v>562000</v>
      </c>
    </row>
    <row r="45" spans="1:9" x14ac:dyDescent="0.25">
      <c r="C45" t="s">
        <v>330</v>
      </c>
      <c r="E45" s="25">
        <f>LamChanHangNgan(E40+E41+E42+E43)</f>
        <v>260000</v>
      </c>
      <c r="F45" s="25">
        <f t="shared" ref="F45:I45" si="11">LamChanHangNgan(F40+F41+F42+F43)</f>
        <v>370000</v>
      </c>
      <c r="G45" s="25">
        <f t="shared" si="11"/>
        <v>479000</v>
      </c>
      <c r="H45" s="25">
        <f t="shared" si="11"/>
        <v>587000</v>
      </c>
      <c r="I45" s="25">
        <f t="shared" si="11"/>
        <v>697000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15</v>
      </c>
      <c r="F46">
        <f t="shared" ref="F46:I46" si="12">($A46*F$24/2)/$D$16</f>
        <v>30</v>
      </c>
      <c r="G46">
        <f t="shared" si="12"/>
        <v>45</v>
      </c>
      <c r="H46">
        <f t="shared" si="12"/>
        <v>60</v>
      </c>
      <c r="I46">
        <f t="shared" si="12"/>
        <v>75</v>
      </c>
    </row>
    <row r="47" spans="1:9" x14ac:dyDescent="0.25">
      <c r="C47" t="s">
        <v>306</v>
      </c>
      <c r="E47">
        <f>PhiInKM4M_BHR70(E46*$E$16*2)*(1+$D$17)</f>
        <v>161000</v>
      </c>
      <c r="F47">
        <f>PhiInKM4M_BHR70(F46*$E$16*2)*(1+$D$17)</f>
        <v>234500</v>
      </c>
      <c r="G47">
        <f>PhiInKM4M_BHR70(G46*$E$16*2)*(1+$D$17)</f>
        <v>308000</v>
      </c>
      <c r="H47">
        <f>PhiInKM4M_BHR70(H46*$E$16*2)*(1+$D$17)</f>
        <v>381500</v>
      </c>
      <c r="I47">
        <f>PhiInKM4M_BHR70(I46*$E$16*2)*(1+$D$17)</f>
        <v>455000</v>
      </c>
    </row>
    <row r="48" spans="1:9" x14ac:dyDescent="0.25">
      <c r="C48" t="s">
        <v>333</v>
      </c>
      <c r="E48">
        <f>E46*$D$19*(1+$D$17)</f>
        <v>33390</v>
      </c>
      <c r="F48">
        <f t="shared" ref="F48:I48" si="13">F46*$D$19*(1+$D$17)</f>
        <v>66780</v>
      </c>
      <c r="G48">
        <f t="shared" si="13"/>
        <v>100170</v>
      </c>
      <c r="H48">
        <f t="shared" si="13"/>
        <v>133560</v>
      </c>
      <c r="I48">
        <f t="shared" si="13"/>
        <v>166950</v>
      </c>
    </row>
    <row r="49" spans="1:9" x14ac:dyDescent="0.25">
      <c r="C49" t="s">
        <v>310</v>
      </c>
      <c r="E49">
        <f>(PhiMayCanMang(E46*2,$C$15/100,$D$15/100) + PhiMangCan(E46*2,$C$15/100,$D$15/100,$D$21))*(1+$D$17)</f>
        <v>79983.043174999999</v>
      </c>
      <c r="F49">
        <f>(PhiMayCanMang(F46*2,$C$15/100,$D$15/100) + PhiMangCan(F46*2,$C$15/100,$D$15/100,$D$21))*(1+$D$17)</f>
        <v>95799.419800000003</v>
      </c>
      <c r="G49">
        <f>(PhiMayCanMang(G46*2,$C$15/100,$D$15/100) + PhiMangCan(G46*2,$C$15/100,$D$15/100,$D$21))*(1+$D$17)</f>
        <v>111615.79449999999</v>
      </c>
      <c r="H49">
        <f>(PhiMayCanMang(H46*2,$C$15/100,$D$15/100) + PhiMangCan(H46*2,$C$15/100,$D$15/100,$D$21))*(1+$D$17)</f>
        <v>127432.17305000001</v>
      </c>
      <c r="I49">
        <f>(PhiMayCanMang(I46*2,$C$15/100,$D$15/100) + PhiMangCan(I46*2,$C$15/100,$D$15/100,$D$21))*(1+$D$17)</f>
        <v>143248.54792499999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194000</v>
      </c>
      <c r="F51" s="25">
        <f t="shared" ref="F51:I51" si="14">LamChanHangNgan(F47+F48+F50)</f>
        <v>301000</v>
      </c>
      <c r="G51" s="25">
        <f t="shared" si="14"/>
        <v>408000</v>
      </c>
      <c r="H51" s="25">
        <f t="shared" si="14"/>
        <v>515000</v>
      </c>
      <c r="I51" s="25">
        <f t="shared" si="14"/>
        <v>621000</v>
      </c>
    </row>
    <row r="52" spans="1:9" x14ac:dyDescent="0.25">
      <c r="C52" t="s">
        <v>330</v>
      </c>
      <c r="E52" s="25">
        <f>LamChanHangNgan(E47+E48+E49+E50)</f>
        <v>274000</v>
      </c>
      <c r="F52" s="25">
        <f t="shared" ref="F52:I52" si="15">LamChanHangNgan(F47+F48+F49+F50)</f>
        <v>397000</v>
      </c>
      <c r="G52" s="25">
        <f t="shared" si="15"/>
        <v>519000</v>
      </c>
      <c r="H52" s="25">
        <f t="shared" si="15"/>
        <v>642000</v>
      </c>
      <c r="I52" s="25">
        <f t="shared" si="15"/>
        <v>765000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16.666666666666668</v>
      </c>
      <c r="F53">
        <f t="shared" ref="F53:I53" si="16">($A53*F$24/2)/$D$16</f>
        <v>33.333333333333336</v>
      </c>
      <c r="G53">
        <f t="shared" si="16"/>
        <v>50</v>
      </c>
      <c r="H53">
        <f t="shared" si="16"/>
        <v>66.666666666666671</v>
      </c>
      <c r="I53">
        <f t="shared" si="16"/>
        <v>83.333333333333329</v>
      </c>
    </row>
    <row r="54" spans="1:9" x14ac:dyDescent="0.25">
      <c r="C54" t="s">
        <v>306</v>
      </c>
      <c r="E54">
        <f>PhiInKM4M_BHR70(E53*$E$16*2)*(1+$D$17)</f>
        <v>169575</v>
      </c>
      <c r="F54">
        <f>PhiInKM4M_BHR70(F53*$E$16*2)*(1+$D$17)</f>
        <v>250425</v>
      </c>
      <c r="G54">
        <f>PhiInKM4M_BHR70(G53*$E$16*2)*(1+$D$17)</f>
        <v>332500</v>
      </c>
      <c r="H54">
        <f>PhiInKM4M_BHR70(H53*$E$16*2)*(1+$D$17)</f>
        <v>414575</v>
      </c>
      <c r="I54">
        <f>PhiInKM4M_BHR70(I53*$E$16*2)*(1+$D$17)</f>
        <v>495425</v>
      </c>
    </row>
    <row r="55" spans="1:9" x14ac:dyDescent="0.25">
      <c r="C55" t="s">
        <v>333</v>
      </c>
      <c r="E55">
        <f>E53*$D$19*(1+$D$17)</f>
        <v>37100</v>
      </c>
      <c r="F55">
        <f t="shared" ref="F55:I55" si="17">F53*$D$19*(1+$D$17)</f>
        <v>74200</v>
      </c>
      <c r="G55">
        <f t="shared" si="17"/>
        <v>111300</v>
      </c>
      <c r="H55">
        <f t="shared" si="17"/>
        <v>148400</v>
      </c>
      <c r="I55">
        <f t="shared" si="17"/>
        <v>185500</v>
      </c>
    </row>
    <row r="56" spans="1:9" x14ac:dyDescent="0.25">
      <c r="C56" t="s">
        <v>310</v>
      </c>
      <c r="E56">
        <f>(PhiMayCanMang(E53*2,$C$15/100,$D$15/100) + PhiMangCan(E53*2,$C$15/100,$D$15/100,$D$21))*(1+$D$17)</f>
        <v>81836.445600000006</v>
      </c>
      <c r="F56">
        <f>(PhiMayCanMang(F53*2,$C$15/100,$D$15/100) + PhiMangCan(F53*2,$C$15/100,$D$15/100,$D$21))*(1+$D$17)</f>
        <v>99369.121775000007</v>
      </c>
      <c r="G56">
        <f>(PhiMayCanMang(G53*2,$C$15/100,$D$15/100) + PhiMangCan(G53*2,$C$15/100,$D$15/100,$D$21))*(1+$D$17)</f>
        <v>117038.901875</v>
      </c>
      <c r="H56">
        <f>(PhiMayCanMang(H53*2,$C$15/100,$D$15/100) + PhiMangCan(H53*2,$C$15/100,$D$15/100,$D$21))*(1+$D$17)</f>
        <v>134708.67777499999</v>
      </c>
      <c r="I56">
        <f>(PhiMayCanMang(I53*2,$C$15/100,$D$15/100) + PhiMangCan(I53*2,$C$15/100,$D$15/100,$D$21))*(1+$D$17)</f>
        <v>152241.35902499998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206000</v>
      </c>
      <c r="F58" s="25">
        <f t="shared" ref="F58:I58" si="18">LamChanHangNgan(F54+F55+F57)</f>
        <v>324000</v>
      </c>
      <c r="G58" s="25">
        <f t="shared" si="18"/>
        <v>443000</v>
      </c>
      <c r="H58" s="25">
        <f t="shared" si="18"/>
        <v>562000</v>
      </c>
      <c r="I58" s="25">
        <f t="shared" si="18"/>
        <v>680000</v>
      </c>
    </row>
    <row r="59" spans="1:9" ht="14.25" customHeight="1" x14ac:dyDescent="0.25">
      <c r="C59" t="s">
        <v>330</v>
      </c>
      <c r="E59" s="25">
        <f>LamChanHangNgan(E54+E55+E56+E57)</f>
        <v>288000</v>
      </c>
      <c r="F59" s="25">
        <f t="shared" ref="F59:I59" si="19">LamChanHangNgan(F54+F55+F56+F57)</f>
        <v>423000</v>
      </c>
      <c r="G59" s="25">
        <f t="shared" si="19"/>
        <v>560000</v>
      </c>
      <c r="H59" s="25">
        <f t="shared" si="19"/>
        <v>697000</v>
      </c>
      <c r="I59" s="25">
        <f t="shared" si="19"/>
        <v>833000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18.333333333333332</v>
      </c>
      <c r="F60">
        <f t="shared" ref="F60:I60" si="20">($A60*F$24/2)/$D$16</f>
        <v>36.666666666666664</v>
      </c>
      <c r="G60">
        <f t="shared" si="20"/>
        <v>55</v>
      </c>
      <c r="H60">
        <f t="shared" si="20"/>
        <v>73.333333333333329</v>
      </c>
      <c r="I60">
        <f t="shared" si="20"/>
        <v>91.666666666666671</v>
      </c>
    </row>
    <row r="61" spans="1:9" x14ac:dyDescent="0.25">
      <c r="C61" t="s">
        <v>306</v>
      </c>
      <c r="E61">
        <f>PhiInKM4M_BHR70(E60*$E$16*2)*(1+$D$17)</f>
        <v>176925</v>
      </c>
      <c r="F61">
        <f>PhiInKM4M_BHR70(F60*$E$16*2)*(1+$D$17)</f>
        <v>267575</v>
      </c>
      <c r="G61">
        <f>PhiInKM4M_BHR70(G60*$E$16*2)*(1+$D$17)</f>
        <v>357000</v>
      </c>
      <c r="H61">
        <f>PhiInKM4M_BHR70(H60*$E$16*2)*(1+$D$17)</f>
        <v>446425</v>
      </c>
      <c r="I61">
        <f>PhiInKM4M_BHR70(I60*$E$16*2)*(1+$D$17)</f>
        <v>537075</v>
      </c>
    </row>
    <row r="62" spans="1:9" x14ac:dyDescent="0.25">
      <c r="C62" t="s">
        <v>333</v>
      </c>
      <c r="E62">
        <f>E60*$D$19*(1+$D$17)</f>
        <v>40810</v>
      </c>
      <c r="F62">
        <f t="shared" ref="F62:I62" si="21">F60*$D$19*(1+$D$17)</f>
        <v>81620</v>
      </c>
      <c r="G62">
        <f t="shared" si="21"/>
        <v>122430</v>
      </c>
      <c r="H62">
        <f t="shared" si="21"/>
        <v>163240</v>
      </c>
      <c r="I62">
        <f t="shared" si="21"/>
        <v>204050</v>
      </c>
    </row>
    <row r="63" spans="1:9" x14ac:dyDescent="0.25">
      <c r="C63" t="s">
        <v>310</v>
      </c>
      <c r="E63">
        <f>(PhiMayCanMang(E60*2,$C$15/100,$D$15/100) + PhiMangCan(E60*2,$C$15/100,$D$15/100,$D$21))*(1+$D$17)</f>
        <v>83552.746025</v>
      </c>
      <c r="F63">
        <f>(PhiMayCanMang(F60*2,$C$15/100,$D$15/100) + PhiMangCan(F60*2,$C$15/100,$D$15/100,$D$21))*(1+$D$17)</f>
        <v>102622.985325</v>
      </c>
      <c r="G63">
        <f>(PhiMayCanMang(G60*2,$C$15/100,$D$15/100) + PhiMangCan(G60*2,$C$15/100,$D$15/100,$D$21))*(1+$D$17)</f>
        <v>122462.00505000001</v>
      </c>
      <c r="H63">
        <f>(PhiMayCanMang(H60*2,$C$15/100,$D$15/100) + PhiMangCan(H60*2,$C$15/100,$D$15/100,$D$21))*(1+$D$17)</f>
        <v>141848.08557499998</v>
      </c>
      <c r="I63">
        <f>(PhiMayCanMang(I60*2,$C$15/100,$D$15/100) + PhiMangCan(I60*2,$C$15/100,$D$15/100,$D$21))*(1+$D$17)</f>
        <v>160918.32574999999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217000</v>
      </c>
      <c r="F65" s="25">
        <f t="shared" ref="F65:I65" si="22">LamChanHangNgan(F61+F62+F64)</f>
        <v>349000</v>
      </c>
      <c r="G65" s="25">
        <f t="shared" si="22"/>
        <v>479000</v>
      </c>
      <c r="H65" s="25">
        <f t="shared" si="22"/>
        <v>609000</v>
      </c>
      <c r="I65" s="25">
        <f t="shared" si="22"/>
        <v>741000</v>
      </c>
    </row>
    <row r="66" spans="1:9" x14ac:dyDescent="0.25">
      <c r="C66" t="s">
        <v>330</v>
      </c>
      <c r="E66" s="25">
        <f>LamChanHangNgan(E61+E62+E63+E64)</f>
        <v>301000</v>
      </c>
      <c r="F66" s="25">
        <f t="shared" ref="F66:I66" si="23">LamChanHangNgan(F61+F62+F63+F64)</f>
        <v>451000</v>
      </c>
      <c r="G66" s="25">
        <f t="shared" si="23"/>
        <v>601000</v>
      </c>
      <c r="H66" s="25">
        <f t="shared" si="23"/>
        <v>751000</v>
      </c>
      <c r="I66" s="25">
        <f t="shared" si="23"/>
        <v>902000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20</v>
      </c>
      <c r="F67">
        <f t="shared" ref="F67:I67" si="24">($A67*F$24/2)/$D$16</f>
        <v>40</v>
      </c>
      <c r="G67">
        <f t="shared" si="24"/>
        <v>60</v>
      </c>
      <c r="H67">
        <f t="shared" si="24"/>
        <v>80</v>
      </c>
      <c r="I67">
        <f t="shared" si="24"/>
        <v>100</v>
      </c>
    </row>
    <row r="68" spans="1:9" x14ac:dyDescent="0.25">
      <c r="C68" t="s">
        <v>306</v>
      </c>
      <c r="E68">
        <f>PhiInKM4M_BHR70(E67*$E$16*2)*(1+$D$17)</f>
        <v>185500</v>
      </c>
      <c r="F68">
        <f>PhiInKM4M_BHR70(F67*$E$16*2)*(1+$D$17)</f>
        <v>283500</v>
      </c>
      <c r="G68">
        <f>PhiInKM4M_BHR70(G67*$E$16*2)*(1+$D$17)</f>
        <v>381500</v>
      </c>
      <c r="H68">
        <f>PhiInKM4M_BHR70(H67*$E$16*2)*(1+$D$17)</f>
        <v>479500</v>
      </c>
      <c r="I68">
        <f>PhiInKM4M_BHR70(I67*$E$16*2)*(1+$D$17)</f>
        <v>577500</v>
      </c>
    </row>
    <row r="69" spans="1:9" x14ac:dyDescent="0.25">
      <c r="C69" t="s">
        <v>333</v>
      </c>
      <c r="E69">
        <f>E67*$D$19*(1+$D$17)</f>
        <v>44520</v>
      </c>
      <c r="F69">
        <f t="shared" ref="F69:I69" si="25">F67*$D$19*(1+$D$17)</f>
        <v>89040</v>
      </c>
      <c r="G69">
        <f t="shared" si="25"/>
        <v>133560</v>
      </c>
      <c r="H69">
        <f t="shared" si="25"/>
        <v>178080</v>
      </c>
      <c r="I69">
        <f t="shared" si="25"/>
        <v>222600</v>
      </c>
    </row>
    <row r="70" spans="1:9" x14ac:dyDescent="0.25">
      <c r="C70" t="s">
        <v>310</v>
      </c>
      <c r="E70">
        <f>(PhiMayCanMang(E67*2,$C$15/100,$D$15/100) + PhiMangCan(E67*2,$C$15/100,$D$15/100,$D$21))*(1+$D$17)</f>
        <v>85406.148625000002</v>
      </c>
      <c r="F70">
        <f>(PhiMayCanMang(F67*2,$C$15/100,$D$15/100) + PhiMangCan(F67*2,$C$15/100,$D$15/100,$D$21))*(1+$D$17)</f>
        <v>106645.63035000001</v>
      </c>
      <c r="G70">
        <f>(PhiMayCanMang(G67*2,$C$15/100,$D$15/100) + PhiMangCan(G67*2,$C$15/100,$D$15/100,$D$21))*(1+$D$17)</f>
        <v>127432.17305000001</v>
      </c>
      <c r="H70">
        <f>(PhiMayCanMang(H67*2,$C$15/100,$D$15/100) + PhiMangCan(H67*2,$C$15/100,$D$15/100,$D$21))*(1+$D$17)</f>
        <v>148671.65302500001</v>
      </c>
      <c r="I70">
        <f>(PhiMayCanMang(I67*2,$C$15/100,$D$15/100) + PhiMangCan(I67*2,$C$15/100,$D$15/100,$D$21))*(1+$D$17)</f>
        <v>169911.137025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230000</v>
      </c>
      <c r="F72" s="25">
        <f t="shared" ref="F72:I72" si="26">LamChanHangNgan(F68+F69+F71)</f>
        <v>372000</v>
      </c>
      <c r="G72" s="25">
        <f t="shared" si="26"/>
        <v>515000</v>
      </c>
      <c r="H72" s="25">
        <f t="shared" si="26"/>
        <v>657000</v>
      </c>
      <c r="I72" s="25">
        <f t="shared" si="26"/>
        <v>800000</v>
      </c>
    </row>
    <row r="73" spans="1:9" x14ac:dyDescent="0.25">
      <c r="C73" t="s">
        <v>330</v>
      </c>
      <c r="E73" s="25">
        <f>LamChanHangNgan(E68+E69+E70+E71)</f>
        <v>315000</v>
      </c>
      <c r="F73" s="25">
        <f t="shared" ref="F73:I73" si="27">LamChanHangNgan(F68+F69+F70+F71)</f>
        <v>479000</v>
      </c>
      <c r="G73" s="25">
        <f t="shared" si="27"/>
        <v>642000</v>
      </c>
      <c r="H73" s="25">
        <f t="shared" si="27"/>
        <v>806000</v>
      </c>
      <c r="I73" s="25">
        <f t="shared" si="27"/>
        <v>970000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C15ADB8B-D963-4456-A3FC-1BE871552D7E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7DA20C9-E8F0-49C0-BC31-3DE518684D2E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AAE3BBCE-F9FB-4ED5-922A-4C095241C14E}">
      <formula1>OFFSET(GIA_MANG,1,0,,1)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82D8-D6F7-4934-B112-8E2CE00527CB}">
  <sheetPr codeName="Trang_tính15"/>
  <dimension ref="A1:M29"/>
  <sheetViews>
    <sheetView workbookViewId="0">
      <selection activeCell="G19" sqref="G19"/>
    </sheetView>
  </sheetViews>
  <sheetFormatPr defaultRowHeight="15" x14ac:dyDescent="0.25"/>
  <cols>
    <col min="2" max="2" width="18.42578125" customWidth="1"/>
    <col min="4" max="4" width="17.28515625" customWidth="1"/>
    <col min="5" max="5" width="12.140625" bestFit="1" customWidth="1"/>
    <col min="6" max="7" width="13.28515625" bestFit="1" customWidth="1"/>
    <col min="8" max="8" width="16.28515625" customWidth="1"/>
    <col min="9" max="9" width="13.28515625" bestFit="1" customWidth="1"/>
  </cols>
  <sheetData>
    <row r="1" spans="1:13" x14ac:dyDescent="0.25">
      <c r="A1" t="s">
        <v>363</v>
      </c>
    </row>
    <row r="2" spans="1:13" x14ac:dyDescent="0.25">
      <c r="A2" t="s">
        <v>364</v>
      </c>
      <c r="D2" t="s">
        <v>365</v>
      </c>
    </row>
    <row r="3" spans="1:13" x14ac:dyDescent="0.25">
      <c r="A3" t="s">
        <v>366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45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371</v>
      </c>
      <c r="E18" t="s">
        <v>217</v>
      </c>
    </row>
    <row r="19" spans="1:9" x14ac:dyDescent="0.25">
      <c r="A19" t="s">
        <v>368</v>
      </c>
      <c r="B19" t="s">
        <v>369</v>
      </c>
      <c r="C19" t="s">
        <v>370</v>
      </c>
      <c r="D19">
        <v>6000</v>
      </c>
      <c r="E19" s="7">
        <f>D19*(1+D17)</f>
        <v>10500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D25" t="s">
        <v>367</v>
      </c>
      <c r="E25" s="7">
        <f>PhiLDPT_XepDotVoCuonLX(E$24)</f>
        <v>20222.2228</v>
      </c>
      <c r="F25" s="7">
        <f t="shared" ref="F25:I25" si="0">PhiLDPT_XepDotVoCuonLX(F$24)</f>
        <v>23111.111700000001</v>
      </c>
      <c r="G25" s="7">
        <f t="shared" si="0"/>
        <v>26000.000700000001</v>
      </c>
      <c r="H25" s="7">
        <f t="shared" si="0"/>
        <v>28888.8897</v>
      </c>
      <c r="I25" s="7">
        <f t="shared" si="0"/>
        <v>31777.778699999999</v>
      </c>
    </row>
    <row r="26" spans="1:9" x14ac:dyDescent="0.25">
      <c r="D26" t="s">
        <v>372</v>
      </c>
      <c r="E26" s="7">
        <f>$D$19*0.3*E$24</f>
        <v>18000</v>
      </c>
      <c r="F26" s="7">
        <f t="shared" ref="F26:I26" si="1">$D$19*0.3*F$24</f>
        <v>36000</v>
      </c>
      <c r="G26" s="7">
        <f t="shared" si="1"/>
        <v>54000</v>
      </c>
      <c r="H26" s="7">
        <f t="shared" si="1"/>
        <v>72000</v>
      </c>
      <c r="I26" s="7">
        <f t="shared" si="1"/>
        <v>90000</v>
      </c>
    </row>
    <row r="27" spans="1:9" x14ac:dyDescent="0.25">
      <c r="D27" t="s">
        <v>317</v>
      </c>
      <c r="E27" s="7">
        <f>(E$25+E$26)*(1+$D$17)</f>
        <v>66888.889900000009</v>
      </c>
      <c r="F27" s="7">
        <f t="shared" ref="F27:I27" si="2">(F$25+F$26)*(1+$D$17)</f>
        <v>103444.445475</v>
      </c>
      <c r="G27" s="7">
        <f t="shared" si="2"/>
        <v>140000.00122500001</v>
      </c>
      <c r="H27" s="7">
        <f t="shared" si="2"/>
        <v>176555.55697500001</v>
      </c>
      <c r="I27" s="7">
        <f t="shared" si="2"/>
        <v>213111.11272499998</v>
      </c>
    </row>
    <row r="28" spans="1:9" x14ac:dyDescent="0.25">
      <c r="D28" t="s">
        <v>356</v>
      </c>
      <c r="E28" s="7">
        <f>E$27/E$24</f>
        <v>6688.8889900000013</v>
      </c>
      <c r="F28" s="7">
        <f t="shared" ref="F28:I28" si="3">F$27/F$24</f>
        <v>5172.2222737499997</v>
      </c>
      <c r="G28" s="7">
        <f t="shared" si="3"/>
        <v>4666.6667075000005</v>
      </c>
      <c r="H28" s="7">
        <f t="shared" si="3"/>
        <v>4413.888924375</v>
      </c>
      <c r="I28" s="7">
        <f t="shared" si="3"/>
        <v>4262.2222544999995</v>
      </c>
    </row>
    <row r="29" spans="1:9" x14ac:dyDescent="0.25">
      <c r="D29" t="s">
        <v>373</v>
      </c>
      <c r="E29">
        <v>7000</v>
      </c>
      <c r="F29">
        <v>5000</v>
      </c>
      <c r="G29">
        <v>5000</v>
      </c>
      <c r="H29">
        <v>4500</v>
      </c>
      <c r="I29">
        <v>4500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FC5355D7-D5EC-4D75-B2B2-2A42BD8870A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30DBB26F-380C-43D5-A9B0-A2B923A091CB}">
      <formula1>OFFSET(KHO_CAT_SAN_PHAM,1,0,,1)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D87-A2DA-4881-AD2C-713C99050DC6}">
  <sheetPr codeName="Trang_tính17"/>
  <dimension ref="A1:I73"/>
  <sheetViews>
    <sheetView topLeftCell="A19" workbookViewId="0">
      <selection activeCell="K26" sqref="K2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19</v>
      </c>
      <c r="D13">
        <v>0.3</v>
      </c>
      <c r="E13">
        <v>0</v>
      </c>
      <c r="F13">
        <f>$B13+$E13+$D13*2</f>
        <v>15.6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4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15</v>
      </c>
      <c r="F25">
        <f t="shared" ref="F25:I25" si="0">($A25*F$24/2)/$D$16</f>
        <v>30</v>
      </c>
      <c r="G25">
        <f t="shared" si="0"/>
        <v>45</v>
      </c>
      <c r="H25">
        <f t="shared" si="0"/>
        <v>60</v>
      </c>
      <c r="I25">
        <f t="shared" si="0"/>
        <v>75</v>
      </c>
    </row>
    <row r="26" spans="1:9" x14ac:dyDescent="0.25">
      <c r="C26" t="s">
        <v>306</v>
      </c>
      <c r="E26" s="7">
        <f>PhiInKM4M_BHR70(E$25*$E$16*2)*(1+$D$17)</f>
        <v>161000</v>
      </c>
      <c r="F26" s="7">
        <f>PhiInKM4M_BHR70(F$25*$E$16*2)*(1+$D$17)</f>
        <v>234500</v>
      </c>
      <c r="G26" s="7">
        <f>PhiInKM4M_BHR70(G$25*$E$16*2)*(1+$D$17)</f>
        <v>308000</v>
      </c>
      <c r="H26" s="7">
        <f>PhiInKM4M_BHR70(H$25*$E$16*2)*(1+$D$17)</f>
        <v>381500</v>
      </c>
      <c r="I26" s="7">
        <f>PhiInKM4M_BHR70(I$25*$E$16*2)*(1+$D$17)</f>
        <v>455000</v>
      </c>
    </row>
    <row r="27" spans="1:9" x14ac:dyDescent="0.25">
      <c r="C27" t="s">
        <v>333</v>
      </c>
      <c r="E27" s="7">
        <f>E$25*$D$19*(1+$D$17)</f>
        <v>33390</v>
      </c>
      <c r="F27" s="7">
        <f>F$25*$D$19*(1+$D$17)</f>
        <v>66780</v>
      </c>
      <c r="G27" s="7">
        <f t="shared" ref="G27:I27" si="1">G$25*$D$19*(1+$D$17)</f>
        <v>100170</v>
      </c>
      <c r="H27" s="7">
        <f t="shared" si="1"/>
        <v>133560</v>
      </c>
      <c r="I27" s="7">
        <f t="shared" si="1"/>
        <v>166950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79983.043174999999</v>
      </c>
      <c r="F28" s="7">
        <f>(PhiMayCanMang(F$25*2,$C$15/100,$D$15/100) + PhiMangCan(F$25*2,$C$15/100,$D$15/100,$D$21))*(1+$D$17)</f>
        <v>95799.419800000003</v>
      </c>
      <c r="G28" s="7">
        <f>(PhiMayCanMang(G$25*2,$C$15/100,$D$15/100) + PhiMangCan(G$25*2,$C$15/100,$D$15/100,$D$21))*(1+$D$17)</f>
        <v>111615.79449999999</v>
      </c>
      <c r="H28" s="7">
        <f>(PhiMayCanMang(H$25*2,$C$15/100,$D$15/100) + PhiMangCan(H$25*2,$C$15/100,$D$15/100,$D$21))*(1+$D$17)</f>
        <v>127432.17305000001</v>
      </c>
      <c r="I28" s="7">
        <f>(PhiMayCanMang(I$25*2,$C$15/100,$D$15/100) + PhiMangCan(I$25*2,$C$15/100,$D$15/100,$D$21))*(1+$D$17)</f>
        <v>143248.54792499999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194000</v>
      </c>
      <c r="F30" s="25">
        <f t="shared" ref="F30:I30" si="2">LamChanHangNgan(F$26+F$27+F$29)</f>
        <v>301000</v>
      </c>
      <c r="G30" s="25">
        <f t="shared" si="2"/>
        <v>408000</v>
      </c>
      <c r="H30" s="25">
        <f t="shared" si="2"/>
        <v>515000</v>
      </c>
      <c r="I30" s="25">
        <f t="shared" si="2"/>
        <v>621000</v>
      </c>
    </row>
    <row r="31" spans="1:9" x14ac:dyDescent="0.25">
      <c r="C31" t="s">
        <v>330</v>
      </c>
      <c r="E31" s="25">
        <f>LamChanHangNgan(E$26+E$27+E$28+E$29)</f>
        <v>274000</v>
      </c>
      <c r="F31" s="25">
        <f t="shared" ref="F31:I31" si="3">LamChanHangNgan(F$26+F$27+F$28+F$29)</f>
        <v>397000</v>
      </c>
      <c r="G31" s="25">
        <f t="shared" si="3"/>
        <v>519000</v>
      </c>
      <c r="H31" s="25">
        <f t="shared" si="3"/>
        <v>642000</v>
      </c>
      <c r="I31" s="25">
        <f t="shared" si="3"/>
        <v>765000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17.5</v>
      </c>
      <c r="F32">
        <f t="shared" ref="F32:I32" si="4">($A32*F$24/2)/$D$16</f>
        <v>35</v>
      </c>
      <c r="G32">
        <f t="shared" si="4"/>
        <v>52.5</v>
      </c>
      <c r="H32">
        <f t="shared" si="4"/>
        <v>70</v>
      </c>
      <c r="I32">
        <f t="shared" si="4"/>
        <v>87.5</v>
      </c>
    </row>
    <row r="33" spans="1:9" x14ac:dyDescent="0.25">
      <c r="C33" t="s">
        <v>306</v>
      </c>
      <c r="E33" s="26">
        <f>PhiInKM4M_BHR70(E32*$E$16*2)*(1+$D$17)</f>
        <v>173250</v>
      </c>
      <c r="F33" s="26">
        <f>PhiInKM4M_BHR70(F32*$E$16*2)*(1+$D$17)</f>
        <v>259000</v>
      </c>
      <c r="G33" s="26">
        <f>PhiInKM4M_BHR70(G32*$E$16*2)*(1+$D$17)</f>
        <v>344750</v>
      </c>
      <c r="H33" s="26">
        <f>PhiInKM4M_BHR70(H32*$E$16*2)*(1+$D$17)</f>
        <v>430500</v>
      </c>
      <c r="I33" s="26">
        <f>PhiInKM4M_BHR70(I32*$E$16*2)*(1+$D$17)</f>
        <v>516250</v>
      </c>
    </row>
    <row r="34" spans="1:9" x14ac:dyDescent="0.25">
      <c r="C34" t="s">
        <v>333</v>
      </c>
      <c r="E34" s="26">
        <f>E32*$D$19*(1+$D$17)</f>
        <v>38955</v>
      </c>
      <c r="F34" s="26">
        <f t="shared" ref="F34:I34" si="5">F32*$D$19*(1+$D$17)</f>
        <v>77910</v>
      </c>
      <c r="G34" s="26">
        <f t="shared" si="5"/>
        <v>116865</v>
      </c>
      <c r="H34" s="26">
        <f t="shared" si="5"/>
        <v>155820</v>
      </c>
      <c r="I34" s="26">
        <f t="shared" si="5"/>
        <v>194775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82468.125249999997</v>
      </c>
      <c r="F35" s="26">
        <f>(PhiMayCanMang(F32*2,$C$15/100,$D$15/100) + PhiMangCan(F32*2,$C$15/100,$D$15/100,$D$21))*(1+$D$17)</f>
        <v>101222.52525000001</v>
      </c>
      <c r="G35" s="26">
        <f>(PhiMayCanMang(G32*2,$C$15/100,$D$15/100) + PhiMangCan(G32*2,$C$15/100,$D$15/100,$D$21))*(1+$D$17)</f>
        <v>119523.98377500002</v>
      </c>
      <c r="H35" s="26">
        <f>(PhiMayCanMang(H32*2,$C$15/100,$D$15/100) + PhiMangCan(H32*2,$C$15/100,$D$15/100,$D$21))*(1+$D$17)</f>
        <v>138278.3836</v>
      </c>
      <c r="I35" s="26">
        <f>(PhiMayCanMang(I32*2,$C$15/100,$D$15/100) + PhiMangCan(I32*2,$C$15/100,$D$15/100,$D$21))*(1+$D$17)</f>
        <v>156579.84230000002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212000</v>
      </c>
      <c r="F37" s="42">
        <f t="shared" ref="F37:I37" si="6">LamChanHangNgan(F33+F34+F36)</f>
        <v>336000</v>
      </c>
      <c r="G37" s="42">
        <f t="shared" si="6"/>
        <v>461000</v>
      </c>
      <c r="H37" s="42">
        <f t="shared" si="6"/>
        <v>586000</v>
      </c>
      <c r="I37" s="42">
        <f t="shared" si="6"/>
        <v>711000</v>
      </c>
    </row>
    <row r="38" spans="1:9" x14ac:dyDescent="0.25">
      <c r="C38" t="s">
        <v>330</v>
      </c>
      <c r="E38" s="42">
        <f>LamChanHangNgan(E33+E34+E35+E36)</f>
        <v>294000</v>
      </c>
      <c r="F38" s="42">
        <f t="shared" ref="F38:I38" si="7">LamChanHangNgan(F33+F34+F35+F36)</f>
        <v>438000</v>
      </c>
      <c r="G38" s="42">
        <f t="shared" si="7"/>
        <v>581000</v>
      </c>
      <c r="H38" s="42">
        <f t="shared" si="7"/>
        <v>724000</v>
      </c>
      <c r="I38" s="42">
        <f t="shared" si="7"/>
        <v>867000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20</v>
      </c>
      <c r="F39">
        <f t="shared" ref="F39:I39" si="8">($A39*F$24/2)/$D$16</f>
        <v>40</v>
      </c>
      <c r="G39">
        <f t="shared" si="8"/>
        <v>60</v>
      </c>
      <c r="H39">
        <f t="shared" si="8"/>
        <v>80</v>
      </c>
      <c r="I39">
        <f t="shared" si="8"/>
        <v>100</v>
      </c>
    </row>
    <row r="40" spans="1:9" x14ac:dyDescent="0.25">
      <c r="C40" t="s">
        <v>306</v>
      </c>
      <c r="E40">
        <f>PhiInKM4M_BHR70(E39*$E$16*2)*(1+$D$17)</f>
        <v>185500</v>
      </c>
      <c r="F40">
        <f>PhiInKM4M_BHR70(F39*$E$16*2)*(1+$D$17)</f>
        <v>283500</v>
      </c>
      <c r="G40">
        <f>PhiInKM4M_BHR70(G39*$E$16*2)*(1+$D$17)</f>
        <v>381500</v>
      </c>
      <c r="H40">
        <f>PhiInKM4M_BHR70(H39*$E$16*2)*(1+$D$17)</f>
        <v>479500</v>
      </c>
      <c r="I40">
        <f>PhiInKM4M_BHR70(I39*$E$16*2)*(1+$D$17)</f>
        <v>577500</v>
      </c>
    </row>
    <row r="41" spans="1:9" x14ac:dyDescent="0.25">
      <c r="C41" t="s">
        <v>333</v>
      </c>
      <c r="E41">
        <f>E39*$D$19*(1+$D$17)</f>
        <v>44520</v>
      </c>
      <c r="F41">
        <f t="shared" ref="F41:I41" si="9">F39*$D$19*(1+$D$17)</f>
        <v>89040</v>
      </c>
      <c r="G41">
        <f t="shared" si="9"/>
        <v>133560</v>
      </c>
      <c r="H41">
        <f t="shared" si="9"/>
        <v>178080</v>
      </c>
      <c r="I41">
        <f t="shared" si="9"/>
        <v>222600</v>
      </c>
    </row>
    <row r="42" spans="1:9" x14ac:dyDescent="0.25">
      <c r="C42" t="s">
        <v>310</v>
      </c>
      <c r="E42">
        <f>(PhiMayCanMang(E39*2,$C$15/100,$D$15/100) + PhiMangCan(E39*2,$C$15/100,$D$15/100,$D$21))*(1+$D$17)</f>
        <v>85406.148625000002</v>
      </c>
      <c r="F42">
        <f>(PhiMayCanMang(F39*2,$C$15/100,$D$15/100) + PhiMangCan(F39*2,$C$15/100,$D$15/100,$D$21))*(1+$D$17)</f>
        <v>106645.63035000001</v>
      </c>
      <c r="G42">
        <f>(PhiMayCanMang(G39*2,$C$15/100,$D$15/100) + PhiMangCan(G39*2,$C$15/100,$D$15/100,$D$21))*(1+$D$17)</f>
        <v>127432.17305000001</v>
      </c>
      <c r="H42">
        <f>(PhiMayCanMang(H39*2,$C$15/100,$D$15/100) + PhiMangCan(H39*2,$C$15/100,$D$15/100,$D$21))*(1+$D$17)</f>
        <v>148671.65302500001</v>
      </c>
      <c r="I42">
        <f>(PhiMayCanMang(I39*2,$C$15/100,$D$15/100) + PhiMangCan(I39*2,$C$15/100,$D$15/100,$D$21))*(1+$D$17)</f>
        <v>169911.137025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230000</v>
      </c>
      <c r="F44" s="25">
        <f t="shared" ref="F44:I44" si="10">LamChanHangNgan(F40+F41+F43)</f>
        <v>372000</v>
      </c>
      <c r="G44" s="25">
        <f t="shared" si="10"/>
        <v>515000</v>
      </c>
      <c r="H44" s="25">
        <f t="shared" si="10"/>
        <v>657000</v>
      </c>
      <c r="I44" s="25">
        <f t="shared" si="10"/>
        <v>800000</v>
      </c>
    </row>
    <row r="45" spans="1:9" x14ac:dyDescent="0.25">
      <c r="C45" t="s">
        <v>330</v>
      </c>
      <c r="E45" s="25">
        <f>LamChanHangNgan(E40+E41+E42+E43)</f>
        <v>315000</v>
      </c>
      <c r="F45" s="25">
        <f t="shared" ref="F45:I45" si="11">LamChanHangNgan(F40+F41+F42+F43)</f>
        <v>479000</v>
      </c>
      <c r="G45" s="25">
        <f t="shared" si="11"/>
        <v>642000</v>
      </c>
      <c r="H45" s="25">
        <f t="shared" si="11"/>
        <v>806000</v>
      </c>
      <c r="I45" s="25">
        <f t="shared" si="11"/>
        <v>970000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22.5</v>
      </c>
      <c r="F46">
        <f t="shared" ref="F46:I46" si="12">($A46*F$24/2)/$D$16</f>
        <v>45</v>
      </c>
      <c r="G46">
        <f t="shared" si="12"/>
        <v>67.5</v>
      </c>
      <c r="H46">
        <f t="shared" si="12"/>
        <v>90</v>
      </c>
      <c r="I46">
        <f t="shared" si="12"/>
        <v>112.5</v>
      </c>
    </row>
    <row r="47" spans="1:9" x14ac:dyDescent="0.25">
      <c r="C47" t="s">
        <v>306</v>
      </c>
      <c r="E47">
        <f>PhiInKM4M_BHR70(E46*$E$16*2)*(1+$D$17)</f>
        <v>197750</v>
      </c>
      <c r="F47">
        <f>PhiInKM4M_BHR70(F46*$E$16*2)*(1+$D$17)</f>
        <v>308000</v>
      </c>
      <c r="G47">
        <f>PhiInKM4M_BHR70(G46*$E$16*2)*(1+$D$17)</f>
        <v>418250</v>
      </c>
      <c r="H47">
        <f>PhiInKM4M_BHR70(H46*$E$16*2)*(1+$D$17)</f>
        <v>528500</v>
      </c>
      <c r="I47">
        <f>PhiInKM4M_BHR70(I46*$E$16*2)*(1+$D$17)</f>
        <v>638750</v>
      </c>
    </row>
    <row r="48" spans="1:9" x14ac:dyDescent="0.25">
      <c r="C48" t="s">
        <v>333</v>
      </c>
      <c r="E48">
        <f>E46*$D$19*(1+$D$17)</f>
        <v>50085</v>
      </c>
      <c r="F48">
        <f t="shared" ref="F48:I48" si="13">F46*$D$19*(1+$D$17)</f>
        <v>100170</v>
      </c>
      <c r="G48">
        <f t="shared" si="13"/>
        <v>150255</v>
      </c>
      <c r="H48">
        <f t="shared" si="13"/>
        <v>200340</v>
      </c>
      <c r="I48">
        <f t="shared" si="13"/>
        <v>250425</v>
      </c>
    </row>
    <row r="49" spans="1:9" x14ac:dyDescent="0.25">
      <c r="C49" t="s">
        <v>310</v>
      </c>
      <c r="E49">
        <f>(PhiMayCanMang(E46*2,$C$15/100,$D$15/100) + PhiMangCan(E46*2,$C$15/100,$D$15/100,$D$21))*(1+$D$17)</f>
        <v>87891.230525000006</v>
      </c>
      <c r="F49">
        <f>(PhiMayCanMang(F46*2,$C$15/100,$D$15/100) + PhiMangCan(F46*2,$C$15/100,$D$15/100,$D$21))*(1+$D$17)</f>
        <v>111615.79449999999</v>
      </c>
      <c r="G49">
        <f>(PhiMayCanMang(G46*2,$C$15/100,$D$15/100) + PhiMangCan(G46*2,$C$15/100,$D$15/100,$D$21))*(1+$D$17)</f>
        <v>135340.35847499999</v>
      </c>
      <c r="H49">
        <f>(PhiMayCanMang(H46*2,$C$15/100,$D$15/100) + PhiMangCan(H46*2,$C$15/100,$D$15/100,$D$21))*(1+$D$17)</f>
        <v>159517.863575</v>
      </c>
      <c r="I49">
        <f>(PhiMayCanMang(I46*2,$C$15/100,$D$15/100) + PhiMangCan(I46*2,$C$15/100,$D$15/100,$D$21))*(1+$D$17)</f>
        <v>183242.431575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247000</v>
      </c>
      <c r="F51" s="25">
        <f t="shared" ref="F51:I51" si="14">LamChanHangNgan(F47+F48+F50)</f>
        <v>408000</v>
      </c>
      <c r="G51" s="25">
        <f t="shared" si="14"/>
        <v>568000</v>
      </c>
      <c r="H51" s="25">
        <f t="shared" si="14"/>
        <v>728000</v>
      </c>
      <c r="I51" s="25">
        <f t="shared" si="14"/>
        <v>889000</v>
      </c>
    </row>
    <row r="52" spans="1:9" x14ac:dyDescent="0.25">
      <c r="C52" t="s">
        <v>330</v>
      </c>
      <c r="E52" s="25">
        <f>LamChanHangNgan(E47+E48+E49+E50)</f>
        <v>335000</v>
      </c>
      <c r="F52" s="25">
        <f t="shared" ref="F52:I52" si="15">LamChanHangNgan(F47+F48+F49+F50)</f>
        <v>519000</v>
      </c>
      <c r="G52" s="25">
        <f t="shared" si="15"/>
        <v>703000</v>
      </c>
      <c r="H52" s="25">
        <f t="shared" si="15"/>
        <v>888000</v>
      </c>
      <c r="I52" s="25">
        <f t="shared" si="15"/>
        <v>1072000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25</v>
      </c>
      <c r="F53">
        <f t="shared" ref="F53:I53" si="16">($A53*F$24/2)/$D$16</f>
        <v>50</v>
      </c>
      <c r="G53">
        <f t="shared" si="16"/>
        <v>75</v>
      </c>
      <c r="H53">
        <f t="shared" si="16"/>
        <v>100</v>
      </c>
      <c r="I53">
        <f t="shared" si="16"/>
        <v>125</v>
      </c>
    </row>
    <row r="54" spans="1:9" x14ac:dyDescent="0.25">
      <c r="C54" t="s">
        <v>306</v>
      </c>
      <c r="E54">
        <f>PhiInKM4M_BHR70(E53*$E$16*2)*(1+$D$17)</f>
        <v>210000</v>
      </c>
      <c r="F54">
        <f>PhiInKM4M_BHR70(F53*$E$16*2)*(1+$D$17)</f>
        <v>332500</v>
      </c>
      <c r="G54">
        <f>PhiInKM4M_BHR70(G53*$E$16*2)*(1+$D$17)</f>
        <v>455000</v>
      </c>
      <c r="H54">
        <f>PhiInKM4M_BHR70(H53*$E$16*2)*(1+$D$17)</f>
        <v>577500</v>
      </c>
      <c r="I54">
        <f>PhiInKM4M_BHR70(I53*$E$16*2)*(1+$D$17)</f>
        <v>700000</v>
      </c>
    </row>
    <row r="55" spans="1:9" x14ac:dyDescent="0.25">
      <c r="C55" t="s">
        <v>333</v>
      </c>
      <c r="E55">
        <f>E53*$D$19*(1+$D$17)</f>
        <v>55650</v>
      </c>
      <c r="F55">
        <f t="shared" ref="F55:I55" si="17">F53*$D$19*(1+$D$17)</f>
        <v>111300</v>
      </c>
      <c r="G55">
        <f t="shared" si="17"/>
        <v>166950</v>
      </c>
      <c r="H55">
        <f t="shared" si="17"/>
        <v>222600</v>
      </c>
      <c r="I55">
        <f t="shared" si="17"/>
        <v>278250</v>
      </c>
    </row>
    <row r="56" spans="1:9" x14ac:dyDescent="0.25">
      <c r="C56" t="s">
        <v>310</v>
      </c>
      <c r="E56">
        <f>(PhiMayCanMang(E53*2,$C$15/100,$D$15/100) + PhiMangCan(E53*2,$C$15/100,$D$15/100,$D$21))*(1+$D$17)</f>
        <v>90376.313649999996</v>
      </c>
      <c r="F56">
        <f>(PhiMayCanMang(F53*2,$C$15/100,$D$15/100) + PhiMangCan(F53*2,$C$15/100,$D$15/100,$D$21))*(1+$D$17)</f>
        <v>117038.901875</v>
      </c>
      <c r="G56">
        <f>(PhiMayCanMang(G53*2,$C$15/100,$D$15/100) + PhiMangCan(G53*2,$C$15/100,$D$15/100,$D$21))*(1+$D$17)</f>
        <v>143248.54792499999</v>
      </c>
      <c r="H56">
        <f>(PhiMayCanMang(H53*2,$C$15/100,$D$15/100) + PhiMangCan(H53*2,$C$15/100,$D$15/100,$D$21))*(1+$D$17)</f>
        <v>169911.137025</v>
      </c>
      <c r="I56">
        <f>(PhiMayCanMang(I53*2,$C$15/100,$D$15/100) + PhiMangCan(I53*2,$C$15/100,$D$15/100,$D$21))*(1+$D$17)</f>
        <v>196120.780975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265000</v>
      </c>
      <c r="F58" s="25">
        <f t="shared" ref="F58:I58" si="18">LamChanHangNgan(F54+F55+F57)</f>
        <v>443000</v>
      </c>
      <c r="G58" s="25">
        <f t="shared" si="18"/>
        <v>621000</v>
      </c>
      <c r="H58" s="25">
        <f t="shared" si="18"/>
        <v>800000</v>
      </c>
      <c r="I58" s="25">
        <f t="shared" si="18"/>
        <v>978000</v>
      </c>
    </row>
    <row r="59" spans="1:9" ht="14.25" customHeight="1" x14ac:dyDescent="0.25">
      <c r="C59" t="s">
        <v>330</v>
      </c>
      <c r="E59" s="25">
        <f>LamChanHangNgan(E54+E55+E56+E57)</f>
        <v>356000</v>
      </c>
      <c r="F59" s="25">
        <f t="shared" ref="F59:I59" si="19">LamChanHangNgan(F54+F55+F56+F57)</f>
        <v>560000</v>
      </c>
      <c r="G59" s="25">
        <f t="shared" si="19"/>
        <v>765000</v>
      </c>
      <c r="H59" s="25">
        <f t="shared" si="19"/>
        <v>970000</v>
      </c>
      <c r="I59" s="25">
        <f t="shared" si="19"/>
        <v>1174000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27.5</v>
      </c>
      <c r="F60">
        <f t="shared" ref="F60:I60" si="20">($A60*F$24/2)/$D$16</f>
        <v>55</v>
      </c>
      <c r="G60">
        <f t="shared" si="20"/>
        <v>82.5</v>
      </c>
      <c r="H60">
        <f t="shared" si="20"/>
        <v>110</v>
      </c>
      <c r="I60">
        <f t="shared" si="20"/>
        <v>137.5</v>
      </c>
    </row>
    <row r="61" spans="1:9" x14ac:dyDescent="0.25">
      <c r="C61" t="s">
        <v>306</v>
      </c>
      <c r="E61">
        <f>PhiInKM4M_BHR70(E60*$E$16*2)*(1+$D$17)</f>
        <v>222250</v>
      </c>
      <c r="F61">
        <f>PhiInKM4M_BHR70(F60*$E$16*2)*(1+$D$17)</f>
        <v>357000</v>
      </c>
      <c r="G61">
        <f>PhiInKM4M_BHR70(G60*$E$16*2)*(1+$D$17)</f>
        <v>491750</v>
      </c>
      <c r="H61">
        <f>PhiInKM4M_BHR70(H60*$E$16*2)*(1+$D$17)</f>
        <v>626500</v>
      </c>
      <c r="I61">
        <f>PhiInKM4M_BHR70(I60*$E$16*2)*(1+$D$17)</f>
        <v>761250</v>
      </c>
    </row>
    <row r="62" spans="1:9" x14ac:dyDescent="0.25">
      <c r="C62" t="s">
        <v>333</v>
      </c>
      <c r="E62">
        <f>E60*$D$19*(1+$D$17)</f>
        <v>61215</v>
      </c>
      <c r="F62">
        <f t="shared" ref="F62:I62" si="21">F60*$D$19*(1+$D$17)</f>
        <v>122430</v>
      </c>
      <c r="G62">
        <f t="shared" si="21"/>
        <v>183645</v>
      </c>
      <c r="H62">
        <f t="shared" si="21"/>
        <v>244860</v>
      </c>
      <c r="I62">
        <f t="shared" si="21"/>
        <v>306075</v>
      </c>
    </row>
    <row r="63" spans="1:9" x14ac:dyDescent="0.25">
      <c r="C63" t="s">
        <v>310</v>
      </c>
      <c r="E63">
        <f>(PhiMayCanMang(E60*2,$C$15/100,$D$15/100) + PhiMangCan(E60*2,$C$15/100,$D$15/100,$D$21))*(1+$D$17)</f>
        <v>93314.335800000001</v>
      </c>
      <c r="F63">
        <f>(PhiMayCanMang(F60*2,$C$15/100,$D$15/100) + PhiMangCan(F60*2,$C$15/100,$D$15/100,$D$21))*(1+$D$17)</f>
        <v>122462.00505000001</v>
      </c>
      <c r="G63">
        <f>(PhiMayCanMang(G60*2,$C$15/100,$D$15/100) + PhiMangCan(G60*2,$C$15/100,$D$15/100,$D$21))*(1+$D$17)</f>
        <v>151609.67832499999</v>
      </c>
      <c r="H63">
        <f>(PhiMayCanMang(H60*2,$C$15/100,$D$15/100) + PhiMangCan(H60*2,$C$15/100,$D$15/100,$D$21))*(1+$D$17)</f>
        <v>180304.40224999998</v>
      </c>
      <c r="I63">
        <f>(PhiMayCanMang(I60*2,$C$15/100,$D$15/100) + PhiMangCan(I60*2,$C$15/100,$D$15/100,$D$21))*(1+$D$17)</f>
        <v>209452.07954999999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283000</v>
      </c>
      <c r="F65" s="25">
        <f t="shared" ref="F65:I65" si="22">LamChanHangNgan(F61+F62+F64)</f>
        <v>479000</v>
      </c>
      <c r="G65" s="25">
        <f t="shared" si="22"/>
        <v>675000</v>
      </c>
      <c r="H65" s="25">
        <f t="shared" si="22"/>
        <v>871000</v>
      </c>
      <c r="I65" s="25">
        <f t="shared" si="22"/>
        <v>1067000</v>
      </c>
    </row>
    <row r="66" spans="1:9" x14ac:dyDescent="0.25">
      <c r="C66" t="s">
        <v>330</v>
      </c>
      <c r="E66" s="25">
        <f>LamChanHangNgan(E61+E62+E63+E64)</f>
        <v>376000</v>
      </c>
      <c r="F66" s="25">
        <f t="shared" ref="F66:I66" si="23">LamChanHangNgan(F61+F62+F63+F64)</f>
        <v>601000</v>
      </c>
      <c r="G66" s="25">
        <f t="shared" si="23"/>
        <v>827000</v>
      </c>
      <c r="H66" s="25">
        <f t="shared" si="23"/>
        <v>1051000</v>
      </c>
      <c r="I66" s="25">
        <f t="shared" si="23"/>
        <v>1276000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30</v>
      </c>
      <c r="F67">
        <f t="shared" ref="F67:I67" si="24">($A67*F$24/2)/$D$16</f>
        <v>60</v>
      </c>
      <c r="G67">
        <f t="shared" si="24"/>
        <v>90</v>
      </c>
      <c r="H67">
        <f t="shared" si="24"/>
        <v>120</v>
      </c>
      <c r="I67">
        <f t="shared" si="24"/>
        <v>150</v>
      </c>
    </row>
    <row r="68" spans="1:9" x14ac:dyDescent="0.25">
      <c r="C68" t="s">
        <v>306</v>
      </c>
      <c r="E68">
        <f>PhiInKM4M_BHR70(E67*$E$16*2)*(1+$D$17)</f>
        <v>234500</v>
      </c>
      <c r="F68">
        <f>PhiInKM4M_BHR70(F67*$E$16*2)*(1+$D$17)</f>
        <v>381500</v>
      </c>
      <c r="G68">
        <f>PhiInKM4M_BHR70(G67*$E$16*2)*(1+$D$17)</f>
        <v>528500</v>
      </c>
      <c r="H68">
        <f>PhiInKM4M_BHR70(H67*$E$16*2)*(1+$D$17)</f>
        <v>675500</v>
      </c>
      <c r="I68">
        <f>PhiInKM4M_BHR70(I67*$E$16*2)*(1+$D$17)</f>
        <v>822500</v>
      </c>
    </row>
    <row r="69" spans="1:9" x14ac:dyDescent="0.25">
      <c r="C69" t="s">
        <v>333</v>
      </c>
      <c r="E69">
        <f>E67*$D$19*(1+$D$17)</f>
        <v>66780</v>
      </c>
      <c r="F69">
        <f t="shared" ref="F69:I69" si="25">F67*$D$19*(1+$D$17)</f>
        <v>133560</v>
      </c>
      <c r="G69">
        <f t="shared" si="25"/>
        <v>200340</v>
      </c>
      <c r="H69">
        <f t="shared" si="25"/>
        <v>267120</v>
      </c>
      <c r="I69">
        <f t="shared" si="25"/>
        <v>333900</v>
      </c>
    </row>
    <row r="70" spans="1:9" x14ac:dyDescent="0.25">
      <c r="C70" t="s">
        <v>310</v>
      </c>
      <c r="E70">
        <f>(PhiMayCanMang(E67*2,$C$15/100,$D$15/100) + PhiMangCan(E67*2,$C$15/100,$D$15/100,$D$21))*(1+$D$17)</f>
        <v>95799.419800000003</v>
      </c>
      <c r="F70">
        <f>(PhiMayCanMang(F67*2,$C$15/100,$D$15/100) + PhiMangCan(F67*2,$C$15/100,$D$15/100,$D$21))*(1+$D$17)</f>
        <v>127432.17305000001</v>
      </c>
      <c r="G70">
        <f>(PhiMayCanMang(G67*2,$C$15/100,$D$15/100) + PhiMangCan(G67*2,$C$15/100,$D$15/100,$D$21))*(1+$D$17)</f>
        <v>159517.863575</v>
      </c>
      <c r="H70">
        <f>(PhiMayCanMang(H67*2,$C$15/100,$D$15/100) + PhiMangCan(H67*2,$C$15/100,$D$15/100,$D$21))*(1+$D$17)</f>
        <v>191150.62084999998</v>
      </c>
      <c r="I70">
        <f>(PhiMayCanMang(I67*2,$C$15/100,$D$15/100) + PhiMangCan(I67*2,$C$15/100,$D$15/100,$D$21))*(1+$D$17)</f>
        <v>222783.37007499998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301000</v>
      </c>
      <c r="F72" s="25">
        <f t="shared" ref="F72:I72" si="26">LamChanHangNgan(F68+F69+F71)</f>
        <v>515000</v>
      </c>
      <c r="G72" s="25">
        <f t="shared" si="26"/>
        <v>728000</v>
      </c>
      <c r="H72" s="25">
        <f t="shared" si="26"/>
        <v>942000</v>
      </c>
      <c r="I72" s="25">
        <f t="shared" si="26"/>
        <v>1156000</v>
      </c>
    </row>
    <row r="73" spans="1:9" x14ac:dyDescent="0.25">
      <c r="C73" t="s">
        <v>330</v>
      </c>
      <c r="E73" s="25">
        <f>LamChanHangNgan(E68+E69+E70+E71)</f>
        <v>397000</v>
      </c>
      <c r="F73" s="25">
        <f t="shared" ref="F73:I73" si="27">LamChanHangNgan(F68+F69+F70+F71)</f>
        <v>642000</v>
      </c>
      <c r="G73" s="25">
        <f t="shared" si="27"/>
        <v>888000</v>
      </c>
      <c r="H73" s="25">
        <f t="shared" si="27"/>
        <v>1133000</v>
      </c>
      <c r="I73" s="25">
        <f t="shared" si="27"/>
        <v>1379000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676ACABF-ABC4-4E34-84C4-770BA55DA6D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59B54508-4DDF-445C-B6FE-85FF79F2FBC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4E7E932A-1E9F-4872-8EB4-564B061591AC}">
      <formula1>OFFSET(GIA_GIAY_CO_BAN,1,0,,1)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422E8-40C3-44C4-9650-8FCA3418DEC1}">
  <sheetPr codeName="Trang_tính18"/>
  <dimension ref="A1:I73"/>
  <sheetViews>
    <sheetView topLeftCell="A15" workbookViewId="0">
      <selection activeCell="D29" sqref="D29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19</v>
      </c>
      <c r="C13">
        <v>30</v>
      </c>
      <c r="D13">
        <v>0.3</v>
      </c>
      <c r="E13">
        <v>0</v>
      </c>
      <c r="F13">
        <f>$B13+$E13+$D13*2</f>
        <v>19.600000000000001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D8C85FF1-6DE8-4757-9E06-02778266D71F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DA04A0E-DB65-4750-B475-6480E8C57816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E087B56D-980B-463B-882F-8480F67EC0A3}">
      <formula1>OFFSET(GIA_MANG,1,0,,1)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5A7C-0847-46E7-8F94-E73B31AC4E8A}">
  <sheetPr codeName="Trang_tính19"/>
  <dimension ref="A1:I73"/>
  <sheetViews>
    <sheetView topLeftCell="A7" workbookViewId="0">
      <selection activeCell="F35" sqref="F35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34</v>
      </c>
      <c r="D13">
        <v>0.3</v>
      </c>
      <c r="E13">
        <v>0</v>
      </c>
      <c r="F13">
        <f>$B13+$E13+$D13*2</f>
        <v>15.6</v>
      </c>
      <c r="G13">
        <f>$C13+$D13*2</f>
        <v>34.6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288B32-910E-469F-9E8B-46CB21B2C4A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63C2DB1F-4C53-4178-9E0D-8BF3D7169D8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E3FA2C8F-EE3C-4472-A8FB-FDE14F09FF39}">
      <formula1>OFFSET(GIA_GIAY_CO_BAN,1,0,,1)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" si="13">LamChanHangNgan(F40+F41+F43)</f>
        <v>782000</v>
      </c>
      <c r="G44" s="25">
        <f t="shared" ref="G44" si="14">LamChanHangNgan(G40+G41+G43)</f>
        <v>1076000</v>
      </c>
      <c r="H44" s="25">
        <f t="shared" ref="H44" si="15">LamChanHangNgan(H40+H41+H43)</f>
        <v>1370000</v>
      </c>
      <c r="I44" s="25">
        <f t="shared" ref="I44" si="16">LamChanHangNgan(I40+I41+I43)</f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7">LamChanHangNgan(F40+F41+F42+F43)</f>
        <v>931000</v>
      </c>
      <c r="G45" s="25">
        <f t="shared" si="17"/>
        <v>1267000</v>
      </c>
      <c r="H45" s="25">
        <f t="shared" si="17"/>
        <v>1603000</v>
      </c>
      <c r="I45" s="25">
        <f t="shared" si="17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" si="21">LamChanHangNgan(F47+F48+F50)</f>
        <v>856000</v>
      </c>
      <c r="G51" s="25">
        <f t="shared" ref="G51" si="22">LamChanHangNgan(G47+G48+G50)</f>
        <v>1186000</v>
      </c>
      <c r="H51" s="25">
        <f t="shared" ref="H51" si="23">LamChanHangNgan(H47+H48+H50)</f>
        <v>1517000</v>
      </c>
      <c r="I51" s="25">
        <f t="shared" ref="I51" si="24">LamChanHangNgan(I47+I48+I50)</f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25">LamChanHangNgan(F47+F48+F49+F50)</f>
        <v>1015000</v>
      </c>
      <c r="G52" s="25">
        <f t="shared" si="25"/>
        <v>1393000</v>
      </c>
      <c r="H52" s="25">
        <f t="shared" si="25"/>
        <v>1771000</v>
      </c>
      <c r="I52" s="25">
        <f t="shared" si="25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" si="29">LamChanHangNgan(F54+F55+F57)</f>
        <v>929000</v>
      </c>
      <c r="G58" s="25">
        <f t="shared" ref="G58" si="30">LamChanHangNgan(G54+G55+G57)</f>
        <v>1297000</v>
      </c>
      <c r="H58" s="25">
        <f t="shared" ref="H58" si="31">LamChanHangNgan(H54+H55+H57)</f>
        <v>1664000</v>
      </c>
      <c r="I58" s="25">
        <f t="shared" ref="I58" si="32">LamChanHangNgan(I54+I55+I57)</f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33">LamChanHangNgan(F54+F55+F56+F57)</f>
        <v>1099000</v>
      </c>
      <c r="G59" s="25">
        <f t="shared" si="33"/>
        <v>1519000</v>
      </c>
      <c r="H59" s="25">
        <f t="shared" si="33"/>
        <v>1940000</v>
      </c>
      <c r="I59" s="25">
        <f t="shared" si="33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" si="37">LamChanHangNgan(F61+F62+F64)</f>
        <v>1003000</v>
      </c>
      <c r="G65" s="25">
        <f t="shared" ref="G65" si="38">LamChanHangNgan(G61+G62+G64)</f>
        <v>1407000</v>
      </c>
      <c r="H65" s="25">
        <f t="shared" ref="H65" si="39">LamChanHangNgan(H61+H62+H64)</f>
        <v>1811000</v>
      </c>
      <c r="I65" s="25">
        <f t="shared" ref="I65" si="40">LamChanHangNgan(I61+I62+I64)</f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41">LamChanHangNgan(F61+F62+F63+F64)</f>
        <v>1183000</v>
      </c>
      <c r="G66" s="25">
        <f t="shared" si="41"/>
        <v>1645000</v>
      </c>
      <c r="H66" s="25">
        <f t="shared" si="41"/>
        <v>2108000</v>
      </c>
      <c r="I66" s="25">
        <f t="shared" si="41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" si="45">LamChanHangNgan(F68+F69+F71)</f>
        <v>1076000</v>
      </c>
      <c r="G72" s="25">
        <f t="shared" ref="G72" si="46">LamChanHangNgan(G68+G69+G71)</f>
        <v>1517000</v>
      </c>
      <c r="H72" s="25">
        <f t="shared" ref="H72" si="47">LamChanHangNgan(H68+H69+H71)</f>
        <v>1958000</v>
      </c>
      <c r="I72" s="25">
        <f t="shared" ref="I72" si="48">LamChanHangNgan(I68+I69+I71)</f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49">LamChanHangNgan(F68+F69+F70+F71)</f>
        <v>1267000</v>
      </c>
      <c r="G73" s="25">
        <f t="shared" si="49"/>
        <v>1771000</v>
      </c>
      <c r="H73" s="25">
        <f t="shared" si="49"/>
        <v>2276000</v>
      </c>
      <c r="I73" s="25">
        <f t="shared" si="49"/>
        <v>2780000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3C12F-B371-43C2-9916-3CAC4D605AB2}">
  <sheetPr codeName="Trang_tính20"/>
  <dimension ref="A1:I36"/>
  <sheetViews>
    <sheetView tabSelected="1" topLeftCell="A12" workbookViewId="0">
      <selection activeCell="G34" sqref="G34"/>
    </sheetView>
  </sheetViews>
  <sheetFormatPr defaultRowHeight="15" x14ac:dyDescent="0.25"/>
  <cols>
    <col min="1" max="1" width="20" bestFit="1" customWidth="1"/>
    <col min="2" max="2" width="18.5703125" customWidth="1"/>
    <col min="3" max="3" width="19.140625" customWidth="1"/>
    <col min="4" max="4" width="15.85546875" bestFit="1" customWidth="1"/>
    <col min="5" max="5" width="18.5703125" bestFit="1" customWidth="1"/>
    <col min="6" max="6" width="17" bestFit="1" customWidth="1"/>
    <col min="7" max="9" width="15.140625" bestFit="1" customWidth="1"/>
  </cols>
  <sheetData>
    <row r="1" spans="1:7" x14ac:dyDescent="0.25">
      <c r="A1" t="s">
        <v>375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376</v>
      </c>
    </row>
    <row r="6" spans="1:7" x14ac:dyDescent="0.25">
      <c r="A6" t="s">
        <v>293</v>
      </c>
      <c r="B6" t="s">
        <v>377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43733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21</v>
      </c>
      <c r="C13">
        <v>30</v>
      </c>
      <c r="D13">
        <v>0.3</v>
      </c>
      <c r="E13">
        <v>2.5</v>
      </c>
      <c r="F13">
        <f>$B13+$E13+$D13*2</f>
        <v>24.1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</v>
      </c>
      <c r="F24">
        <v>23</v>
      </c>
      <c r="I24">
        <v>50</v>
      </c>
    </row>
    <row r="25" spans="1:9" x14ac:dyDescent="0.25">
      <c r="A25">
        <v>12</v>
      </c>
      <c r="B25">
        <f>$A25*E$24</f>
        <v>12</v>
      </c>
      <c r="C25" t="s">
        <v>332</v>
      </c>
      <c r="E25">
        <f>($A25*E$24/2)/$D$16</f>
        <v>3</v>
      </c>
      <c r="F25">
        <f t="shared" ref="F25:I25" si="0">($A25*F$24/2)/$D$16</f>
        <v>69</v>
      </c>
      <c r="I25">
        <f t="shared" si="0"/>
        <v>150</v>
      </c>
    </row>
    <row r="26" spans="1:9" x14ac:dyDescent="0.25">
      <c r="C26" t="s">
        <v>306</v>
      </c>
      <c r="E26" s="7">
        <f>PhiInKM4M_BHR70(E$25*$E$16*2)</f>
        <v>58400</v>
      </c>
      <c r="F26" s="7">
        <f>PhiInKM4M_BHR70(F$25*$E$16*2)</f>
        <v>243200</v>
      </c>
      <c r="G26" s="7"/>
      <c r="H26" s="7"/>
      <c r="I26" s="7">
        <f>PhiInKM4M_BHR70(I$25*$E$16*2)*(1+$D$17)</f>
        <v>822500</v>
      </c>
    </row>
    <row r="27" spans="1:9" x14ac:dyDescent="0.25">
      <c r="C27" t="s">
        <v>333</v>
      </c>
      <c r="E27" s="7">
        <f>E$25*$D$19</f>
        <v>3816</v>
      </c>
      <c r="F27" s="7">
        <f>F$25*$D$19</f>
        <v>87768</v>
      </c>
      <c r="G27" s="7"/>
      <c r="H27" s="7"/>
      <c r="I27" s="7">
        <f t="shared" ref="I27" si="1">I$25*$D$19*(1+$D$17)</f>
        <v>333900</v>
      </c>
    </row>
    <row r="28" spans="1:9" x14ac:dyDescent="0.25">
      <c r="C28" t="s">
        <v>310</v>
      </c>
      <c r="E28" s="7">
        <f>(PhiMayCanMang(E$25*2,$C$15/100,$D$15/100) + PhiMangCan(E$25*2,$C$15/100,$D$15/100,$D$21))</f>
        <v>38526.017099999997</v>
      </c>
      <c r="F28" s="7">
        <f>(PhiMayCanMang(F$25*2,$C$15/100,$D$15/100) + PhiMangCan(F$25*2,$C$15/100,$D$15/100,$D$21))</f>
        <v>78396.435300000012</v>
      </c>
      <c r="G28" s="7"/>
      <c r="H28" s="7"/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378</v>
      </c>
      <c r="E29" s="7">
        <f>PhiMay_AccBind(E$25)</f>
        <v>99933.333299999998</v>
      </c>
      <c r="F29" s="7">
        <f>PhiMay_AccBind(F$25)</f>
        <v>138799.9999</v>
      </c>
      <c r="G29" s="7"/>
      <c r="H29" s="7"/>
      <c r="I29" s="7">
        <f>PhiMay_AccBind(I$25)</f>
        <v>186499.9999</v>
      </c>
    </row>
    <row r="30" spans="1:9" x14ac:dyDescent="0.25">
      <c r="C30" t="s">
        <v>383</v>
      </c>
      <c r="E30" s="25">
        <f>SUM(E26:E29)</f>
        <v>200675.3504</v>
      </c>
      <c r="F30" s="25">
        <f>SUM(F26:F29)</f>
        <v>548164.43519999995</v>
      </c>
      <c r="G30" s="25"/>
      <c r="H30" s="25"/>
      <c r="I30" s="25"/>
    </row>
    <row r="31" spans="1:9" x14ac:dyDescent="0.25">
      <c r="C31" t="s">
        <v>384</v>
      </c>
      <c r="E31" s="25">
        <f>LamChanHangNgan(E$30*(1+33%))</f>
        <v>266000</v>
      </c>
      <c r="F31" s="25">
        <f>LamChanHangNgan(F$30*(1+$D$17))</f>
        <v>959000</v>
      </c>
      <c r="G31" s="25"/>
      <c r="H31" s="25"/>
      <c r="I31" s="25">
        <f t="shared" ref="F31:I31" si="2">LamChanHangNgan(I$26+I$27+I$28+I$29)</f>
        <v>1565000</v>
      </c>
    </row>
    <row r="32" spans="1:9" x14ac:dyDescent="0.25">
      <c r="C32" t="s">
        <v>385</v>
      </c>
      <c r="E32" s="7">
        <v>182000</v>
      </c>
      <c r="F32" s="7">
        <v>659000</v>
      </c>
    </row>
    <row r="34" spans="3:6" x14ac:dyDescent="0.25">
      <c r="C34" t="s">
        <v>389</v>
      </c>
      <c r="E34" s="25">
        <f>E31+E32</f>
        <v>448000</v>
      </c>
      <c r="F34" s="25">
        <f>F31+F32</f>
        <v>1618000</v>
      </c>
    </row>
    <row r="36" spans="3:6" x14ac:dyDescent="0.25">
      <c r="C36" t="s">
        <v>390</v>
      </c>
      <c r="F36" s="7">
        <f>F34/F24</f>
        <v>70347.826086956527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C8EECFCD-8772-4734-B541-0F22FDF861F9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0C67D31-748A-455A-A261-D10DDB4DD842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9E760BC6-7938-4009-950F-F2D987974863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64B8D-D8C9-41EF-92DE-EFCDE6A18579}">
  <sheetPr codeName="Trang_tính21"/>
  <dimension ref="A1:M42"/>
  <sheetViews>
    <sheetView topLeftCell="A13" workbookViewId="0">
      <selection activeCell="E37" sqref="E37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379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380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21</v>
      </c>
      <c r="C13">
        <v>30</v>
      </c>
      <c r="D13">
        <v>0.3</v>
      </c>
      <c r="E13">
        <v>2.5</v>
      </c>
      <c r="F13">
        <f>$B13+$E13+$D13*2</f>
        <v>24.1</v>
      </c>
      <c r="G13">
        <f>$C13+$D13*2</f>
        <v>30.6</v>
      </c>
      <c r="I13">
        <f>F$13+0.4+4</f>
        <v>28.5</v>
      </c>
      <c r="J13">
        <f>G$13+0.4*2</f>
        <v>31.400000000000002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</v>
      </c>
      <c r="G24">
        <v>23</v>
      </c>
      <c r="I24">
        <v>50</v>
      </c>
    </row>
    <row r="25" spans="1:9" x14ac:dyDescent="0.25">
      <c r="C25" t="s">
        <v>347</v>
      </c>
      <c r="E25">
        <f>(E$24)/$D$16</f>
        <v>1</v>
      </c>
      <c r="G25">
        <f>(G$24)/$D$16</f>
        <v>23</v>
      </c>
      <c r="I25">
        <f t="shared" ref="F25:I25" si="0">(I$24)/$D$16</f>
        <v>50</v>
      </c>
    </row>
    <row r="26" spans="1:9" x14ac:dyDescent="0.25">
      <c r="C26" t="s">
        <v>348</v>
      </c>
      <c r="E26" s="7">
        <f>PhiInKM4M_BHR70(E$25*$E$16)</f>
        <v>51400</v>
      </c>
      <c r="G26" s="7">
        <f>PhiInKM4M_BHR70(G$25*$E$16)*(1+$D$17)</f>
        <v>143850</v>
      </c>
      <c r="H26" s="7"/>
      <c r="I26" s="7">
        <f>PhiInKM4M_BHR70(I$25*$E$16)*(1+$D$17)</f>
        <v>210000</v>
      </c>
    </row>
    <row r="27" spans="1:9" x14ac:dyDescent="0.25">
      <c r="C27" t="s">
        <v>333</v>
      </c>
      <c r="E27" s="7">
        <f>E$25*$D$19</f>
        <v>1272</v>
      </c>
      <c r="G27" s="7">
        <f>G$25*$D$19*(1+$D$17)</f>
        <v>51198</v>
      </c>
      <c r="H27" s="7"/>
      <c r="I27" s="7">
        <f t="shared" ref="G27:I27" si="1">I$25*$D$19*(1+$D$17)</f>
        <v>111300</v>
      </c>
    </row>
    <row r="28" spans="1:9" x14ac:dyDescent="0.25">
      <c r="C28" t="s">
        <v>310</v>
      </c>
      <c r="E28" s="7">
        <f>(PhiMayCanMang(E$25*2,$C$15/100,$D$15/100) + PhiMangCan(E$25*2,$C$15/100,$D$15/100,$D$21))</f>
        <v>37286.450100000002</v>
      </c>
      <c r="G28" s="7">
        <f>(PhiMayCanMang(G$25*2,$C$15/100,$D$15/100) + PhiMangCan(G$25*2,$C$15/100,$D$15/100,$D$21))*(1+$D$17)</f>
        <v>88660.012000000002</v>
      </c>
      <c r="H28" s="7"/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382</v>
      </c>
      <c r="E29" s="7">
        <f>SUM(E26:E28)</f>
        <v>89958.450100000002</v>
      </c>
      <c r="G29" s="7">
        <f>SUM(G26:G28)</f>
        <v>283708.01199999999</v>
      </c>
      <c r="H29" s="7"/>
      <c r="I29" s="7">
        <f t="shared" ref="F29:I29" si="2">SUM(I26:I28)</f>
        <v>438338.90187499998</v>
      </c>
    </row>
    <row r="30" spans="1:9" x14ac:dyDescent="0.25">
      <c r="C30" t="s">
        <v>349</v>
      </c>
      <c r="E30" s="7">
        <v>0</v>
      </c>
      <c r="G30" s="7">
        <f>G24*2*$D$22</f>
        <v>55200</v>
      </c>
      <c r="H30" s="7"/>
      <c r="I30" s="7">
        <f t="shared" ref="F30:I30" si="3">I24*2*$D$22</f>
        <v>120000</v>
      </c>
    </row>
    <row r="31" spans="1:9" x14ac:dyDescent="0.25">
      <c r="C31" t="s">
        <v>350</v>
      </c>
      <c r="E31" s="7">
        <v>34000</v>
      </c>
      <c r="F31" t="s">
        <v>381</v>
      </c>
      <c r="G31" s="7">
        <f>(PhiLamBiaCungMayY(G24)+G30)*(1+$D$17)</f>
        <v>347226.73597500002</v>
      </c>
      <c r="H31" s="7"/>
      <c r="I31" s="7">
        <f t="shared" ref="F31:I31" si="4">(PhiLamBiaCungMayY(I24)+I30)*(1+$D$17)</f>
        <v>474079.86097499996</v>
      </c>
    </row>
    <row r="32" spans="1:9" x14ac:dyDescent="0.25">
      <c r="C32" t="s">
        <v>386</v>
      </c>
      <c r="E32" s="43">
        <f>E29+E31</f>
        <v>123958.4501</v>
      </c>
      <c r="G32" s="43">
        <f>G29+G31</f>
        <v>630934.74797499995</v>
      </c>
      <c r="H32" s="43"/>
      <c r="I32" s="43">
        <f t="shared" ref="F32:I32" si="5">I29+I31</f>
        <v>912418.76284999994</v>
      </c>
    </row>
    <row r="33" spans="2:9" x14ac:dyDescent="0.25">
      <c r="E33" s="43"/>
      <c r="G33" s="43"/>
      <c r="H33" s="43"/>
      <c r="I33" s="43"/>
    </row>
    <row r="34" spans="2:9" x14ac:dyDescent="0.25">
      <c r="C34" t="s">
        <v>387</v>
      </c>
      <c r="E34" s="32">
        <f>PhiLDPT_VoCuonBatVit(E$24)</f>
        <v>13144.4444</v>
      </c>
      <c r="G34" s="32">
        <f>PhiLDPT_VoCuonBatVit(G24) * (1+$D$17)</f>
        <v>28563.889200000001</v>
      </c>
      <c r="H34" s="32"/>
      <c r="I34" s="32">
        <f t="shared" ref="F34:I34" si="6">PhiLDPT_VoCuonBatVit(I24) * (1+$D$17)</f>
        <v>35388.88955</v>
      </c>
    </row>
    <row r="35" spans="2:9" x14ac:dyDescent="0.25">
      <c r="C35" t="s">
        <v>388</v>
      </c>
      <c r="E35" s="25">
        <f>LamChanHangNgan((E32+E34)*(1+33%))</f>
        <v>182000</v>
      </c>
      <c r="G35" s="25">
        <f>LamChanHangNgan(G32+G34)</f>
        <v>659000</v>
      </c>
      <c r="H35" s="25"/>
      <c r="I35" s="25">
        <f t="shared" ref="F35:I35" si="7">LamChanHangNgan(I32+I34)</f>
        <v>947000</v>
      </c>
    </row>
    <row r="37" spans="2:9" x14ac:dyDescent="0.25">
      <c r="D37" t="s">
        <v>356</v>
      </c>
      <c r="E37" s="7">
        <f>LamChanHangNgan(E35/E24)</f>
        <v>182000</v>
      </c>
      <c r="G37" s="7">
        <f>LamChanHangNgan(G35/G24)</f>
        <v>28000</v>
      </c>
      <c r="H37" s="7"/>
      <c r="I37" s="7">
        <f t="shared" ref="F37:I37" si="8">LamChanHangNgan(I35/I24)</f>
        <v>18000</v>
      </c>
    </row>
    <row r="39" spans="2:9" x14ac:dyDescent="0.25">
      <c r="B39" s="2"/>
      <c r="E39" s="32"/>
      <c r="F39" s="32"/>
      <c r="G39" s="32"/>
      <c r="H39" s="32"/>
      <c r="I39" s="32"/>
    </row>
    <row r="42" spans="2:9" x14ac:dyDescent="0.25">
      <c r="E42" s="32"/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E6187CED-B207-4DFE-A922-0E2DD499C67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9BF21D6-CB63-458D-A4B4-6A9187808C0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2B9A3494-45CF-4D98-AB27-DF9AD9B0002F}">
      <formula1>OFFSET(GIA_MANG,1,0,,1)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42"/>
  <sheetViews>
    <sheetView topLeftCell="A16" workbookViewId="0">
      <selection activeCell="A16" sqref="A1:XFD1048576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208819.93702499999</v>
      </c>
      <c r="F29" s="7">
        <f t="shared" ref="F29:I29" si="2">SUM(F26:F28)</f>
        <v>266426.14862500003</v>
      </c>
      <c r="G29" s="7">
        <f t="shared" si="2"/>
        <v>323579.41980000003</v>
      </c>
      <c r="H29" s="7">
        <f t="shared" si="2"/>
        <v>381185.63034999999</v>
      </c>
      <c r="I29" s="7">
        <f t="shared" si="2"/>
        <v>438338.90187499998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494969.24242499995</v>
      </c>
      <c r="F32" s="43">
        <f t="shared" ref="F32:I32" si="5">F29+F31</f>
        <v>599558.09287500009</v>
      </c>
      <c r="G32" s="43">
        <f t="shared" si="5"/>
        <v>703694.00307500002</v>
      </c>
      <c r="H32" s="43">
        <f t="shared" si="5"/>
        <v>808282.85247499996</v>
      </c>
      <c r="I32" s="43">
        <f t="shared" si="5"/>
        <v>912418.76284999994</v>
      </c>
    </row>
    <row r="33" spans="2:9" x14ac:dyDescent="0.25">
      <c r="E33" s="43"/>
      <c r="F33" s="43"/>
      <c r="G33" s="43"/>
      <c r="H33" s="43"/>
      <c r="I33" s="43"/>
    </row>
    <row r="34" spans="2:9" x14ac:dyDescent="0.25">
      <c r="C34" t="s">
        <v>353</v>
      </c>
      <c r="E34" s="32">
        <f>PhiLDPT_VoCuonBatVit(E$24) * (1+$D$17)</f>
        <v>25277.777875</v>
      </c>
      <c r="F34" s="32">
        <f t="shared" ref="F34:I34" si="6">PhiLDPT_VoCuonBatVit(F24) * (1+$D$17)</f>
        <v>27805.555574999998</v>
      </c>
      <c r="G34" s="32">
        <f t="shared" si="6"/>
        <v>30333.333624999999</v>
      </c>
      <c r="H34" s="32">
        <f t="shared" si="6"/>
        <v>32861.111149999997</v>
      </c>
      <c r="I34" s="32">
        <f t="shared" si="6"/>
        <v>35388.88955</v>
      </c>
    </row>
    <row r="35" spans="2:9" x14ac:dyDescent="0.25">
      <c r="C35" t="s">
        <v>354</v>
      </c>
      <c r="E35" s="25">
        <f>LamChanHangNgan(E32+E34)</f>
        <v>520000</v>
      </c>
      <c r="F35" s="25">
        <f t="shared" ref="F35:I35" si="7">LamChanHangNgan(F32+F34)</f>
        <v>627000</v>
      </c>
      <c r="G35" s="25">
        <f t="shared" si="7"/>
        <v>734000</v>
      </c>
      <c r="H35" s="25">
        <f t="shared" si="7"/>
        <v>841000</v>
      </c>
      <c r="I35" s="25">
        <f t="shared" si="7"/>
        <v>947000</v>
      </c>
    </row>
    <row r="37" spans="2:9" x14ac:dyDescent="0.25">
      <c r="D37" t="s">
        <v>356</v>
      </c>
      <c r="E37" s="7">
        <f>LamChanHangNgan(E35/E24)</f>
        <v>52000</v>
      </c>
      <c r="F37" s="7">
        <f t="shared" ref="F37:I37" si="8">LamChanHangNgan(F35/F24)</f>
        <v>31000</v>
      </c>
      <c r="G37" s="7">
        <f t="shared" si="8"/>
        <v>24000</v>
      </c>
      <c r="H37" s="7">
        <f t="shared" si="8"/>
        <v>21000</v>
      </c>
      <c r="I37" s="7">
        <f t="shared" si="8"/>
        <v>18000</v>
      </c>
    </row>
    <row r="39" spans="2:9" ht="75" x14ac:dyDescent="0.25">
      <c r="B39" s="2" t="s">
        <v>374</v>
      </c>
      <c r="C39" t="s">
        <v>353</v>
      </c>
      <c r="E39" s="32">
        <f>PhiMay_AccSlit(E$24*12,0.3)</f>
        <v>176433.3333</v>
      </c>
      <c r="F39" s="32">
        <f t="shared" ref="F39:I39" si="9">PhiMay_AccSlit(F$24*12,0.3)</f>
        <v>265899.9999</v>
      </c>
      <c r="G39" s="32">
        <f t="shared" si="9"/>
        <v>355366.6666</v>
      </c>
      <c r="H39" s="32">
        <f t="shared" si="9"/>
        <v>444833.3333</v>
      </c>
      <c r="I39" s="32">
        <f t="shared" si="9"/>
        <v>534299.99990000005</v>
      </c>
    </row>
    <row r="42" spans="2:9" x14ac:dyDescent="0.25">
      <c r="E42" s="32">
        <f>PhiMay_AccSlit(E$24*12,0.3)</f>
        <v>176433.3333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357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358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154</v>
      </c>
      <c r="C19" t="s">
        <v>147</v>
      </c>
      <c r="D19">
        <v>1056</v>
      </c>
      <c r="E19" s="7">
        <f>D19*(1+D17)</f>
        <v>1848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306</v>
      </c>
      <c r="E26" s="7">
        <f>PhiInKM4M_BHR70(E$25*$E$16*2)*(1+$D$17)</f>
        <v>381500</v>
      </c>
      <c r="F26" s="7">
        <f>PhiInKM4M_BHR70(F$25*$E$16*2)*(1+$D$17)</f>
        <v>675500</v>
      </c>
      <c r="G26" s="7">
        <f>PhiInKM4M_BHR70(G$25*$E$16*2)*(1+$D$17)</f>
        <v>969500</v>
      </c>
      <c r="H26" s="7">
        <f>PhiInKM4M_BHR70(H$25*$E$16*2)*(1+$D$17)</f>
        <v>1263500</v>
      </c>
      <c r="I26" s="7">
        <f>PhiInKM4M_BHR70(I$25*$E$16*2)*(1+$D$17)</f>
        <v>1557500</v>
      </c>
    </row>
    <row r="27" spans="1:9" x14ac:dyDescent="0.25">
      <c r="C27" t="s">
        <v>333</v>
      </c>
      <c r="E27" s="7">
        <f>E$25*$D$19*(1+$D$17)</f>
        <v>110880</v>
      </c>
      <c r="F27" s="7">
        <f>F$25*$D$19*(1+$D$17)</f>
        <v>221760</v>
      </c>
      <c r="G27" s="7">
        <f t="shared" ref="G27:I27" si="1">G$25*$D$19*(1+$D$17)</f>
        <v>332640</v>
      </c>
      <c r="H27" s="7">
        <f t="shared" si="1"/>
        <v>443520</v>
      </c>
      <c r="I27" s="7">
        <f t="shared" si="1"/>
        <v>554400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127432.17305000001</v>
      </c>
      <c r="F28" s="7">
        <f>(PhiMayCanMang(F$25*2,$C$15/100,$D$15/100) + PhiMangCan(F$25*2,$C$15/100,$D$15/100,$D$21))*(1+$D$17)</f>
        <v>191150.62084999998</v>
      </c>
      <c r="G28" s="7">
        <f>(PhiMayCanMang(G$25*2,$C$15/100,$D$15/100) + PhiMangCan(G$25*2,$C$15/100,$D$15/100,$D$21))*(1+$D$17)</f>
        <v>254416.11947500001</v>
      </c>
      <c r="H28" s="7">
        <f>(PhiMayCanMang(H$25*2,$C$15/100,$D$15/100) + PhiMangCan(H$25*2,$C$15/100,$D$15/100,$D$21))*(1+$D$17)</f>
        <v>318134.57514999993</v>
      </c>
      <c r="I28" s="7">
        <f>(PhiMayCanMang(I$25*2,$C$15/100,$D$15/100) + PhiMangCan(I$25*2,$C$15/100,$D$15/100,$D$21))*(1+$D$17)</f>
        <v>381400.073775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359</v>
      </c>
      <c r="E30" s="7">
        <f>PhiLamRuotCuonMP_Tay(E$24, E25/E$24)*(1+$D$17)</f>
        <v>238350</v>
      </c>
      <c r="F30" s="7">
        <f t="shared" ref="F30:I30" si="3">PhiLamRuotCuonMP_Tay(F$24, F25/F$24)*(1+$D$17)</f>
        <v>448350</v>
      </c>
      <c r="G30" s="7">
        <f t="shared" si="3"/>
        <v>658350</v>
      </c>
      <c r="H30" s="7">
        <f t="shared" si="3"/>
        <v>868350</v>
      </c>
      <c r="I30" s="7">
        <f t="shared" si="3"/>
        <v>1078350</v>
      </c>
    </row>
    <row r="31" spans="1:9" x14ac:dyDescent="0.25">
      <c r="C31" t="s">
        <v>329</v>
      </c>
      <c r="E31" s="25">
        <f>LamChanHangNgan(E$26+E$27+E$29+E30)</f>
        <v>845000</v>
      </c>
      <c r="F31" s="25">
        <f t="shared" ref="F31:I31" si="4">LamChanHangNgan(F$26+F$27+F$29+F30)</f>
        <v>1466000</v>
      </c>
      <c r="G31" s="25">
        <f t="shared" si="4"/>
        <v>2088000</v>
      </c>
      <c r="H31" s="25">
        <f t="shared" si="4"/>
        <v>2709000</v>
      </c>
      <c r="I31" s="25">
        <f t="shared" si="4"/>
        <v>3330000</v>
      </c>
    </row>
    <row r="32" spans="1:9" x14ac:dyDescent="0.25">
      <c r="C32" t="s">
        <v>330</v>
      </c>
      <c r="E32" s="25">
        <f>LamChanHangNgan(E$26+E$27+E$28+E$29+E30)</f>
        <v>972000</v>
      </c>
      <c r="F32" s="25">
        <f t="shared" ref="F32:I32" si="5">LamChanHangNgan(F$26+F$27+F$28+F$29+F30)</f>
        <v>1657000</v>
      </c>
      <c r="G32" s="25">
        <f t="shared" si="5"/>
        <v>2342000</v>
      </c>
      <c r="H32" s="25">
        <f t="shared" si="5"/>
        <v>3027000</v>
      </c>
      <c r="I32" s="25">
        <f t="shared" si="5"/>
        <v>3712000</v>
      </c>
    </row>
    <row r="33" spans="1:9" x14ac:dyDescent="0.25">
      <c r="A33">
        <v>14</v>
      </c>
      <c r="B33">
        <f>$A33*E$24</f>
        <v>140</v>
      </c>
      <c r="C33" t="s">
        <v>332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306</v>
      </c>
      <c r="E34" s="26">
        <f>PhiInKM4M_BHR70(E33*$E$16*2)*(1+$D$17)</f>
        <v>430500</v>
      </c>
      <c r="F34" s="26">
        <f>PhiInKM4M_BHR70(F33*$E$16*2)*(1+$D$17)</f>
        <v>773500</v>
      </c>
      <c r="G34" s="26">
        <f>PhiInKM4M_BHR70(G33*$E$16*2)*(1+$D$17)</f>
        <v>1116500</v>
      </c>
      <c r="H34" s="26">
        <f>PhiInKM4M_BHR70(H33*$E$16*2)*(1+$D$17)</f>
        <v>1459500</v>
      </c>
      <c r="I34" s="26">
        <f>PhiInKM4M_BHR70(I33*$E$16*2)*(1+$D$17)</f>
        <v>1802500</v>
      </c>
    </row>
    <row r="35" spans="1:9" x14ac:dyDescent="0.25">
      <c r="C35" t="s">
        <v>333</v>
      </c>
      <c r="E35" s="26">
        <f>E33*$D$19*(1+$D$17)</f>
        <v>129360</v>
      </c>
      <c r="F35" s="26">
        <f t="shared" ref="F35:I35" si="7">F33*$D$19*(1+$D$17)</f>
        <v>258720</v>
      </c>
      <c r="G35" s="26">
        <f t="shared" si="7"/>
        <v>388080</v>
      </c>
      <c r="H35" s="26">
        <f t="shared" si="7"/>
        <v>517440</v>
      </c>
      <c r="I35" s="26">
        <f t="shared" si="7"/>
        <v>646800</v>
      </c>
    </row>
    <row r="36" spans="1:9" x14ac:dyDescent="0.25">
      <c r="C36" t="s">
        <v>310</v>
      </c>
      <c r="E36" s="26">
        <f>(PhiMayCanMang(E33*2,$C$15/100,$D$15/100) + PhiMangCan(E33*2,$C$15/100,$D$15/100,$D$21))*(1+$D$17)</f>
        <v>138278.3836</v>
      </c>
      <c r="F36" s="26">
        <f>(PhiMayCanMang(F33*2,$C$15/100,$D$15/100) + PhiMangCan(F33*2,$C$15/100,$D$15/100,$D$21))*(1+$D$17)</f>
        <v>212390.10082499997</v>
      </c>
      <c r="G36" s="26">
        <f>(PhiMayCanMang(G33*2,$C$15/100,$D$15/100) + PhiMangCan(G33*2,$C$15/100,$D$15/100,$D$21))*(1+$D$17)</f>
        <v>286048.87675</v>
      </c>
      <c r="H36" s="26">
        <f>(PhiMayCanMang(H33*2,$C$15/100,$D$15/100) + PhiMangCan(H33*2,$C$15/100,$D$15/100,$D$21))*(1+$D$17)</f>
        <v>360160.59379999997</v>
      </c>
      <c r="I36" s="26">
        <f>(PhiMayCanMang(I33*2,$C$15/100,$D$15/100) + PhiMangCan(I33*2,$C$15/100,$D$15/100,$D$21))*(1+$D$17)</f>
        <v>434272.31102499994</v>
      </c>
    </row>
    <row r="37" spans="1:9" x14ac:dyDescent="0.25">
      <c r="C37" t="s">
        <v>334</v>
      </c>
      <c r="E37" s="26">
        <f>PhiMayCanGap(E33*$D$16)*(1+$D$17)</f>
        <v>115572.916725</v>
      </c>
      <c r="F37" s="26">
        <f t="shared" ref="F37:I37" si="8">PhiMayCanGap(F33*$D$16)*(1+$D$17)</f>
        <v>123229.166725</v>
      </c>
      <c r="G37" s="26">
        <f t="shared" si="8"/>
        <v>130885.416725</v>
      </c>
      <c r="H37" s="26">
        <f t="shared" si="8"/>
        <v>138541.66672500002</v>
      </c>
      <c r="I37" s="26">
        <f t="shared" si="8"/>
        <v>146197.91672500002</v>
      </c>
    </row>
    <row r="38" spans="1:9" x14ac:dyDescent="0.25">
      <c r="C38" t="s">
        <v>359</v>
      </c>
      <c r="E38" s="26">
        <f>PhiLamRuotCuonMP_Tay(E$24, E33/E$24)*(1+$D$17)</f>
        <v>260575</v>
      </c>
      <c r="F38" s="26">
        <f t="shared" ref="F38:I38" si="9">PhiLamRuotCuonMP_Tay(F$24, F33/F$24)*(1+$D$17)</f>
        <v>492450</v>
      </c>
      <c r="G38" s="26">
        <f t="shared" si="9"/>
        <v>724325</v>
      </c>
      <c r="H38" s="26">
        <f t="shared" si="9"/>
        <v>956200</v>
      </c>
      <c r="I38" s="26">
        <f t="shared" si="9"/>
        <v>1188075</v>
      </c>
    </row>
    <row r="39" spans="1:9" x14ac:dyDescent="0.25">
      <c r="C39" t="s">
        <v>329</v>
      </c>
      <c r="E39" s="42">
        <f>LamChanHangNgan(E34+E35+E37+E38)</f>
        <v>936000</v>
      </c>
      <c r="F39" s="42">
        <f t="shared" ref="F39:I39" si="10">LamChanHangNgan(F34+F35+F37+F38)</f>
        <v>1647000</v>
      </c>
      <c r="G39" s="42">
        <f t="shared" si="10"/>
        <v>2359000</v>
      </c>
      <c r="H39" s="42">
        <f t="shared" si="10"/>
        <v>3071000</v>
      </c>
      <c r="I39" s="42">
        <f t="shared" si="10"/>
        <v>3783000</v>
      </c>
    </row>
    <row r="40" spans="1:9" x14ac:dyDescent="0.25">
      <c r="C40" t="s">
        <v>330</v>
      </c>
      <c r="E40" s="42">
        <f>LamChanHangNgan(E34+E35+E36+E37+E38)</f>
        <v>1074000</v>
      </c>
      <c r="F40" s="42">
        <f t="shared" ref="F40:I40" si="11">LamChanHangNgan(F34+F35+F36+F37+F38)</f>
        <v>1860000</v>
      </c>
      <c r="G40" s="42">
        <f t="shared" si="11"/>
        <v>2645000</v>
      </c>
      <c r="H40" s="42">
        <f t="shared" si="11"/>
        <v>3431000</v>
      </c>
      <c r="I40" s="42">
        <f t="shared" si="11"/>
        <v>4217000</v>
      </c>
    </row>
    <row r="41" spans="1:9" x14ac:dyDescent="0.25">
      <c r="A41">
        <v>16</v>
      </c>
      <c r="B41">
        <f>$A41*E$24</f>
        <v>160</v>
      </c>
      <c r="C41" t="s">
        <v>332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306</v>
      </c>
      <c r="E42">
        <f>PhiInKM4M_BHR70(E41*$E$16*2)*(1+$D$17)</f>
        <v>479500</v>
      </c>
      <c r="F42">
        <f>PhiInKM4M_BHR70(F41*$E$16*2)*(1+$D$17)</f>
        <v>871500</v>
      </c>
      <c r="G42">
        <f>PhiInKM4M_BHR70(G41*$E$16*2)*(1+$D$17)</f>
        <v>1263500</v>
      </c>
      <c r="H42">
        <f>PhiInKM4M_BHR70(H41*$E$16*2)*(1+$D$17)</f>
        <v>1655500</v>
      </c>
      <c r="I42">
        <f>PhiInKM4M_BHR70(I41*$E$16*2)*(1+$D$17)</f>
        <v>2047500</v>
      </c>
    </row>
    <row r="43" spans="1:9" x14ac:dyDescent="0.25">
      <c r="C43" t="s">
        <v>333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310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334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359</v>
      </c>
      <c r="E46" s="26">
        <f>PhiLamRuotCuonMP_Tay(E$24, E41/E$24)*(1+$D$17)</f>
        <v>282800</v>
      </c>
      <c r="F46" s="26">
        <f t="shared" ref="F46:I46" si="15">PhiLamRuotCuonMP_Tay(F$24, F41/F$24)*(1+$D$17)</f>
        <v>536550</v>
      </c>
      <c r="G46" s="26">
        <f t="shared" si="15"/>
        <v>790300</v>
      </c>
      <c r="H46" s="26">
        <f t="shared" si="15"/>
        <v>1044050</v>
      </c>
      <c r="I46" s="26">
        <f t="shared" si="15"/>
        <v>1297800</v>
      </c>
    </row>
    <row r="47" spans="1:9" x14ac:dyDescent="0.25">
      <c r="C47" t="s">
        <v>329</v>
      </c>
      <c r="E47" s="42">
        <f>LamChanHangNgan(E42+E43+E45+E46)</f>
        <v>1026000</v>
      </c>
      <c r="F47" s="42">
        <f t="shared" ref="F47" si="16">LamChanHangNgan(F42+F43+F45+F46)</f>
        <v>1829000</v>
      </c>
      <c r="G47" s="42">
        <f t="shared" ref="G47" si="17">LamChanHangNgan(G42+G43+G45+G46)</f>
        <v>2631000</v>
      </c>
      <c r="H47" s="42">
        <f t="shared" ref="H47" si="18">LamChanHangNgan(H42+H43+H45+H46)</f>
        <v>3433000</v>
      </c>
      <c r="I47" s="42">
        <f t="shared" ref="I47" si="19">LamChanHangNgan(I42+I43+I45+I46)</f>
        <v>4236000</v>
      </c>
    </row>
    <row r="48" spans="1:9" x14ac:dyDescent="0.25">
      <c r="C48" t="s">
        <v>330</v>
      </c>
      <c r="E48" s="42">
        <f>LamChanHangNgan(E42+E43+E44+E45+E46)</f>
        <v>1175000</v>
      </c>
      <c r="F48" s="42">
        <f t="shared" ref="F48:I48" si="20">LamChanHangNgan(F42+F43+F44+F45+F46)</f>
        <v>2062000</v>
      </c>
      <c r="G48" s="42">
        <f t="shared" si="20"/>
        <v>2949000</v>
      </c>
      <c r="H48" s="42">
        <f t="shared" si="20"/>
        <v>3836000</v>
      </c>
      <c r="I48" s="42">
        <f t="shared" si="20"/>
        <v>4723000</v>
      </c>
    </row>
    <row r="49" spans="1:9" x14ac:dyDescent="0.25">
      <c r="A49">
        <v>18</v>
      </c>
      <c r="B49">
        <f>$A49*E$24</f>
        <v>180</v>
      </c>
      <c r="C49" t="s">
        <v>332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306</v>
      </c>
      <c r="E50">
        <f>PhiInKM4M_BHR70(E49*$E$16*2)*(1+$D$17)</f>
        <v>528500</v>
      </c>
      <c r="F50">
        <f>PhiInKM4M_BHR70(F49*$E$16*2)*(1+$D$17)</f>
        <v>969500</v>
      </c>
      <c r="G50">
        <f>PhiInKM4M_BHR70(G49*$E$16*2)*(1+$D$17)</f>
        <v>1410500</v>
      </c>
      <c r="H50">
        <f>PhiInKM4M_BHR70(H49*$E$16*2)*(1+$D$17)</f>
        <v>1851500</v>
      </c>
      <c r="I50">
        <f>PhiInKM4M_BHR70(I49*$E$16*2)*(1+$D$17)</f>
        <v>2292500</v>
      </c>
    </row>
    <row r="51" spans="1:9" x14ac:dyDescent="0.25">
      <c r="C51" t="s">
        <v>333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310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334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359</v>
      </c>
      <c r="E54" s="26">
        <f>PhiLamRuotCuonMP_Tay(E$24, E49/E$24)*(1+$D$17)</f>
        <v>305025</v>
      </c>
      <c r="F54" s="26">
        <f t="shared" ref="F54:I54" si="24">PhiLamRuotCuonMP_Tay(F$24, F49/F$24)*(1+$D$17)</f>
        <v>580650</v>
      </c>
      <c r="G54" s="26">
        <f t="shared" si="24"/>
        <v>856275</v>
      </c>
      <c r="H54" s="26">
        <f t="shared" si="24"/>
        <v>1131900</v>
      </c>
      <c r="I54" s="26">
        <f t="shared" si="24"/>
        <v>1407525</v>
      </c>
    </row>
    <row r="55" spans="1:9" x14ac:dyDescent="0.25">
      <c r="C55" t="s">
        <v>329</v>
      </c>
      <c r="E55" s="42">
        <f>LamChanHangNgan(E50+E51+E53+E54)</f>
        <v>1117000</v>
      </c>
      <c r="F55" s="42">
        <f t="shared" ref="F55" si="25">LamChanHangNgan(F50+F51+F53+F54)</f>
        <v>2010000</v>
      </c>
      <c r="G55" s="42">
        <f t="shared" ref="G55" si="26">LamChanHangNgan(G50+G51+G53+G54)</f>
        <v>2903000</v>
      </c>
      <c r="H55" s="42">
        <f t="shared" ref="H55" si="27">LamChanHangNgan(H50+H51+H53+H54)</f>
        <v>3795000</v>
      </c>
      <c r="I55" s="42">
        <f t="shared" ref="I55" si="28">LamChanHangNgan(I50+I51+I53+I54)</f>
        <v>4688000</v>
      </c>
    </row>
    <row r="56" spans="1:9" x14ac:dyDescent="0.25">
      <c r="C56" t="s">
        <v>330</v>
      </c>
      <c r="E56" s="42">
        <f>LamChanHangNgan(E50+E51+E52+E53+E54)</f>
        <v>1277000</v>
      </c>
      <c r="F56" s="42">
        <f t="shared" ref="F56:I56" si="29">LamChanHangNgan(F50+F51+F52+F53+F54)</f>
        <v>2264000</v>
      </c>
      <c r="G56" s="42">
        <f t="shared" si="29"/>
        <v>3252000</v>
      </c>
      <c r="H56" s="42">
        <f t="shared" si="29"/>
        <v>4240000</v>
      </c>
      <c r="I56" s="42">
        <f t="shared" si="29"/>
        <v>5228000</v>
      </c>
    </row>
    <row r="57" spans="1:9" x14ac:dyDescent="0.25">
      <c r="A57">
        <v>20</v>
      </c>
      <c r="B57">
        <f>$A57*E$24</f>
        <v>200</v>
      </c>
      <c r="C57" t="s">
        <v>332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306</v>
      </c>
      <c r="E58">
        <f>PhiInKM4M_BHR70(E57*$E$16*2)*(1+$D$17)</f>
        <v>577500</v>
      </c>
      <c r="F58">
        <f>PhiInKM4M_BHR70(F57*$E$16*2)*(1+$D$17)</f>
        <v>1067500</v>
      </c>
      <c r="G58">
        <f>PhiInKM4M_BHR70(G57*$E$16*2)*(1+$D$17)</f>
        <v>1557500</v>
      </c>
      <c r="H58">
        <f>PhiInKM4M_BHR70(H57*$E$16*2)*(1+$D$17)</f>
        <v>2047500</v>
      </c>
      <c r="I58">
        <f>PhiInKM4M_BHR70(I57*$E$16*2)*(1+$D$17)</f>
        <v>2537500</v>
      </c>
    </row>
    <row r="59" spans="1:9" x14ac:dyDescent="0.25">
      <c r="C59" t="s">
        <v>333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310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334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359</v>
      </c>
      <c r="E62" s="26">
        <f>PhiLamRuotCuonMP_Tay(E$24, E57/E$24)*(1+$D$17)</f>
        <v>327250</v>
      </c>
      <c r="F62" s="26">
        <f t="shared" ref="F62:I62" si="33">PhiLamRuotCuonMP_Tay(F$24, F57/F$24)*(1+$D$17)</f>
        <v>624750</v>
      </c>
      <c r="G62" s="26">
        <f t="shared" si="33"/>
        <v>922250</v>
      </c>
      <c r="H62" s="26">
        <f t="shared" si="33"/>
        <v>1219750</v>
      </c>
      <c r="I62" s="26">
        <f t="shared" si="33"/>
        <v>1517250</v>
      </c>
    </row>
    <row r="63" spans="1:9" x14ac:dyDescent="0.25">
      <c r="C63" t="s">
        <v>329</v>
      </c>
      <c r="E63" s="42">
        <f>LamChanHangNgan(E58+E59+E61+E62)</f>
        <v>1208000</v>
      </c>
      <c r="F63" s="42">
        <f t="shared" ref="F63" si="34">LamChanHangNgan(F58+F59+F61+F62)</f>
        <v>2191000</v>
      </c>
      <c r="G63" s="42">
        <f t="shared" ref="G63" si="35">LamChanHangNgan(G58+G59+G61+G62)</f>
        <v>3174000</v>
      </c>
      <c r="H63" s="42">
        <f t="shared" ref="H63" si="36">LamChanHangNgan(H58+H59+H61+H62)</f>
        <v>4158000</v>
      </c>
      <c r="I63" s="42">
        <f t="shared" ref="I63" si="37">LamChanHangNgan(I58+I59+I61+I62)</f>
        <v>5141000</v>
      </c>
    </row>
    <row r="64" spans="1:9" ht="14.25" customHeight="1" x14ac:dyDescent="0.25">
      <c r="C64" t="s">
        <v>330</v>
      </c>
      <c r="E64" s="42">
        <f>LamChanHangNgan(E58+E59+E60+E61+E62)</f>
        <v>1378000</v>
      </c>
      <c r="F64" s="42">
        <f t="shared" ref="F64:I64" si="38">LamChanHangNgan(F58+F59+F60+F61+F62)</f>
        <v>2467000</v>
      </c>
      <c r="G64" s="42">
        <f t="shared" si="38"/>
        <v>3556000</v>
      </c>
      <c r="H64" s="42">
        <f t="shared" si="38"/>
        <v>4645000</v>
      </c>
      <c r="I64" s="42">
        <f t="shared" si="38"/>
        <v>5734000</v>
      </c>
    </row>
    <row r="65" spans="1:9" x14ac:dyDescent="0.25">
      <c r="A65">
        <v>22</v>
      </c>
      <c r="B65">
        <f>$A65*E$24</f>
        <v>220</v>
      </c>
      <c r="C65" t="s">
        <v>332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306</v>
      </c>
      <c r="E66">
        <f>PhiInKM4M_BHR70(E65*$E$16*2)*(1+$D$17)</f>
        <v>626500</v>
      </c>
      <c r="F66">
        <f>PhiInKM4M_BHR70(F65*$E$16*2)*(1+$D$17)</f>
        <v>1165500</v>
      </c>
      <c r="G66">
        <f>PhiInKM4M_BHR70(G65*$E$16*2)*(1+$D$17)</f>
        <v>1704500</v>
      </c>
      <c r="H66">
        <f>PhiInKM4M_BHR70(H65*$E$16*2)*(1+$D$17)</f>
        <v>2243500</v>
      </c>
      <c r="I66">
        <f>PhiInKM4M_BHR70(I65*$E$16*2)*(1+$D$17)</f>
        <v>2782500</v>
      </c>
    </row>
    <row r="67" spans="1:9" x14ac:dyDescent="0.25">
      <c r="C67" t="s">
        <v>333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310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334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359</v>
      </c>
      <c r="E70" s="26">
        <f>PhiLamRuotCuonMP_Tay(E$24, E65/E$24)*(1+$D$17)</f>
        <v>349475</v>
      </c>
      <c r="F70" s="26">
        <f t="shared" ref="F70:I70" si="42">PhiLamRuotCuonMP_Tay(F$24, F65/F$24)*(1+$D$17)</f>
        <v>668850</v>
      </c>
      <c r="G70" s="26">
        <f t="shared" si="42"/>
        <v>988225</v>
      </c>
      <c r="H70" s="26">
        <f t="shared" si="42"/>
        <v>1307600</v>
      </c>
      <c r="I70" s="26">
        <f t="shared" si="42"/>
        <v>1626975</v>
      </c>
    </row>
    <row r="71" spans="1:9" x14ac:dyDescent="0.25">
      <c r="C71" t="s">
        <v>329</v>
      </c>
      <c r="E71" s="42">
        <f>LamChanHangNgan(E66+E67+E69+E70)</f>
        <v>1299000</v>
      </c>
      <c r="F71" s="42">
        <f t="shared" ref="F71" si="43">LamChanHangNgan(F66+F67+F69+F70)</f>
        <v>2372000</v>
      </c>
      <c r="G71" s="42">
        <f t="shared" ref="G71" si="44">LamChanHangNgan(G66+G67+G69+G70)</f>
        <v>3446000</v>
      </c>
      <c r="H71" s="42">
        <f t="shared" ref="H71" si="45">LamChanHangNgan(H66+H67+H69+H70)</f>
        <v>4520000</v>
      </c>
      <c r="I71" s="42">
        <f t="shared" ref="I71" si="46">LamChanHangNgan(I66+I67+I69+I70)</f>
        <v>5593000</v>
      </c>
    </row>
    <row r="72" spans="1:9" x14ac:dyDescent="0.25">
      <c r="C72" t="s">
        <v>330</v>
      </c>
      <c r="E72" s="42">
        <f>LamChanHangNgan(E66+E67+E68+E69+E70)</f>
        <v>1479000</v>
      </c>
      <c r="F72" s="42">
        <f t="shared" ref="F72:I72" si="47">LamChanHangNgan(F66+F67+F68+F69+F70)</f>
        <v>2669000</v>
      </c>
      <c r="G72" s="42">
        <f t="shared" si="47"/>
        <v>3859000</v>
      </c>
      <c r="H72" s="42">
        <f t="shared" si="47"/>
        <v>5049000</v>
      </c>
      <c r="I72" s="42">
        <f t="shared" si="47"/>
        <v>6239000</v>
      </c>
    </row>
    <row r="73" spans="1:9" x14ac:dyDescent="0.25">
      <c r="A73">
        <v>24</v>
      </c>
      <c r="B73">
        <f>$A73*E$24</f>
        <v>240</v>
      </c>
      <c r="C73" t="s">
        <v>332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306</v>
      </c>
      <c r="E74">
        <f>PhiInKM4M_BHR70(E73*$E$16*2)*(1+$D$17)</f>
        <v>675500</v>
      </c>
      <c r="F74">
        <f>PhiInKM4M_BHR70(F73*$E$16*2)*(1+$D$17)</f>
        <v>1263500</v>
      </c>
      <c r="G74">
        <f>PhiInKM4M_BHR70(G73*$E$16*2)*(1+$D$17)</f>
        <v>1851500</v>
      </c>
      <c r="H74">
        <f>PhiInKM4M_BHR70(H73*$E$16*2)*(1+$D$17)</f>
        <v>2439500</v>
      </c>
      <c r="I74">
        <f>PhiInKM4M_BHR70(I73*$E$16*2)*(1+$D$17)</f>
        <v>3027500</v>
      </c>
    </row>
    <row r="75" spans="1:9" x14ac:dyDescent="0.25">
      <c r="C75" t="s">
        <v>333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310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334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359</v>
      </c>
      <c r="E78" s="26">
        <f>PhiLamRuotCuonMP_Tay(E$24, E73/E$24)*(1+$D$17)</f>
        <v>371700</v>
      </c>
      <c r="F78" s="26">
        <f t="shared" ref="F78:I78" si="51">PhiLamRuotCuonMP_Tay(F$24, F73/F$24)*(1+$D$17)</f>
        <v>712950</v>
      </c>
      <c r="G78" s="26">
        <f t="shared" si="51"/>
        <v>1054200</v>
      </c>
      <c r="H78" s="26">
        <f t="shared" si="51"/>
        <v>1395450</v>
      </c>
      <c r="I78" s="26">
        <f t="shared" si="51"/>
        <v>1736700</v>
      </c>
    </row>
    <row r="79" spans="1:9" x14ac:dyDescent="0.25">
      <c r="C79" t="s">
        <v>329</v>
      </c>
      <c r="E79" s="42">
        <f>LamChanHangNgan(E74+E75+E77+E78)</f>
        <v>1390000</v>
      </c>
      <c r="F79" s="42">
        <f t="shared" ref="F79" si="52">LamChanHangNgan(F74+F75+F77+F78)</f>
        <v>2554000</v>
      </c>
      <c r="G79" s="42">
        <f t="shared" ref="G79" si="53">LamChanHangNgan(G74+G75+G77+G78)</f>
        <v>3718000</v>
      </c>
      <c r="H79" s="42">
        <f t="shared" ref="H79" si="54">LamChanHangNgan(H74+H75+H77+H78)</f>
        <v>4882000</v>
      </c>
      <c r="I79" s="42">
        <f t="shared" ref="I79" si="55">LamChanHangNgan(I74+I75+I77+I78)</f>
        <v>6046000</v>
      </c>
    </row>
    <row r="80" spans="1:9" x14ac:dyDescent="0.25">
      <c r="C80" t="s">
        <v>330</v>
      </c>
      <c r="E80" s="42">
        <f>LamChanHangNgan(E74+E75+E76+E77+E78)</f>
        <v>1581000</v>
      </c>
      <c r="F80" s="42">
        <f t="shared" ref="F80:I80" si="56">LamChanHangNgan(F74+F75+F76+F77+F78)</f>
        <v>2872000</v>
      </c>
      <c r="G80" s="42">
        <f t="shared" si="56"/>
        <v>4162000</v>
      </c>
      <c r="H80" s="42">
        <f t="shared" si="56"/>
        <v>5454000</v>
      </c>
      <c r="I80" s="42">
        <f t="shared" si="56"/>
        <v>6745000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361</v>
      </c>
      <c r="B19" t="s">
        <v>152</v>
      </c>
      <c r="C19" t="s">
        <v>145</v>
      </c>
      <c r="D19">
        <v>628</v>
      </c>
      <c r="E19" s="7">
        <f>D19*(1+D17)</f>
        <v>1099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10990</v>
      </c>
      <c r="F27" s="7">
        <f>F$25*$D$19*(1+$D$17)</f>
        <v>21980</v>
      </c>
      <c r="G27" s="7">
        <f t="shared" ref="G27:I27" si="1">G$25*$D$19*(1+$D$17)</f>
        <v>32970</v>
      </c>
      <c r="H27" s="7">
        <f t="shared" si="1"/>
        <v>43960</v>
      </c>
      <c r="I27" s="7">
        <f t="shared" si="1"/>
        <v>54950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197549.93702499999</v>
      </c>
      <c r="F29" s="7">
        <f t="shared" ref="F29:I29" si="2">SUM(F26:F28)</f>
        <v>243886.148625</v>
      </c>
      <c r="G29" s="7">
        <f t="shared" si="2"/>
        <v>289769.41980000003</v>
      </c>
      <c r="H29" s="7">
        <f t="shared" si="2"/>
        <v>336105.63034999999</v>
      </c>
      <c r="I29" s="7">
        <f t="shared" si="2"/>
        <v>381988.90187499998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483699.24242499995</v>
      </c>
      <c r="F32" s="43">
        <f t="shared" ref="F32:I32" si="5">F29+F31</f>
        <v>577018.09287499997</v>
      </c>
      <c r="G32" s="43">
        <f t="shared" si="5"/>
        <v>669884.00307500002</v>
      </c>
      <c r="H32" s="43">
        <f t="shared" si="5"/>
        <v>763202.85247499996</v>
      </c>
      <c r="I32" s="43">
        <f t="shared" si="5"/>
        <v>856068.76284999994</v>
      </c>
    </row>
    <row r="33" spans="3:9" x14ac:dyDescent="0.25">
      <c r="C33" t="s">
        <v>353</v>
      </c>
      <c r="E33" s="32">
        <f>PhiLDPT_VoCuonBatVit(E23) * (1+$D$17)</f>
        <v>22750</v>
      </c>
      <c r="F33" s="32">
        <f t="shared" ref="F33:I33" si="6">PhiLDPT_VoCuonBatVit(F23) * (1+$D$17)</f>
        <v>22750</v>
      </c>
      <c r="G33" s="32">
        <f t="shared" si="6"/>
        <v>22750</v>
      </c>
      <c r="H33" s="32">
        <f t="shared" si="6"/>
        <v>22750</v>
      </c>
      <c r="I33" s="32">
        <f t="shared" si="6"/>
        <v>22750</v>
      </c>
    </row>
    <row r="34" spans="3:9" x14ac:dyDescent="0.25">
      <c r="C34" t="s">
        <v>360</v>
      </c>
      <c r="E34" s="25">
        <f>LamChanHangNgan(E32+E33)</f>
        <v>506000</v>
      </c>
      <c r="F34" s="25">
        <f>LamChanHangNgan(F32+F33)</f>
        <v>599000</v>
      </c>
      <c r="G34" s="25">
        <f>LamChanHangNgan(G32+G33)</f>
        <v>692000</v>
      </c>
      <c r="H34" s="25">
        <f>LamChanHangNgan(H32+H33)</f>
        <v>785000</v>
      </c>
      <c r="I34" s="25">
        <f>LamChanHangNgan(I32+I33)</f>
        <v>878000</v>
      </c>
    </row>
    <row r="36" spans="3:9" x14ac:dyDescent="0.25">
      <c r="D36" t="s">
        <v>356</v>
      </c>
      <c r="E36" s="7">
        <f>LamChanHangNgan(E34/E24)</f>
        <v>50000</v>
      </c>
      <c r="F36" s="7">
        <f>LamChanHangNgan(F34/F24)</f>
        <v>29000</v>
      </c>
      <c r="G36" s="7">
        <f>LamChanHangNgan(G34/G24)</f>
        <v>23000</v>
      </c>
      <c r="H36" s="7">
        <f>LamChanHangNgan(H34/H24)</f>
        <v>19000</v>
      </c>
      <c r="I36" s="7">
        <f>LamChanHangNgan(I34/I24)</f>
        <v>17000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25</vt:i4>
      </vt:variant>
      <vt:variant>
        <vt:lpstr>Phạm vi Có tên</vt:lpstr>
      </vt:variant>
      <vt:variant>
        <vt:i4>8</vt:i4>
      </vt:variant>
    </vt:vector>
  </HeadingPairs>
  <TitlesOfParts>
    <vt:vector size="33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Menu-LX-10x19-v2</vt:lpstr>
      <vt:lpstr>Menu-LX-DongCuon</vt:lpstr>
      <vt:lpstr>Menu-LX-15x19-v2</vt:lpstr>
      <vt:lpstr>Menu-LX-19x30_v2</vt:lpstr>
      <vt:lpstr>Menu-LX-15x34_v2</vt:lpstr>
      <vt:lpstr>Menu-BiaCungVit-Ruot</vt:lpstr>
      <vt:lpstr>Menu-BatVit-Zen-TheoNhuCau</vt:lpstr>
      <vt:lpstr>Menu-BatVit-LamBiaCung-TheoNhuC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2019-09-25T09:29:45Z</dcterms:modified>
</cp:coreProperties>
</file>