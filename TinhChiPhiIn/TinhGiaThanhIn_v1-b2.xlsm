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30CA6B61-03E0-4180-BC5C-80ADE8484E6F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Base-MayIn" sheetId="10" r:id="rId10"/>
    <sheet name="NguyenVatLieu" sheetId="13" r:id="rId11"/>
    <sheet name="Base-Margin" sheetId="15" r:id="rId12"/>
  </sheets>
  <functionGroups builtInGroupCount="19"/>
  <definedNames>
    <definedName name="atools_list_filter_1" localSheetId="1" hidden="1">BaiCMYK!$E$8:$F$9</definedName>
    <definedName name="atools_list_filter_1" localSheetId="7" hidden="1">'Menu-LXo-10x19'!$A$13:$D$13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7" hidden="1">";;;"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7" hidden="1">"1;2;3;4"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7" hidden="1">"92;76;71;80"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7" hidden="1">"='Menu-LXo'!$A$13:$D$13"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7" hidden="1">"0;1;2;3"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7" hidden="1">"1|1|0|0|0|||365|126||0|,||1||0||0|18|185|2.0|1|1|1|0"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7" hidden="1">KHO_CAT_SAN_PHAM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7" hidden="1">"=KHO_CAT_SAN_PHAM"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7" i="46" l="1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1" i="46"/>
  <c r="E41" i="46"/>
  <c r="H41" i="46"/>
  <c r="D16" i="46"/>
  <c r="G41" i="46"/>
  <c r="F41" i="46"/>
  <c r="F42" i="46" l="1"/>
  <c r="G42" i="46"/>
  <c r="O22" i="46"/>
  <c r="S22" i="46"/>
  <c r="P22" i="46"/>
  <c r="H42" i="46"/>
  <c r="E42" i="46"/>
  <c r="I42" i="46"/>
  <c r="N36" i="45"/>
  <c r="M36" i="45"/>
  <c r="L36" i="45"/>
  <c r="K36" i="45"/>
  <c r="N34" i="45"/>
  <c r="M34" i="45"/>
  <c r="L34" i="45"/>
  <c r="K34" i="45"/>
  <c r="N32" i="45"/>
  <c r="M32" i="45"/>
  <c r="L32" i="45"/>
  <c r="K32" i="45"/>
  <c r="N30" i="45"/>
  <c r="M30" i="45"/>
  <c r="L30" i="45"/>
  <c r="K30" i="45"/>
  <c r="N28" i="45"/>
  <c r="M28" i="45"/>
  <c r="L28" i="45"/>
  <c r="K28" i="45"/>
  <c r="N26" i="45"/>
  <c r="M26" i="45"/>
  <c r="L26" i="45"/>
  <c r="K26" i="45"/>
  <c r="J36" i="45"/>
  <c r="J34" i="45"/>
  <c r="J32" i="45"/>
  <c r="J30" i="45"/>
  <c r="J28" i="45"/>
  <c r="J26" i="45"/>
  <c r="N24" i="45"/>
  <c r="M24" i="45"/>
  <c r="L24" i="45"/>
  <c r="K24" i="45"/>
  <c r="J24" i="45"/>
  <c r="E36" i="46"/>
  <c r="G32" i="46"/>
  <c r="K29" i="46"/>
  <c r="F26" i="46"/>
  <c r="L37" i="46"/>
  <c r="K31" i="46"/>
  <c r="N25" i="46"/>
  <c r="H36" i="46"/>
  <c r="L33" i="46"/>
  <c r="N29" i="46"/>
  <c r="I26" i="46"/>
  <c r="G36" i="46"/>
  <c r="K33" i="46"/>
  <c r="F30" i="46"/>
  <c r="J27" i="46"/>
  <c r="E24" i="46"/>
  <c r="E30" i="46"/>
  <c r="F34" i="46"/>
  <c r="E28" i="46"/>
  <c r="G24" i="46"/>
  <c r="L29" i="46"/>
  <c r="I34" i="46"/>
  <c r="H28" i="46"/>
  <c r="H24" i="46"/>
  <c r="E32" i="46"/>
  <c r="K25" i="46"/>
  <c r="M35" i="46"/>
  <c r="M33" i="46"/>
  <c r="L27" i="46"/>
  <c r="H32" i="46"/>
  <c r="F28" i="46"/>
  <c r="J37" i="46"/>
  <c r="G30" i="46"/>
  <c r="F24" i="46"/>
  <c r="H34" i="46"/>
  <c r="I24" i="46"/>
  <c r="G34" i="46"/>
  <c r="L35" i="46"/>
  <c r="N31" i="46"/>
  <c r="I28" i="46"/>
  <c r="M25" i="46"/>
  <c r="F36" i="46"/>
  <c r="I30" i="46"/>
  <c r="K35" i="46"/>
  <c r="F32" i="46"/>
  <c r="J29" i="46"/>
  <c r="E26" i="46"/>
  <c r="J33" i="46"/>
  <c r="N35" i="46"/>
  <c r="I32" i="46"/>
  <c r="M29" i="46"/>
  <c r="H26" i="46"/>
  <c r="M27" i="46"/>
  <c r="K37" i="46"/>
  <c r="J31" i="46"/>
  <c r="N33" i="46"/>
  <c r="N37" i="46"/>
  <c r="M31" i="46"/>
  <c r="L25" i="46"/>
  <c r="J35" i="46"/>
  <c r="G28" i="46"/>
  <c r="G26" i="46"/>
  <c r="I36" i="46"/>
  <c r="S23" i="46"/>
  <c r="E34" i="46"/>
  <c r="L31" i="46"/>
  <c r="H30" i="46"/>
  <c r="K27" i="46"/>
  <c r="M37" i="46"/>
  <c r="N27" i="46"/>
  <c r="J25" i="46"/>
  <c r="J25" i="45"/>
  <c r="K25" i="45"/>
  <c r="L25" i="45"/>
  <c r="M25" i="45"/>
  <c r="N25" i="45"/>
  <c r="J27" i="45"/>
  <c r="K27" i="45"/>
  <c r="L27" i="45"/>
  <c r="M27" i="45"/>
  <c r="N27" i="45"/>
  <c r="J29" i="45"/>
  <c r="K29" i="45"/>
  <c r="L29" i="45"/>
  <c r="M29" i="45"/>
  <c r="N29" i="45"/>
  <c r="J31" i="45"/>
  <c r="K31" i="45"/>
  <c r="L31" i="45"/>
  <c r="M31" i="45"/>
  <c r="N31" i="45"/>
  <c r="J33" i="45"/>
  <c r="K33" i="45"/>
  <c r="L33" i="45"/>
  <c r="M33" i="45"/>
  <c r="N33" i="45"/>
  <c r="J35" i="45"/>
  <c r="K35" i="45"/>
  <c r="L35" i="45"/>
  <c r="M35" i="45"/>
  <c r="N35" i="45"/>
  <c r="M30" i="46" l="1"/>
  <c r="J34" i="46"/>
  <c r="N36" i="46"/>
  <c r="L26" i="46"/>
  <c r="L28" i="46"/>
  <c r="M26" i="46"/>
  <c r="N32" i="46"/>
  <c r="J26" i="46"/>
  <c r="K32" i="46"/>
  <c r="N30" i="46"/>
  <c r="K36" i="46"/>
  <c r="N28" i="46"/>
  <c r="L34" i="46"/>
  <c r="N24" i="46"/>
  <c r="M34" i="46"/>
  <c r="K24" i="46"/>
  <c r="L30" i="46"/>
  <c r="K28" i="46"/>
  <c r="M32" i="46"/>
  <c r="J32" i="46"/>
  <c r="M24" i="46"/>
  <c r="M28" i="46"/>
  <c r="N34" i="46"/>
  <c r="L24" i="46"/>
  <c r="J28" i="46"/>
  <c r="K34" i="46"/>
  <c r="J30" i="46"/>
  <c r="J24" i="46"/>
  <c r="K30" i="46"/>
  <c r="L36" i="46"/>
  <c r="N26" i="46"/>
  <c r="M36" i="46"/>
  <c r="K26" i="46"/>
  <c r="L32" i="46"/>
  <c r="J36" i="46"/>
  <c r="B26" i="45"/>
  <c r="B27" i="45"/>
  <c r="O7" i="10"/>
  <c r="O6" i="10"/>
  <c r="O5" i="10"/>
  <c r="O4" i="10"/>
  <c r="B24" i="45"/>
  <c r="E19" i="45"/>
  <c r="B13" i="38"/>
  <c r="I36" i="45"/>
  <c r="E36" i="45"/>
  <c r="F34" i="45"/>
  <c r="G32" i="45"/>
  <c r="H30" i="45"/>
  <c r="I28" i="45"/>
  <c r="E28" i="45"/>
  <c r="F26" i="45"/>
  <c r="E26" i="45"/>
  <c r="I30" i="45"/>
  <c r="F28" i="45"/>
  <c r="H36" i="45"/>
  <c r="I34" i="45"/>
  <c r="E34" i="45"/>
  <c r="F32" i="45"/>
  <c r="G30" i="45"/>
  <c r="H28" i="45"/>
  <c r="I26" i="45"/>
  <c r="H32" i="45"/>
  <c r="G36" i="45"/>
  <c r="H34" i="45"/>
  <c r="I32" i="45"/>
  <c r="E32" i="45"/>
  <c r="F30" i="45"/>
  <c r="G28" i="45"/>
  <c r="H26" i="45"/>
  <c r="F36" i="45"/>
  <c r="G34" i="45"/>
  <c r="E30" i="45"/>
  <c r="G26" i="45"/>
  <c r="G24" i="45"/>
  <c r="F24" i="45"/>
  <c r="I24" i="45"/>
  <c r="H24" i="45"/>
  <c r="E24" i="45"/>
  <c r="N37" i="45"/>
  <c r="J37" i="45"/>
  <c r="M37" i="45"/>
  <c r="L37" i="45"/>
  <c r="K37" i="45"/>
  <c r="B2" i="11" a="1"/>
  <c r="G8" i="11" a="1"/>
  <c r="I41" i="45"/>
  <c r="F41" i="45"/>
  <c r="H41" i="45"/>
  <c r="G41" i="45"/>
  <c r="E41" i="45"/>
  <c r="D16" i="45"/>
  <c r="S23" i="45"/>
  <c r="B2" i="11" l="1"/>
  <c r="F2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E3" i="11"/>
  <c r="D4" i="11"/>
  <c r="C5" i="11"/>
  <c r="G8" i="11"/>
  <c r="K8" i="11"/>
  <c r="J9" i="11"/>
  <c r="I10" i="11"/>
  <c r="H11" i="11"/>
  <c r="H9" i="11"/>
  <c r="G10" i="11"/>
  <c r="J11" i="11"/>
  <c r="J8" i="11"/>
  <c r="I9" i="11"/>
  <c r="G11" i="11"/>
  <c r="H8" i="11"/>
  <c r="G9" i="11"/>
  <c r="K9" i="11"/>
  <c r="J10" i="11"/>
  <c r="I11" i="11"/>
  <c r="K10" i="11"/>
  <c r="H10" i="11"/>
  <c r="K11" i="11"/>
  <c r="I8" i="11"/>
  <c r="E42" i="45"/>
  <c r="G42" i="45"/>
  <c r="H42" i="45"/>
  <c r="F42" i="45"/>
  <c r="I42" i="45"/>
  <c r="S22" i="45"/>
  <c r="P22" i="45"/>
  <c r="O22" i="45"/>
  <c r="B25" i="45"/>
  <c r="F16" i="17"/>
  <c r="E16" i="17"/>
  <c r="H16" i="17"/>
  <c r="I16" i="17"/>
  <c r="I15" i="17"/>
  <c r="G16" i="17"/>
  <c r="J15" i="17"/>
  <c r="E15" i="17"/>
  <c r="F15" i="17"/>
  <c r="J16" i="17"/>
  <c r="H15" i="17"/>
  <c r="G15" i="17"/>
  <c r="B28" i="45" l="1"/>
  <c r="N14" i="38"/>
  <c r="C16" i="38"/>
  <c r="H17" i="38"/>
  <c r="C14" i="38"/>
  <c r="H22" i="38"/>
  <c r="H15" i="38"/>
  <c r="F20" i="38"/>
  <c r="G14" i="38"/>
  <c r="F17" i="38"/>
  <c r="F13" i="38"/>
  <c r="G21" i="38"/>
  <c r="G24" i="38"/>
  <c r="E25" i="38"/>
  <c r="F18" i="38"/>
  <c r="F22" i="38"/>
  <c r="E18" i="38"/>
  <c r="G23" i="38"/>
  <c r="H13" i="38"/>
  <c r="E24" i="38"/>
  <c r="G17" i="38"/>
  <c r="C13" i="38"/>
  <c r="F15" i="38"/>
  <c r="C25" i="38"/>
  <c r="C23" i="38"/>
  <c r="H18" i="38"/>
  <c r="E17" i="38"/>
  <c r="C22" i="38"/>
  <c r="E22" i="38"/>
  <c r="G22" i="38"/>
  <c r="F19" i="38"/>
  <c r="F23" i="38"/>
  <c r="D21" i="38"/>
  <c r="H16" i="38"/>
  <c r="C21" i="38"/>
  <c r="C18" i="38"/>
  <c r="C17" i="38"/>
  <c r="E19" i="38"/>
  <c r="D17" i="38"/>
  <c r="E13" i="38"/>
  <c r="D14" i="38"/>
  <c r="H25" i="38"/>
  <c r="E16" i="38"/>
  <c r="F16" i="38"/>
  <c r="N13" i="38"/>
  <c r="H20" i="38"/>
  <c r="D15" i="38"/>
  <c r="C20" i="38"/>
  <c r="H14" i="38"/>
  <c r="H24" i="38"/>
  <c r="E20" i="38"/>
  <c r="G20" i="38"/>
  <c r="D24" i="38"/>
  <c r="G16" i="38"/>
  <c r="F21" i="38"/>
  <c r="E15" i="38"/>
  <c r="D20" i="38"/>
  <c r="E23" i="38"/>
  <c r="F14" i="38"/>
  <c r="D18" i="38"/>
  <c r="G13" i="38"/>
  <c r="D16" i="38"/>
  <c r="H19" i="38"/>
  <c r="E21" i="38"/>
  <c r="G19" i="38"/>
  <c r="G15" i="38"/>
  <c r="D25" i="38"/>
  <c r="D19" i="38"/>
  <c r="C15" i="38"/>
  <c r="G18" i="38"/>
  <c r="C19" i="38"/>
  <c r="C24" i="38"/>
  <c r="G25" i="38"/>
  <c r="D13" i="38"/>
  <c r="E14" i="38"/>
  <c r="H23" i="38"/>
  <c r="F25" i="38"/>
  <c r="D23" i="38"/>
  <c r="F24" i="38"/>
  <c r="D22" i="38"/>
  <c r="H21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7"/>
  <c r="H18" i="39"/>
  <c r="F18" i="37"/>
  <c r="C26" i="39"/>
  <c r="F26" i="39"/>
  <c r="H26" i="39"/>
  <c r="G18" i="39"/>
  <c r="G26" i="39"/>
  <c r="F18" i="39"/>
  <c r="D18" i="39"/>
  <c r="G18" i="37"/>
  <c r="C18" i="39"/>
  <c r="D18" i="37"/>
  <c r="D26" i="39"/>
  <c r="E26" i="39"/>
  <c r="C18" i="37"/>
  <c r="E18" i="37"/>
  <c r="E18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D17" i="39"/>
  <c r="C17" i="39"/>
  <c r="C26" i="37"/>
  <c r="G17" i="37"/>
  <c r="H17" i="37"/>
  <c r="F26" i="37"/>
  <c r="G17" i="39"/>
  <c r="H26" i="37"/>
  <c r="E17" i="39"/>
  <c r="H17" i="39"/>
  <c r="E26" i="37"/>
  <c r="G26" i="37"/>
  <c r="D26" i="37"/>
  <c r="F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G34" i="39"/>
  <c r="E34" i="39"/>
  <c r="C17" i="37"/>
  <c r="D17" i="37"/>
  <c r="E17" i="37"/>
  <c r="C34" i="39"/>
  <c r="F17" i="37"/>
  <c r="D34" i="39"/>
  <c r="H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58" i="2"/>
  <c r="B72" i="2"/>
  <c r="B50" i="2"/>
  <c r="B9" i="2"/>
  <c r="B13" i="2"/>
  <c r="B28" i="2"/>
  <c r="B41" i="2"/>
  <c r="B17" i="2"/>
  <c r="B71" i="2"/>
  <c r="B59" i="2"/>
  <c r="B11" i="2"/>
  <c r="B22" i="2"/>
  <c r="B55" i="2"/>
  <c r="B14" i="2"/>
  <c r="B47" i="2"/>
  <c r="B16" i="2"/>
  <c r="B52" i="2"/>
  <c r="B49" i="2"/>
  <c r="B36" i="2"/>
  <c r="B20" i="2"/>
  <c r="B25" i="2"/>
  <c r="B32" i="2"/>
  <c r="B70" i="2"/>
  <c r="B46" i="2"/>
  <c r="B53" i="2"/>
  <c r="B66" i="2"/>
  <c r="B54" i="2"/>
  <c r="B33" i="2"/>
  <c r="B21" i="2"/>
  <c r="B65" i="2"/>
  <c r="B35" i="2"/>
  <c r="B69" i="2"/>
  <c r="B6" i="2"/>
  <c r="B57" i="2"/>
  <c r="B24" i="2"/>
  <c r="B68" i="2"/>
  <c r="B34" i="2"/>
  <c r="B44" i="2"/>
  <c r="B27" i="2"/>
  <c r="B12" i="2"/>
  <c r="B18" i="2"/>
  <c r="B23" i="2"/>
  <c r="B64" i="2"/>
  <c r="B26" i="2"/>
  <c r="B60" i="2"/>
  <c r="B61" i="2"/>
  <c r="B8" i="2"/>
  <c r="B63" i="2"/>
  <c r="B48" i="2"/>
  <c r="B7" i="2"/>
  <c r="B19" i="2"/>
  <c r="B56" i="2"/>
  <c r="B15" i="2"/>
  <c r="B67" i="2"/>
  <c r="B45" i="2"/>
  <c r="B31" i="2"/>
  <c r="B62" i="2"/>
  <c r="B43" i="2"/>
  <c r="B42" i="2"/>
  <c r="B10" i="2"/>
  <c r="B30" i="2"/>
  <c r="B29" i="2"/>
  <c r="B51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<sst xmlns="http://schemas.openxmlformats.org/spreadsheetml/2006/main" count="553" uniqueCount="319">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</sst>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75662.745200000005</v>
      </c>
      <c r="E18" s="32">
        <f t="shared" si="3"/>
        <v>79027.451000000001</v>
      </c>
      <c r="F18" s="32">
        <f t="shared" si="3"/>
        <v>84462.745200000005</v>
      </c>
      <c r="G18" s="32">
        <f t="shared" si="3"/>
        <v>90156.862800000003</v>
      </c>
      <c r="H18" s="32">
        <f t="shared" si="3"/>
        <v>95592.156900000002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285721.53925000003</v>
      </c>
      <c r="D23" s="25">
        <f t="shared" si="7"/>
        <v>335751.63737499999</v>
      </c>
      <c r="E23" s="25">
        <f t="shared" si="7"/>
        <v>486294.87252500001</v>
      </c>
      <c r="F23" s="25">
        <f t="shared" si="7"/>
        <v>736898.30410000007</v>
      </c>
      <c r="G23" s="25">
        <f t="shared" si="7"/>
        <v>987954.67645000003</v>
      </c>
      <c r="H23" s="25">
        <f t="shared" si="7"/>
        <v>1238558.10785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75921.568700000003</v>
      </c>
      <c r="E18" s="32">
        <f t="shared" si="3"/>
        <v>79545.098100000003</v>
      </c>
      <c r="F18" s="32">
        <f t="shared" si="3"/>
        <v>85498.039300000004</v>
      </c>
      <c r="G18" s="32">
        <f t="shared" si="3"/>
        <v>91709.804000000004</v>
      </c>
      <c r="H18" s="32">
        <f t="shared" si="3"/>
        <v>97662.745200000005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20</v>
      </c>
      <c r="P22">
        <f>$A24*E$23/$D$16*$E$16*2</f>
        <v>80</v>
      </c>
      <c r="R22" t="s">
        <v>311</v>
      </c>
      <c r="S22">
        <f>$A24*E23/$D$16*2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78250.980500000005</v>
      </c>
    </row>
    <row r="24" spans="1:20" x14ac:dyDescent="0.25">
      <c r="A24" s="2">
        <v>12</v>
      </c>
      <c r="B24">
        <f>$A24*E$23</f>
        <v>120</v>
      </c>
      <c r="D24" t="s">
        <v>303</v>
      </c>
      <c r="E24" s="7">
        <f>LamChanHangNgan(PhiInKM4M_BHR70($A24*E$23/$D$16*$E$16*2)*(1+$D$17))</f>
        <v>185000</v>
      </c>
      <c r="F24" s="7">
        <f>LamChanHangNgan(PhiInKM4M_BHR70($A24*F$23/$D$16*$E$16*2)*(1+$D$17))</f>
        <v>283000</v>
      </c>
      <c r="G24" s="7">
        <f>LamChanHangNgan(PhiInKM4M_BHR70($A24*G$23/$D$16*$E$16*2)*(1+$D$17))</f>
        <v>381000</v>
      </c>
      <c r="H24" s="7">
        <f>LamChanHangNgan(PhiInKM4M_BHR70($A24*H$23/$D$16*$E$16*2)*(1+$D$17))</f>
        <v>479000</v>
      </c>
      <c r="I24" s="7">
        <f>LamChanHangNgan(PhiInKM4M_BHR70($A24*I$23/$D$16*$E$16*2)*(1+$D$17))</f>
        <v>577000</v>
      </c>
      <c r="J24" s="7">
        <f>E24</f>
        <v>185000</v>
      </c>
      <c r="K24" s="7">
        <f t="shared" ref="K24:N24" si="0">F24</f>
        <v>283000</v>
      </c>
      <c r="L24" s="7">
        <f t="shared" si="0"/>
        <v>381000</v>
      </c>
      <c r="M24" s="7">
        <f t="shared" si="0"/>
        <v>479000</v>
      </c>
      <c r="N24" s="7">
        <f t="shared" si="0"/>
        <v>577000</v>
      </c>
      <c r="R24" s="7"/>
    </row>
    <row r="25" spans="1:20" x14ac:dyDescent="0.25">
      <c r="A25" s="38">
        <v>12</v>
      </c>
      <c r="B25" s="39">
        <f>$A25*E$23</f>
        <v>120</v>
      </c>
      <c r="C25" s="39"/>
      <c r="D25" s="39" t="s">
        <v>304</v>
      </c>
      <c r="J25" s="40">
        <f>LamChanHangNgan((PhiInKM4M_BHR70($A25*E$23/$D$16*$E$16*2)+PhiMayCanMang($A25*E$23/$D$16*2, $C$15/100,$D$15/100))*(1+$D$17))</f>
        <v>322000</v>
      </c>
      <c r="K25" s="40">
        <f>LamChanHangNgan((PhiInKM4M_BHR70($A25*F$23/$D$16*$E$16*2)+PhiMayCanMang($A25*F$23/$D$16*2, $C$15/100,$D$15/100))*(1+$D$17))</f>
        <v>429000</v>
      </c>
      <c r="L25" s="40">
        <f>LamChanHangNgan((PhiInKM4M_BHR70($A25*G$23/$D$16*$E$16*2)+PhiMayCanMang($A25*G$23/$D$16*2, $C$15/100,$D$15/100))*(1+$D$17))</f>
        <v>535000</v>
      </c>
      <c r="M25" s="40">
        <f>LamChanHangNgan((PhiInKM4M_BHR70($A25*H$23/$D$16*$E$16*2)+PhiMayCanMang($A25*H$23/$D$16*2, $C$15/100,$D$15/100))*(1+$D$17))</f>
        <v>641000</v>
      </c>
      <c r="N25" s="40">
        <f>LamChanHangNgan((PhiInKM4M_BHR70($A25*I$23/$D$16*$E$16*2)+PhiMayCanMang($A25*I$23/$D$16*2, $C$15/100,$D$15/100))*(1+$D$17))</f>
        <v>748000</v>
      </c>
    </row>
    <row r="26" spans="1:20" x14ac:dyDescent="0.25">
      <c r="A26" s="2">
        <v>14</v>
      </c>
      <c r="B26">
        <f>$A26*E$23</f>
        <v>140</v>
      </c>
      <c r="D26" t="s">
        <v>303</v>
      </c>
      <c r="E26" s="7">
        <f>LamChanHangNgan(PhiInKM4M_BHR70($A26*E$23/$D$16*$E$16*2)*(1+$D$17))</f>
        <v>201000</v>
      </c>
      <c r="F26" s="7">
        <f>LamChanHangNgan(PhiInKM4M_BHR70($A26*F$23/$D$16*$E$16*2)*(1+$D$17))</f>
        <v>316000</v>
      </c>
      <c r="G26" s="7">
        <f>LamChanHangNgan(PhiInKM4M_BHR70($A26*G$23/$D$16*$E$16*2)*(1+$D$17))</f>
        <v>430000</v>
      </c>
      <c r="H26" s="7">
        <f>LamChanHangNgan(PhiInKM4M_BHR70($A26*H$23/$D$16*$E$16*2)*(1+$D$17))</f>
        <v>544000</v>
      </c>
      <c r="I26" s="7">
        <f>LamChanHangNgan(PhiInKM4M_BHR70($A26*I$23/$D$16*$E$16*2)*(1+$D$17))</f>
        <v>659000</v>
      </c>
      <c r="J26" s="7">
        <f>E26</f>
        <v>201000</v>
      </c>
      <c r="K26" s="7">
        <f t="shared" ref="K26:N26" si="1">F26</f>
        <v>316000</v>
      </c>
      <c r="L26" s="7">
        <f t="shared" si="1"/>
        <v>430000</v>
      </c>
      <c r="M26" s="7">
        <f t="shared" si="1"/>
        <v>544000</v>
      </c>
      <c r="N26" s="7">
        <f t="shared" si="1"/>
        <v>659000</v>
      </c>
    </row>
    <row r="27" spans="1:20" x14ac:dyDescent="0.25">
      <c r="A27" s="38">
        <v>14</v>
      </c>
      <c r="B27" s="39">
        <f>$A27*E$23</f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LamChanHangNgan((PhiInKM4M_BHR70($A27*E$23/$D$16*$E$16*2)+PhiMayCanMang($A27*E$23/$D$16*2, $C$15/100,$D$15/100))*(1+$D$17))</f>
        <v>339000</v>
      </c>
      <c r="K27" s="40">
        <f>LamChanHangNgan((PhiInKM4M_BHR70($A27*F$23/$D$16*$E$16*2)+PhiMayCanMang($A27*F$23/$D$16*2, $C$15/100,$D$15/100))*(1+$D$17))</f>
        <v>464000</v>
      </c>
      <c r="L27" s="40">
        <f>LamChanHangNgan((PhiInKM4M_BHR70($A27*G$23/$D$16*$E$16*2)+PhiMayCanMang($A27*G$23/$D$16*2, $C$15/100,$D$15/100))*(1+$D$17))</f>
        <v>588000</v>
      </c>
      <c r="M27" s="40">
        <f>LamChanHangNgan((PhiInKM4M_BHR70($A27*H$23/$D$16*$E$16*2)+PhiMayCanMang($A27*H$23/$D$16*2, $C$15/100,$D$15/100))*(1+$D$17))</f>
        <v>712000</v>
      </c>
      <c r="N27" s="40">
        <f>LamChanHangNgan((PhiInKM4M_BHR70($A27*I$23/$D$16*$E$16*2)+PhiMayCanMang($A27*I$23/$D$16*2, $C$15/100,$D$15/100))*(1+$D$17))</f>
        <v>837000</v>
      </c>
    </row>
    <row r="28" spans="1:20" x14ac:dyDescent="0.25">
      <c r="A28" s="2">
        <v>16</v>
      </c>
      <c r="B28">
        <f>$A28*E$23</f>
        <v>160</v>
      </c>
      <c r="D28" t="s">
        <v>303</v>
      </c>
      <c r="E28" s="7">
        <f>LamChanHangNgan(PhiInKM4M_BHR70($A28*E$23/$D$16*$E$16*2)*(1+$D$17))</f>
        <v>218000</v>
      </c>
      <c r="F28" s="7">
        <f>LamChanHangNgan(PhiInKM4M_BHR70($A28*F$23/$D$16*$E$16*2)*(1+$D$17))</f>
        <v>348000</v>
      </c>
      <c r="G28" s="7">
        <f>LamChanHangNgan(PhiInKM4M_BHR70($A28*G$23/$D$16*$E$16*2)*(1+$D$17))</f>
        <v>479000</v>
      </c>
      <c r="H28" s="7">
        <f>LamChanHangNgan(PhiInKM4M_BHR70($A28*H$23/$D$16*$E$16*2)*(1+$D$17))</f>
        <v>610000</v>
      </c>
      <c r="I28" s="7">
        <f>LamChanHangNgan(PhiInKM4M_BHR70($A28*I$23/$D$16*$E$16*2)*(1+$D$17))</f>
        <v>740000</v>
      </c>
      <c r="J28" s="7">
        <f>E28</f>
        <v>218000</v>
      </c>
      <c r="K28" s="7">
        <f t="shared" ref="K28:N28" si="2">F28</f>
        <v>348000</v>
      </c>
      <c r="L28" s="7">
        <f t="shared" si="2"/>
        <v>479000</v>
      </c>
      <c r="M28" s="7">
        <f t="shared" si="2"/>
        <v>610000</v>
      </c>
      <c r="N28" s="7">
        <f t="shared" si="2"/>
        <v>740000</v>
      </c>
    </row>
    <row r="29" spans="1:20" x14ac:dyDescent="0.25">
      <c r="A29" s="38">
        <v>16</v>
      </c>
      <c r="B29" s="39">
        <f>$A29*E$23</f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LamChanHangNgan((PhiInKM4M_BHR70($A29*E$23/$D$16*$E$16*2)+PhiMayCanMang($A29*E$23/$D$16*2, $C$15/100,$D$15/100))*(1+$D$17))</f>
        <v>358000</v>
      </c>
      <c r="K29" s="40">
        <f>LamChanHangNgan((PhiInKM4M_BHR70($A29*F$23/$D$16*$E$16*2)+PhiMayCanMang($A29*F$23/$D$16*2, $C$15/100,$D$15/100))*(1+$D$17))</f>
        <v>499000</v>
      </c>
      <c r="L29" s="40">
        <f>LamChanHangNgan((PhiInKM4M_BHR70($A29*G$23/$D$16*$E$16*2)+PhiMayCanMang($A29*G$23/$D$16*2, $C$15/100,$D$15/100))*(1+$D$17))</f>
        <v>641000</v>
      </c>
      <c r="M29" s="40">
        <f>LamChanHangNgan((PhiInKM4M_BHR70($A29*H$23/$D$16*$E$16*2)+PhiMayCanMang($A29*H$23/$D$16*2, $C$15/100,$D$15/100))*(1+$D$17))</f>
        <v>784000</v>
      </c>
      <c r="N29" s="40">
        <f>LamChanHangNgan((PhiInKM4M_BHR70($A29*I$23/$D$16*$E$16*2)+PhiMayCanMang($A29*I$23/$D$16*2, $C$15/100,$D$15/100))*(1+$D$17))</f>
        <v>925000</v>
      </c>
    </row>
    <row r="30" spans="1:20" x14ac:dyDescent="0.25">
      <c r="A30" s="2">
        <v>18</v>
      </c>
      <c r="B30">
        <f>$A30*E$23</f>
        <v>180</v>
      </c>
      <c r="D30" t="s">
        <v>303</v>
      </c>
      <c r="E30" s="7">
        <f>LamChanHangNgan(PhiInKM4M_BHR70($A30*E$23/$D$16*$E$16*2)*(1+$D$17))</f>
        <v>234000</v>
      </c>
      <c r="F30" s="7">
        <f>LamChanHangNgan(PhiInKM4M_BHR70($A30*F$23/$D$16*$E$16*2)*(1+$D$17))</f>
        <v>381000</v>
      </c>
      <c r="G30" s="7">
        <f>LamChanHangNgan(PhiInKM4M_BHR70($A30*G$23/$D$16*$E$16*2)*(1+$D$17))</f>
        <v>528000</v>
      </c>
      <c r="H30" s="7">
        <f>LamChanHangNgan(PhiInKM4M_BHR70($A30*H$23/$D$16*$E$16*2)*(1+$D$17))</f>
        <v>675000</v>
      </c>
      <c r="I30" s="7">
        <f>LamChanHangNgan(PhiInKM4M_BHR70($A30*I$23/$D$16*$E$16*2)*(1+$D$17))</f>
        <v>822000</v>
      </c>
      <c r="J30" s="7">
        <f>E30</f>
        <v>234000</v>
      </c>
      <c r="K30" s="7">
        <f t="shared" ref="K30:N30" si="3">F30</f>
        <v>381000</v>
      </c>
      <c r="L30" s="7">
        <f t="shared" si="3"/>
        <v>528000</v>
      </c>
      <c r="M30" s="7">
        <f t="shared" si="3"/>
        <v>675000</v>
      </c>
      <c r="N30" s="7">
        <f t="shared" si="3"/>
        <v>822000</v>
      </c>
    </row>
    <row r="31" spans="1:20" x14ac:dyDescent="0.25">
      <c r="A31" s="38">
        <v>18</v>
      </c>
      <c r="B31" s="39">
        <f>$A31*E$23</f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LamChanHangNgan((PhiInKM4M_BHR70($A31*E$23/$D$16*$E$16*2)+PhiMayCanMang($A31*E$23/$D$16*2, $C$15/100,$D$15/100))*(1+$D$17))</f>
        <v>375000</v>
      </c>
      <c r="K31" s="40">
        <f>LamChanHangNgan((PhiInKM4M_BHR70($A31*F$23/$D$16*$E$16*2)+PhiMayCanMang($A31*F$23/$D$16*2, $C$15/100,$D$15/100))*(1+$D$17))</f>
        <v>535000</v>
      </c>
      <c r="L31" s="40">
        <f>LamChanHangNgan((PhiInKM4M_BHR70($A31*G$23/$D$16*$E$16*2)+PhiMayCanMang($A31*G$23/$D$16*2, $C$15/100,$D$15/100))*(1+$D$17))</f>
        <v>695000</v>
      </c>
      <c r="M31" s="40">
        <f>LamChanHangNgan((PhiInKM4M_BHR70($A31*H$23/$D$16*$E$16*2)+PhiMayCanMang($A31*H$23/$D$16*2, $C$15/100,$D$15/100))*(1+$D$17))</f>
        <v>855000</v>
      </c>
      <c r="N31" s="40">
        <f>LamChanHangNgan((PhiInKM4M_BHR70($A31*I$23/$D$16*$E$16*2)+PhiMayCanMang($A31*I$23/$D$16*2, $C$15/100,$D$15/100))*(1+$D$17))</f>
        <v>1014000</v>
      </c>
    </row>
    <row r="32" spans="1:20" x14ac:dyDescent="0.25">
      <c r="A32" s="2">
        <v>20</v>
      </c>
      <c r="B32">
        <f>$A32*E$23</f>
        <v>200</v>
      </c>
      <c r="D32" t="s">
        <v>303</v>
      </c>
      <c r="E32" s="7">
        <f>LamChanHangNgan(PhiInKM4M_BHR70($A32*E$23/$D$16*$E$16*2)*(1+$D$17))</f>
        <v>250000</v>
      </c>
      <c r="F32" s="7">
        <f>LamChanHangNgan(PhiInKM4M_BHR70($A32*F$23/$D$16*$E$16*2)*(1+$D$17))</f>
        <v>414000</v>
      </c>
      <c r="G32" s="7">
        <f>LamChanHangNgan(PhiInKM4M_BHR70($A32*G$23/$D$16*$E$16*2)*(1+$D$17))</f>
        <v>577000</v>
      </c>
      <c r="H32" s="7">
        <f>LamChanHangNgan(PhiInKM4M_BHR70($A32*H$23/$D$16*$E$16*2)*(1+$D$17))</f>
        <v>740000</v>
      </c>
      <c r="I32" s="7">
        <f>LamChanHangNgan(PhiInKM4M_BHR70($A32*I$23/$D$16*$E$16*2)*(1+$D$17))</f>
        <v>904000</v>
      </c>
      <c r="J32" s="7">
        <f>E32</f>
        <v>250000</v>
      </c>
      <c r="K32" s="7">
        <f t="shared" ref="K32:N32" si="4">F32</f>
        <v>414000</v>
      </c>
      <c r="L32" s="7">
        <f t="shared" si="4"/>
        <v>577000</v>
      </c>
      <c r="M32" s="7">
        <f t="shared" si="4"/>
        <v>740000</v>
      </c>
      <c r="N32" s="7">
        <f t="shared" si="4"/>
        <v>904000</v>
      </c>
    </row>
    <row r="33" spans="1:14" x14ac:dyDescent="0.25">
      <c r="A33" s="38">
        <v>20</v>
      </c>
      <c r="B33" s="39">
        <f>$A33*E$23</f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LamChanHangNgan((PhiInKM4M_BHR70($A33*E$23/$D$16*$E$16*2)+PhiMayCanMang($A33*E$23/$D$16*2, $C$15/100,$D$15/100))*(1+$D$17))</f>
        <v>392000</v>
      </c>
      <c r="K33" s="40">
        <f>LamChanHangNgan((PhiInKM4M_BHR70($A33*F$23/$D$16*$E$16*2)+PhiMayCanMang($A33*F$23/$D$16*2, $C$15/100,$D$15/100))*(1+$D$17))</f>
        <v>571000</v>
      </c>
      <c r="L33" s="40">
        <f>LamChanHangNgan((PhiInKM4M_BHR70($A33*G$23/$D$16*$E$16*2)+PhiMayCanMang($A33*G$23/$D$16*2, $C$15/100,$D$15/100))*(1+$D$17))</f>
        <v>748000</v>
      </c>
      <c r="M33" s="40">
        <f>LamChanHangNgan((PhiInKM4M_BHR70($A33*H$23/$D$16*$E$16*2)+PhiMayCanMang($A33*H$23/$D$16*2, $C$15/100,$D$15/100))*(1+$D$17))</f>
        <v>925000</v>
      </c>
      <c r="N33" s="40">
        <f>LamChanHangNgan((PhiInKM4M_BHR70($A33*I$23/$D$16*$E$16*2)+PhiMayCanMang($A33*I$23/$D$16*2, $C$15/100,$D$15/100))*(1+$D$17))</f>
        <v>1104000</v>
      </c>
    </row>
    <row r="34" spans="1:14" x14ac:dyDescent="0.25">
      <c r="A34" s="2">
        <v>22</v>
      </c>
      <c r="B34">
        <f>$A34*E$23</f>
        <v>220</v>
      </c>
      <c r="D34" t="s">
        <v>303</v>
      </c>
      <c r="E34" s="7">
        <f>LamChanHangNgan(PhiInKM4M_BHR70($A34*E$23/$D$16*$E$16*2)*(1+$D$17))</f>
        <v>267000</v>
      </c>
      <c r="F34" s="7">
        <f>LamChanHangNgan(PhiInKM4M_BHR70($A34*F$23/$D$16*$E$16*2)*(1+$D$17))</f>
        <v>446000</v>
      </c>
      <c r="G34" s="7">
        <f>LamChanHangNgan(PhiInKM4M_BHR70($A34*G$23/$D$16*$E$16*2)*(1+$D$17))</f>
        <v>626000</v>
      </c>
      <c r="H34" s="7">
        <f>LamChanHangNgan(PhiInKM4M_BHR70($A34*H$23/$D$16*$E$16*2)*(1+$D$17))</f>
        <v>806000</v>
      </c>
      <c r="I34" s="7">
        <f>LamChanHangNgan(PhiInKM4M_BHR70($A34*I$23/$D$16*$E$16*2)*(1+$D$17))</f>
        <v>985000</v>
      </c>
      <c r="J34" s="7">
        <f>E34</f>
        <v>267000</v>
      </c>
      <c r="K34" s="7">
        <f t="shared" ref="K34:N34" si="5">F34</f>
        <v>446000</v>
      </c>
      <c r="L34" s="7">
        <f t="shared" si="5"/>
        <v>626000</v>
      </c>
      <c r="M34" s="7">
        <f t="shared" si="5"/>
        <v>806000</v>
      </c>
      <c r="N34" s="7">
        <f t="shared" si="5"/>
        <v>985000</v>
      </c>
    </row>
    <row r="35" spans="1:14" x14ac:dyDescent="0.25">
      <c r="A35" s="38">
        <v>22</v>
      </c>
      <c r="B35" s="39">
        <f>$A35*E$23</f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LamChanHangNgan((PhiInKM4M_BHR70($A35*E$23/$D$16*$E$16*2)+PhiMayCanMang($A35*E$23/$D$16*2, $C$15/100,$D$15/100))*(1+$D$17))</f>
        <v>411000</v>
      </c>
      <c r="K35" s="40">
        <f>LamChanHangNgan((PhiInKM4M_BHR70($A35*F$23/$D$16*$E$16*2)+PhiMayCanMang($A35*F$23/$D$16*2, $C$15/100,$D$15/100))*(1+$D$17))</f>
        <v>606000</v>
      </c>
      <c r="L35" s="40">
        <f>LamChanHangNgan((PhiInKM4M_BHR70($A35*G$23/$D$16*$E$16*2)+PhiMayCanMang($A35*G$23/$D$16*2, $C$15/100,$D$15/100))*(1+$D$17))</f>
        <v>801000</v>
      </c>
      <c r="M35" s="40">
        <f>LamChanHangNgan((PhiInKM4M_BHR70($A35*H$23/$D$16*$E$16*2)+PhiMayCanMang($A35*H$23/$D$16*2, $C$15/100,$D$15/100))*(1+$D$17))</f>
        <v>997000</v>
      </c>
      <c r="N35" s="40">
        <f>LamChanHangNgan((PhiInKM4M_BHR70($A35*I$23/$D$16*$E$16*2)+PhiMayCanMang($A35*I$23/$D$16*2, $C$15/100,$D$15/100))*(1+$D$17))</f>
        <v>1191000</v>
      </c>
    </row>
    <row r="36" spans="1:14" x14ac:dyDescent="0.25">
      <c r="A36" s="2">
        <v>24</v>
      </c>
      <c r="B36">
        <f>$A36*E$23</f>
        <v>240</v>
      </c>
      <c r="D36" t="s">
        <v>303</v>
      </c>
      <c r="E36" s="7">
        <f>LamChanHangNgan(PhiInKM4M_BHR70($A36*E$23/$D$16*$E$16*2)*(1+$D$17))</f>
        <v>283000</v>
      </c>
      <c r="F36" s="7">
        <f>LamChanHangNgan(PhiInKM4M_BHR70($A36*F$23/$D$16*$E$16*2)*(1+$D$17))</f>
        <v>479000</v>
      </c>
      <c r="G36" s="7">
        <f>LamChanHangNgan(PhiInKM4M_BHR70($A36*G$23/$D$16*$E$16*2)*(1+$D$17))</f>
        <v>675000</v>
      </c>
      <c r="H36" s="7">
        <f>LamChanHangNgan(PhiInKM4M_BHR70($A36*H$23/$D$16*$E$16*2)*(1+$D$17))</f>
        <v>871000</v>
      </c>
      <c r="I36" s="7">
        <f>LamChanHangNgan(PhiInKM4M_BHR70($A36*I$23/$D$16*$E$16*2)*(1+$D$17))</f>
        <v>1067000</v>
      </c>
      <c r="J36" s="7">
        <f>E36</f>
        <v>283000</v>
      </c>
      <c r="K36" s="7">
        <f t="shared" ref="K36:N36" si="6">F36</f>
        <v>479000</v>
      </c>
      <c r="L36" s="7">
        <f t="shared" si="6"/>
        <v>675000</v>
      </c>
      <c r="M36" s="7">
        <f t="shared" si="6"/>
        <v>871000</v>
      </c>
      <c r="N36" s="7">
        <f t="shared" si="6"/>
        <v>1067000</v>
      </c>
    </row>
    <row r="37" spans="1:14" x14ac:dyDescent="0.25">
      <c r="A37" s="38">
        <v>24</v>
      </c>
      <c r="B37" s="39">
        <f>$A37*E$23</f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LamChanHangNgan((PhiInKM4M_BHR70($A37*E$23/$D$16*$E$16*2)+PhiMayCanMang($A37*E$23/$D$16*2, $C$15/100,$D$15/100))*(1+$D$17))</f>
        <v>429000</v>
      </c>
      <c r="K37" s="40">
        <f>LamChanHangNgan((PhiInKM4M_BHR70($A37*F$23/$D$16*$E$16*2)+PhiMayCanMang($A37*F$23/$D$16*2, $C$15/100,$D$15/100))*(1+$D$17))</f>
        <v>641000</v>
      </c>
      <c r="L37" s="40">
        <f>LamChanHangNgan((PhiInKM4M_BHR70($A37*G$23/$D$16*$E$16*2)+PhiMayCanMang($A37*G$23/$D$16*2, $C$15/100,$D$15/100))*(1+$D$17))</f>
        <v>855000</v>
      </c>
      <c r="M37" s="40">
        <f>LamChanHangNgan((PhiInKM4M_BHR70($A37*H$23/$D$16*$E$16*2)+PhiMayCanMang($A37*H$23/$D$16*2, $C$15/100,$D$15/100))*(1+$D$17))</f>
        <v>1067000</v>
      </c>
      <c r="N37" s="40">
        <f>LamChanHangNgan((PhiInKM4M_BHR70($A37*I$23/$D$16*$E$16*2)+PhiMayCanMang($A37*I$23/$D$16*2, $C$15/100,$D$15/100))*(1+$D$17))</f>
        <v>1280000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7">PhiLDPT_XepDotVoCuonLX(F$23)+$B$41*$C$13/100</f>
        <v>17028.888899999998</v>
      </c>
      <c r="G41" s="7">
        <f t="shared" si="7"/>
        <v>18473.333500000001</v>
      </c>
      <c r="H41" s="7">
        <f t="shared" si="7"/>
        <v>19917.7778</v>
      </c>
      <c r="I41" s="7">
        <f t="shared" si="7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8">F$41*(1+$D$17)</f>
        <v>29800.555574999998</v>
      </c>
      <c r="G42" s="7">
        <f t="shared" si="8"/>
        <v>32328.333624999999</v>
      </c>
      <c r="H42" s="7">
        <f t="shared" si="8"/>
        <v>34856.111149999997</v>
      </c>
      <c r="I42" s="7">
        <f t="shared" si="8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dimension ref="A1:T65"/>
  <sheetViews>
    <sheetView tabSelected="1" topLeftCell="A13" workbookViewId="0">
      <selection activeCell="J24" sqref="J24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80580.392200000002</v>
      </c>
    </row>
    <row r="24" spans="1:20" x14ac:dyDescent="0.25">
      <c r="A24" s="2">
        <v>12</v>
      </c>
      <c r="B24">
        <f>$A24*E$23</f>
        <v>120</v>
      </c>
      <c r="D24" t="s">
        <v>303</v>
      </c>
      <c r="E24" s="7">
        <f>LamChanHangNgan(PhiInKM4M_BHR70($A24*E$23/$D$16*$E$16*2)*(1+$D$17))</f>
        <v>234000</v>
      </c>
      <c r="F24" s="7">
        <f>LamChanHangNgan(PhiInKM4M_BHR70($A24*F$23/$D$16*$E$16*2)*(1+$D$17))</f>
        <v>381000</v>
      </c>
      <c r="G24" s="7">
        <f>LamChanHangNgan(PhiInKM4M_BHR70($A24*G$23/$D$16*$E$16*2)*(1+$D$17))</f>
        <v>528000</v>
      </c>
      <c r="H24" s="7">
        <f>LamChanHangNgan(PhiInKM4M_BHR70($A24*H$23/$D$16*$E$16*2)*(1+$D$17))</f>
        <v>675000</v>
      </c>
      <c r="I24" s="7">
        <f>LamChanHangNgan(PhiInKM4M_BHR70($A24*I$23/$D$16*$E$16*2)*(1+$D$17))</f>
        <v>822000</v>
      </c>
      <c r="J24" s="7">
        <f>E24</f>
        <v>234000</v>
      </c>
      <c r="K24" s="7">
        <f t="shared" ref="K24:N24" si="0">F24</f>
        <v>381000</v>
      </c>
      <c r="L24" s="7">
        <f t="shared" si="0"/>
        <v>528000</v>
      </c>
      <c r="M24" s="7">
        <f t="shared" si="0"/>
        <v>675000</v>
      </c>
      <c r="N24" s="7">
        <f t="shared" si="0"/>
        <v>822000</v>
      </c>
      <c r="R24" s="7"/>
    </row>
    <row r="25" spans="1:20" x14ac:dyDescent="0.25">
      <c r="A25" s="38">
        <v>12</v>
      </c>
      <c r="B25" s="39">
        <f>$A25*E$23</f>
        <v>120</v>
      </c>
      <c r="C25" s="39"/>
      <c r="D25" s="39" t="s">
        <v>304</v>
      </c>
      <c r="J25" s="40">
        <f>LamChanHangNgan((PhiInKM4M_BHR70($A25*E$23/$D$16*$E$16*2)+PhiMayCanMang($A25*E$23/$D$16*2, $C$15/100,$D$15/100))*(1+$D$17))</f>
        <v>375000</v>
      </c>
      <c r="K25" s="40">
        <f>LamChanHangNgan((PhiInKM4M_BHR70($A25*F$23/$D$16*$E$16*2)+PhiMayCanMang($A25*F$23/$D$16*2, $C$15/100,$D$15/100))*(1+$D$17))</f>
        <v>535000</v>
      </c>
      <c r="L25" s="40">
        <f>LamChanHangNgan((PhiInKM4M_BHR70($A25*G$23/$D$16*$E$16*2)+PhiMayCanMang($A25*G$23/$D$16*2, $C$15/100,$D$15/100))*(1+$D$17))</f>
        <v>695000</v>
      </c>
      <c r="M25" s="40">
        <f>LamChanHangNgan((PhiInKM4M_BHR70($A25*H$23/$D$16*$E$16*2)+PhiMayCanMang($A25*H$23/$D$16*2, $C$15/100,$D$15/100))*(1+$D$17))</f>
        <v>855000</v>
      </c>
      <c r="N25" s="40">
        <f>LamChanHangNgan((PhiInKM4M_BHR70($A25*I$23/$D$16*$E$16*2)+PhiMayCanMang($A25*I$23/$D$16*2, $C$15/100,$D$15/100))*(1+$D$17))</f>
        <v>1014000</v>
      </c>
    </row>
    <row r="26" spans="1:20" x14ac:dyDescent="0.25">
      <c r="A26" s="2">
        <v>14</v>
      </c>
      <c r="B26">
        <f>$A26*E$23</f>
        <v>140</v>
      </c>
      <c r="D26" t="s">
        <v>303</v>
      </c>
      <c r="E26" s="7">
        <f>LamChanHangNgan(PhiInKM4M_BHR70($A26*E$23/$D$16*$E$16*2)*(1+$D$17))</f>
        <v>259000</v>
      </c>
      <c r="F26" s="7">
        <f>LamChanHangNgan(PhiInKM4M_BHR70($A26*F$23/$D$16*$E$16*2)*(1+$D$17))</f>
        <v>430000</v>
      </c>
      <c r="G26" s="7">
        <f>LamChanHangNgan(PhiInKM4M_BHR70($A26*G$23/$D$16*$E$16*2)*(1+$D$17))</f>
        <v>602000</v>
      </c>
      <c r="H26" s="7">
        <f>LamChanHangNgan(PhiInKM4M_BHR70($A26*H$23/$D$16*$E$16*2)*(1+$D$17))</f>
        <v>773000</v>
      </c>
      <c r="I26" s="7">
        <f>LamChanHangNgan(PhiInKM4M_BHR70($A26*I$23/$D$16*$E$16*2)*(1+$D$17))</f>
        <v>945000</v>
      </c>
      <c r="J26" s="7">
        <f>E26</f>
        <v>259000</v>
      </c>
      <c r="K26" s="7">
        <f t="shared" ref="K26:N26" si="1">F26</f>
        <v>430000</v>
      </c>
      <c r="L26" s="7">
        <f t="shared" si="1"/>
        <v>602000</v>
      </c>
      <c r="M26" s="7">
        <f t="shared" si="1"/>
        <v>773000</v>
      </c>
      <c r="N26" s="7">
        <f t="shared" si="1"/>
        <v>945000</v>
      </c>
    </row>
    <row r="27" spans="1:20" x14ac:dyDescent="0.25">
      <c r="A27" s="38">
        <v>14</v>
      </c>
      <c r="B27" s="39">
        <f>$A27*E$23</f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LamChanHangNgan((PhiInKM4M_BHR70($A27*E$23/$D$16*$E$16*2)+PhiMayCanMang($A27*E$23/$D$16*2, $C$15/100,$D$15/100))*(1+$D$17))</f>
        <v>402000</v>
      </c>
      <c r="K27" s="40">
        <f>LamChanHangNgan((PhiInKM4M_BHR70($A27*F$23/$D$16*$E$16*2)+PhiMayCanMang($A27*F$23/$D$16*2, $C$15/100,$D$15/100))*(1+$D$17))</f>
        <v>588000</v>
      </c>
      <c r="L27" s="40">
        <f>LamChanHangNgan((PhiInKM4M_BHR70($A27*G$23/$D$16*$E$16*2)+PhiMayCanMang($A27*G$23/$D$16*2, $C$15/100,$D$15/100))*(1+$D$17))</f>
        <v>775000</v>
      </c>
      <c r="M27" s="40">
        <f>LamChanHangNgan((PhiInKM4M_BHR70($A27*H$23/$D$16*$E$16*2)+PhiMayCanMang($A27*H$23/$D$16*2, $C$15/100,$D$15/100))*(1+$D$17))</f>
        <v>961000</v>
      </c>
      <c r="N27" s="40">
        <f>LamChanHangNgan((PhiInKM4M_BHR70($A27*I$23/$D$16*$E$16*2)+PhiMayCanMang($A27*I$23/$D$16*2, $C$15/100,$D$15/100))*(1+$D$17))</f>
        <v>1147000</v>
      </c>
    </row>
    <row r="28" spans="1:20" x14ac:dyDescent="0.25">
      <c r="A28" s="2">
        <v>16</v>
      </c>
      <c r="B28">
        <f>$A28*E$23</f>
        <v>160</v>
      </c>
      <c r="D28" t="s">
        <v>303</v>
      </c>
      <c r="E28" s="7">
        <f>LamChanHangNgan(PhiInKM4M_BHR70($A28*E$23/$D$16*$E$16*2)*(1+$D$17))</f>
        <v>283000</v>
      </c>
      <c r="F28" s="7">
        <f>LamChanHangNgan(PhiInKM4M_BHR70($A28*F$23/$D$16*$E$16*2)*(1+$D$17))</f>
        <v>479000</v>
      </c>
      <c r="G28" s="7">
        <f>LamChanHangNgan(PhiInKM4M_BHR70($A28*G$23/$D$16*$E$16*2)*(1+$D$17))</f>
        <v>675000</v>
      </c>
      <c r="H28" s="7">
        <f>LamChanHangNgan(PhiInKM4M_BHR70($A28*H$23/$D$16*$E$16*2)*(1+$D$17))</f>
        <v>871000</v>
      </c>
      <c r="I28" s="7">
        <f>LamChanHangNgan(PhiInKM4M_BHR70($A28*I$23/$D$16*$E$16*2)*(1+$D$17))</f>
        <v>1067000</v>
      </c>
      <c r="J28" s="7">
        <f>E28</f>
        <v>283000</v>
      </c>
      <c r="K28" s="7">
        <f t="shared" ref="K28:N28" si="2">F28</f>
        <v>479000</v>
      </c>
      <c r="L28" s="7">
        <f t="shared" si="2"/>
        <v>675000</v>
      </c>
      <c r="M28" s="7">
        <f t="shared" si="2"/>
        <v>871000</v>
      </c>
      <c r="N28" s="7">
        <f t="shared" si="2"/>
        <v>1067000</v>
      </c>
    </row>
    <row r="29" spans="1:20" x14ac:dyDescent="0.25">
      <c r="A29" s="38">
        <v>16</v>
      </c>
      <c r="B29" s="39">
        <f>$A29*E$23</f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LamChanHangNgan((PhiInKM4M_BHR70($A29*E$23/$D$16*$E$16*2)+PhiMayCanMang($A29*E$23/$D$16*2, $C$15/100,$D$15/100))*(1+$D$17))</f>
        <v>429000</v>
      </c>
      <c r="K29" s="40">
        <f>LamChanHangNgan((PhiInKM4M_BHR70($A29*F$23/$D$16*$E$16*2)+PhiMayCanMang($A29*F$23/$D$16*2, $C$15/100,$D$15/100))*(1+$D$17))</f>
        <v>641000</v>
      </c>
      <c r="L29" s="40">
        <f>LamChanHangNgan((PhiInKM4M_BHR70($A29*G$23/$D$16*$E$16*2)+PhiMayCanMang($A29*G$23/$D$16*2, $C$15/100,$D$15/100))*(1+$D$17))</f>
        <v>855000</v>
      </c>
      <c r="M29" s="40">
        <f>LamChanHangNgan((PhiInKM4M_BHR70($A29*H$23/$D$16*$E$16*2)+PhiMayCanMang($A29*H$23/$D$16*2, $C$15/100,$D$15/100))*(1+$D$17))</f>
        <v>1067000</v>
      </c>
      <c r="N29" s="40">
        <f>LamChanHangNgan((PhiInKM4M_BHR70($A29*I$23/$D$16*$E$16*2)+PhiMayCanMang($A29*I$23/$D$16*2, $C$15/100,$D$15/100))*(1+$D$17))</f>
        <v>1280000</v>
      </c>
    </row>
    <row r="30" spans="1:20" x14ac:dyDescent="0.25">
      <c r="A30" s="2">
        <v>18</v>
      </c>
      <c r="B30">
        <f>$A30*E$23</f>
        <v>180</v>
      </c>
      <c r="D30" t="s">
        <v>303</v>
      </c>
      <c r="E30" s="7">
        <f>LamChanHangNgan(PhiInKM4M_BHR70($A30*E$23/$D$16*$E$16*2)*(1+$D$17))</f>
        <v>308000</v>
      </c>
      <c r="F30" s="7">
        <f>LamChanHangNgan(PhiInKM4M_BHR70($A30*F$23/$D$16*$E$16*2)*(1+$D$17))</f>
        <v>528000</v>
      </c>
      <c r="G30" s="7">
        <f>LamChanHangNgan(PhiInKM4M_BHR70($A30*G$23/$D$16*$E$16*2)*(1+$D$17))</f>
        <v>749000</v>
      </c>
      <c r="H30" s="7">
        <f>LamChanHangNgan(PhiInKM4M_BHR70($A30*H$23/$D$16*$E$16*2)*(1+$D$17))</f>
        <v>969000</v>
      </c>
      <c r="I30" s="7">
        <f>LamChanHangNgan(PhiInKM4M_BHR70($A30*I$23/$D$16*$E$16*2)*(1+$D$17))</f>
        <v>1190000</v>
      </c>
      <c r="J30" s="7">
        <f>E30</f>
        <v>308000</v>
      </c>
      <c r="K30" s="7">
        <f t="shared" ref="K30:N30" si="3">F30</f>
        <v>528000</v>
      </c>
      <c r="L30" s="7">
        <f t="shared" si="3"/>
        <v>749000</v>
      </c>
      <c r="M30" s="7">
        <f t="shared" si="3"/>
        <v>969000</v>
      </c>
      <c r="N30" s="7">
        <f t="shared" si="3"/>
        <v>1190000</v>
      </c>
    </row>
    <row r="31" spans="1:20" x14ac:dyDescent="0.25">
      <c r="A31" s="38">
        <v>18</v>
      </c>
      <c r="B31" s="39">
        <f>$A31*E$23</f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LamChanHangNgan((PhiInKM4M_BHR70($A31*E$23/$D$16*$E$16*2)+PhiMayCanMang($A31*E$23/$D$16*2, $C$15/100,$D$15/100))*(1+$D$17))</f>
        <v>455000</v>
      </c>
      <c r="K31" s="40">
        <f>LamChanHangNgan((PhiInKM4M_BHR70($A31*F$23/$D$16*$E$16*2)+PhiMayCanMang($A31*F$23/$D$16*2, $C$15/100,$D$15/100))*(1+$D$17))</f>
        <v>695000</v>
      </c>
      <c r="L31" s="40">
        <f>LamChanHangNgan((PhiInKM4M_BHR70($A31*G$23/$D$16*$E$16*2)+PhiMayCanMang($A31*G$23/$D$16*2, $C$15/100,$D$15/100))*(1+$D$17))</f>
        <v>934000</v>
      </c>
      <c r="M31" s="40">
        <f>LamChanHangNgan((PhiInKM4M_BHR70($A31*H$23/$D$16*$E$16*2)+PhiMayCanMang($A31*H$23/$D$16*2, $C$15/100,$D$15/100))*(1+$D$17))</f>
        <v>1174000</v>
      </c>
      <c r="N31" s="40">
        <f>LamChanHangNgan((PhiInKM4M_BHR70($A31*I$23/$D$16*$E$16*2)+PhiMayCanMang($A31*I$23/$D$16*2, $C$15/100,$D$15/100))*(1+$D$17))</f>
        <v>1413000</v>
      </c>
    </row>
    <row r="32" spans="1:20" x14ac:dyDescent="0.25">
      <c r="A32" s="2">
        <v>20</v>
      </c>
      <c r="B32">
        <f>$A32*E$23</f>
        <v>200</v>
      </c>
      <c r="D32" t="s">
        <v>303</v>
      </c>
      <c r="E32" s="7">
        <f>LamChanHangNgan(PhiInKM4M_BHR70($A32*E$23/$D$16*$E$16*2)*(1+$D$17))</f>
        <v>332000</v>
      </c>
      <c r="F32" s="7">
        <f>LamChanHangNgan(PhiInKM4M_BHR70($A32*F$23/$D$16*$E$16*2)*(1+$D$17))</f>
        <v>577000</v>
      </c>
      <c r="G32" s="7">
        <f>LamChanHangNgan(PhiInKM4M_BHR70($A32*G$23/$D$16*$E$16*2)*(1+$D$17))</f>
        <v>822000</v>
      </c>
      <c r="H32" s="7">
        <f>LamChanHangNgan(PhiInKM4M_BHR70($A32*H$23/$D$16*$E$16*2)*(1+$D$17))</f>
        <v>1067000</v>
      </c>
      <c r="I32" s="7">
        <f>LamChanHangNgan(PhiInKM4M_BHR70($A32*I$23/$D$16*$E$16*2)*(1+$D$17))</f>
        <v>1312000</v>
      </c>
      <c r="J32" s="7">
        <f>E32</f>
        <v>332000</v>
      </c>
      <c r="K32" s="7">
        <f t="shared" ref="K32:N32" si="4">F32</f>
        <v>577000</v>
      </c>
      <c r="L32" s="7">
        <f t="shared" si="4"/>
        <v>822000</v>
      </c>
      <c r="M32" s="7">
        <f t="shared" si="4"/>
        <v>1067000</v>
      </c>
      <c r="N32" s="7">
        <f t="shared" si="4"/>
        <v>1312000</v>
      </c>
    </row>
    <row r="33" spans="1:14" x14ac:dyDescent="0.25">
      <c r="A33" s="38">
        <v>20</v>
      </c>
      <c r="B33" s="39">
        <f>$A33*E$23</f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LamChanHangNgan((PhiInKM4M_BHR70($A33*E$23/$D$16*$E$16*2)+PhiMayCanMang($A33*E$23/$D$16*2, $C$15/100,$D$15/100))*(1+$D$17))</f>
        <v>482000</v>
      </c>
      <c r="K33" s="40">
        <f>LamChanHangNgan((PhiInKM4M_BHR70($A33*F$23/$D$16*$E$16*2)+PhiMayCanMang($A33*F$23/$D$16*2, $C$15/100,$D$15/100))*(1+$D$17))</f>
        <v>748000</v>
      </c>
      <c r="L33" s="40">
        <f>LamChanHangNgan((PhiInKM4M_BHR70($A33*G$23/$D$16*$E$16*2)+PhiMayCanMang($A33*G$23/$D$16*2, $C$15/100,$D$15/100))*(1+$D$17))</f>
        <v>1014000</v>
      </c>
      <c r="M33" s="40">
        <f>LamChanHangNgan((PhiInKM4M_BHR70($A33*H$23/$D$16*$E$16*2)+PhiMayCanMang($A33*H$23/$D$16*2, $C$15/100,$D$15/100))*(1+$D$17))</f>
        <v>1280000</v>
      </c>
      <c r="N33" s="40">
        <f>LamChanHangNgan((PhiInKM4M_BHR70($A33*I$23/$D$16*$E$16*2)+PhiMayCanMang($A33*I$23/$D$16*2, $C$15/100,$D$15/100))*(1+$D$17))</f>
        <v>1547000</v>
      </c>
    </row>
    <row r="34" spans="1:14" x14ac:dyDescent="0.25">
      <c r="A34" s="2">
        <v>22</v>
      </c>
      <c r="B34">
        <f>$A34*E$23</f>
        <v>220</v>
      </c>
      <c r="D34" t="s">
        <v>303</v>
      </c>
      <c r="E34" s="7">
        <f>LamChanHangNgan(PhiInKM4M_BHR70($A34*E$23/$D$16*$E$16*2)*(1+$D$17))</f>
        <v>357000</v>
      </c>
      <c r="F34" s="7">
        <f>LamChanHangNgan(PhiInKM4M_BHR70($A34*F$23/$D$16*$E$16*2)*(1+$D$17))</f>
        <v>626000</v>
      </c>
      <c r="G34" s="7">
        <f>LamChanHangNgan(PhiInKM4M_BHR70($A34*G$23/$D$16*$E$16*2)*(1+$D$17))</f>
        <v>896000</v>
      </c>
      <c r="H34" s="7">
        <f>LamChanHangNgan(PhiInKM4M_BHR70($A34*H$23/$D$16*$E$16*2)*(1+$D$17))</f>
        <v>1165000</v>
      </c>
      <c r="I34" s="7">
        <f>LamChanHangNgan(PhiInKM4M_BHR70($A34*I$23/$D$16*$E$16*2)*(1+$D$17))</f>
        <v>1435000</v>
      </c>
      <c r="J34" s="7">
        <f>E34</f>
        <v>357000</v>
      </c>
      <c r="K34" s="7">
        <f t="shared" ref="K34:N34" si="5">F34</f>
        <v>626000</v>
      </c>
      <c r="L34" s="7">
        <f t="shared" si="5"/>
        <v>896000</v>
      </c>
      <c r="M34" s="7">
        <f t="shared" si="5"/>
        <v>1165000</v>
      </c>
      <c r="N34" s="7">
        <f t="shared" si="5"/>
        <v>1435000</v>
      </c>
    </row>
    <row r="35" spans="1:14" x14ac:dyDescent="0.25">
      <c r="A35" s="38">
        <v>22</v>
      </c>
      <c r="B35" s="39">
        <f>$A35*E$23</f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LamChanHangNgan((PhiInKM4M_BHR70($A35*E$23/$D$16*$E$16*2)+PhiMayCanMang($A35*E$23/$D$16*2, $C$15/100,$D$15/100))*(1+$D$17))</f>
        <v>508000</v>
      </c>
      <c r="K35" s="40">
        <f>LamChanHangNgan((PhiInKM4M_BHR70($A35*F$23/$D$16*$E$16*2)+PhiMayCanMang($A35*F$23/$D$16*2, $C$15/100,$D$15/100))*(1+$D$17))</f>
        <v>801000</v>
      </c>
      <c r="L35" s="40">
        <f>LamChanHangNgan((PhiInKM4M_BHR70($A35*G$23/$D$16*$E$16*2)+PhiMayCanMang($A35*G$23/$D$16*2, $C$15/100,$D$15/100))*(1+$D$17))</f>
        <v>1094000</v>
      </c>
      <c r="M35" s="40">
        <f>LamChanHangNgan((PhiInKM4M_BHR70($A35*H$23/$D$16*$E$16*2)+PhiMayCanMang($A35*H$23/$D$16*2, $C$15/100,$D$15/100))*(1+$D$17))</f>
        <v>1387000</v>
      </c>
      <c r="N35" s="40">
        <f>LamChanHangNgan((PhiInKM4M_BHR70($A35*I$23/$D$16*$E$16*2)+PhiMayCanMang($A35*I$23/$D$16*2, $C$15/100,$D$15/100))*(1+$D$17))</f>
        <v>1680000</v>
      </c>
    </row>
    <row r="36" spans="1:14" x14ac:dyDescent="0.25">
      <c r="A36" s="2">
        <v>24</v>
      </c>
      <c r="B36">
        <f>$A36*E$23</f>
        <v>240</v>
      </c>
      <c r="D36" t="s">
        <v>303</v>
      </c>
      <c r="E36" s="7">
        <f>LamChanHangNgan(PhiInKM4M_BHR70($A36*E$23/$D$16*$E$16*2)*(1+$D$17))</f>
        <v>381000</v>
      </c>
      <c r="F36" s="7">
        <f>LamChanHangNgan(PhiInKM4M_BHR70($A36*F$23/$D$16*$E$16*2)*(1+$D$17))</f>
        <v>675000</v>
      </c>
      <c r="G36" s="7">
        <f>LamChanHangNgan(PhiInKM4M_BHR70($A36*G$23/$D$16*$E$16*2)*(1+$D$17))</f>
        <v>969000</v>
      </c>
      <c r="H36" s="7">
        <f>LamChanHangNgan(PhiInKM4M_BHR70($A36*H$23/$D$16*$E$16*2)*(1+$D$17))</f>
        <v>1263000</v>
      </c>
      <c r="I36" s="7">
        <f>LamChanHangNgan(PhiInKM4M_BHR70($A36*I$23/$D$16*$E$16*2)*(1+$D$17))</f>
        <v>1557000</v>
      </c>
      <c r="J36" s="7">
        <f>E36</f>
        <v>381000</v>
      </c>
      <c r="K36" s="7">
        <f t="shared" ref="K36:N36" si="6">F36</f>
        <v>675000</v>
      </c>
      <c r="L36" s="7">
        <f t="shared" si="6"/>
        <v>969000</v>
      </c>
      <c r="M36" s="7">
        <f t="shared" si="6"/>
        <v>1263000</v>
      </c>
      <c r="N36" s="7">
        <f t="shared" si="6"/>
        <v>1557000</v>
      </c>
    </row>
    <row r="37" spans="1:14" x14ac:dyDescent="0.25">
      <c r="A37" s="38">
        <v>24</v>
      </c>
      <c r="B37" s="39">
        <f>$A37*E$23</f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LamChanHangNgan((PhiInKM4M_BHR70($A37*E$23/$D$16*$E$16*2)+PhiMayCanMang($A37*E$23/$D$16*2, $C$15/100,$D$15/100))*(1+$D$17))</f>
        <v>535000</v>
      </c>
      <c r="K37" s="40">
        <f>LamChanHangNgan((PhiInKM4M_BHR70($A37*F$23/$D$16*$E$16*2)+PhiMayCanMang($A37*F$23/$D$16*2, $C$15/100,$D$15/100))*(1+$D$17))</f>
        <v>855000</v>
      </c>
      <c r="L37" s="40">
        <f>LamChanHangNgan((PhiInKM4M_BHR70($A37*G$23/$D$16*$E$16*2)+PhiMayCanMang($A37*G$23/$D$16*2, $C$15/100,$D$15/100))*(1+$D$17))</f>
        <v>1174000</v>
      </c>
      <c r="M37" s="40">
        <f>LamChanHangNgan((PhiInKM4M_BHR70($A37*H$23/$D$16*$E$16*2)+PhiMayCanMang($A37*H$23/$D$16*2, $C$15/100,$D$15/100))*(1+$D$17))</f>
        <v>1494000</v>
      </c>
      <c r="N37" s="40">
        <f>LamChanHangNgan((PhiInKM4M_BHR70($A37*I$23/$D$16*$E$16*2)+PhiMayCanMang($A37*I$23/$D$16*2, $C$15/100,$D$15/100))*(1+$D$17))</f>
        <v>1813000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7">PhiLDPT_XepDotVoCuonLX(F$23)+$B$41*$C$13/100</f>
        <v>17028.888899999998</v>
      </c>
      <c r="G41" s="7">
        <f t="shared" si="7"/>
        <v>18473.333500000001</v>
      </c>
      <c r="H41" s="7">
        <f t="shared" si="7"/>
        <v>19917.7778</v>
      </c>
      <c r="I41" s="7">
        <f t="shared" si="7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8">F$41*(1+$D$17)</f>
        <v>29800.555574999998</v>
      </c>
      <c r="G42" s="7">
        <f t="shared" si="8"/>
        <v>32328.333624999999</v>
      </c>
      <c r="H42" s="7">
        <f t="shared" si="8"/>
        <v>34856.111149999997</v>
      </c>
      <c r="I42" s="7">
        <f t="shared" si="8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12</vt:i4>
      </vt:variant>
      <vt:variant>
        <vt:lpstr>Phạm vi Có tên</vt:lpstr>
      </vt:variant>
      <vt:variant>
        <vt:i4>8</vt:i4>
      </vt:variant>
    </vt:vector>
  </HeadingPairs>
  <TitlesOfParts>
    <vt:vector size="20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2019-06-06T10:12:53Z</dcterms:modified>
</cp:coreProperties>
</file>