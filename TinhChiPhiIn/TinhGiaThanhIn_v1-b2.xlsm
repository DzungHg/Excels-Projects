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92DCB501-44C4-4FF6-8F92-596DBFB70C1E}" xr6:coauthVersionLast="43" xr6:coauthVersionMax="43" xr10:uidLastSave="{00000000-0000-0000-0000-000000000000}"/>
  <bookViews>
    <workbookView xWindow="-120" yWindow="-120" windowWidth="29040" windowHeight="15990" firstSheet="9" activeTab="10" xr2:uid="{00000000-000D-0000-FFFF-FFFF00000000}"/>
  </bookViews>
  <sheets>
    <sheet name="In-Toner" sheetId="2" r:id="rId1"/>
    <sheet name="BaiCMYK" sheetId="14" r:id="rId2"/>
    <sheet name="SP-ToRoi-A4" sheetId="17" r:id="rId3"/>
    <sheet name="Test" sheetId="11" r:id="rId4"/>
    <sheet name="SP-Cata-Ruot-A4" sheetId="38" r:id="rId5"/>
    <sheet name="SP-Cata-A4-Kim" sheetId="37" r:id="rId6"/>
    <sheet name="SP-Cata-A4-Keo" sheetId="39" r:id="rId7"/>
    <sheet name="Menu-LXo-10x19" sheetId="45" r:id="rId8"/>
    <sheet name="Menu-LX-15x19" sheetId="46" r:id="rId9"/>
    <sheet name="Menu-LX-19x30" sheetId="47" r:id="rId10"/>
    <sheet name="Menu-LX-15x34" sheetId="48" r:id="rId11"/>
    <sheet name="Menu-LX-10x19-v2" sheetId="56" r:id="rId12"/>
    <sheet name="Menu-LX-DongCuon" sheetId="57" r:id="rId13"/>
    <sheet name="Menu-LX-15x19-v2" sheetId="55" r:id="rId14"/>
    <sheet name="Menu-LX-19x30_v2" sheetId="54" r:id="rId15"/>
    <sheet name="Menu-LX-15x34_v2" sheetId="53" r:id="rId16"/>
    <sheet name="Menu-BiaCungVit-Ruot" sheetId="49" r:id="rId17"/>
    <sheet name="Menu-BiaCungVit-Bia" sheetId="50" r:id="rId18"/>
    <sheet name="Menu-MoPhang-Ruot" sheetId="51" r:id="rId19"/>
    <sheet name="Menu-MoPhang-Bia" sheetId="52" r:id="rId20"/>
    <sheet name="Base-MayIn" sheetId="10" r:id="rId21"/>
    <sheet name="NguyenVatLieu" sheetId="13" r:id="rId22"/>
    <sheet name="Base-Margin" sheetId="15" r:id="rId23"/>
  </sheets>
  <functionGroups builtInGroupCount="19"/>
  <definedNames>
    <definedName name="atools_list_filter_1" localSheetId="1" hidden="1">BaiCMYK!$E$8:$F$9</definedName>
    <definedName name="atools_list_filter_1" localSheetId="16" hidden="1">'Menu-BiaCungVit-Ruot'!$B$21:$D$21</definedName>
    <definedName name="atools_list_filter_1" localSheetId="7" hidden="1">'Menu-LXo-10x19'!$A$13:$D$13</definedName>
    <definedName name="atools_list_filter_1" localSheetId="19" hidden="1">'Menu-MoPhang-Bia'!$B$19:$D$19</definedName>
    <definedName name="atools_list_filter_1" localSheetId="18" hidden="1">'Menu-MoPhang-Ruot'!$B$19:$D$19</definedName>
    <definedName name="atools_list_filter_1" localSheetId="6" hidden="1">'SP-Cata-A4-Keo'!$A$9:$D$10</definedName>
    <definedName name="atools_list_filter_1" localSheetId="5" hidden="1">'SP-Cata-A4-Kim'!$B$9:$D$11</definedName>
    <definedName name="atools_list_filter_1" localSheetId="4" hidden="1">'SP-Cata-Ruot-A4'!$B$9:$D$9</definedName>
    <definedName name="atools_list_filter_1" localSheetId="2" hidden="1">'SP-ToRoi-A4'!$B$21:$D$21</definedName>
    <definedName name="atools_list_filter_1_colinvisibles_ext" localSheetId="1" hidden="1">""</definedName>
    <definedName name="atools_list_filter_1_colinvisibles_ext" localSheetId="16" hidden="1">";;"</definedName>
    <definedName name="atools_list_filter_1_colinvisibles_ext" localSheetId="7" hidden="1">";;;"</definedName>
    <definedName name="atools_list_filter_1_colinvisibles_ext" localSheetId="19" hidden="1">";;"</definedName>
    <definedName name="atools_list_filter_1_colinvisibles_ext" localSheetId="18" hidden="1">";;"</definedName>
    <definedName name="atools_list_filter_1_colinvisibles_ext" localSheetId="6" hidden="1">";;"</definedName>
    <definedName name="atools_list_filter_1_colinvisibles_ext" localSheetId="5" hidden="1">";;"</definedName>
    <definedName name="atools_list_filter_1_colinvisibles_ext" localSheetId="4" hidden="1">";;"</definedName>
    <definedName name="atools_list_filter_1_colinvisibles_ext" localSheetId="2" hidden="1">";;"</definedName>
    <definedName name="atools_list_filter_1_colsrcidxs_ext" localSheetId="1" hidden="1">"1;3"</definedName>
    <definedName name="atools_list_filter_1_colsrcidxs_ext" localSheetId="16" hidden="1">"1;2;3"</definedName>
    <definedName name="atools_list_filter_1_colsrcidxs_ext" localSheetId="7" hidden="1">"1;2;3;4"</definedName>
    <definedName name="atools_list_filter_1_colsrcidxs_ext" localSheetId="19" hidden="1">"1;2;3"</definedName>
    <definedName name="atools_list_filter_1_colsrcidxs_ext" localSheetId="18" hidden="1">"1;2;3"</definedName>
    <definedName name="atools_list_filter_1_colsrcidxs_ext" localSheetId="6" hidden="1">"1;2;3;4"</definedName>
    <definedName name="atools_list_filter_1_colsrcidxs_ext" localSheetId="5" hidden="1">"1;2;3"</definedName>
    <definedName name="atools_list_filter_1_colsrcidxs_ext" localSheetId="4" hidden="1">"1;2;3"</definedName>
    <definedName name="atools_list_filter_1_colsrcidxs_ext" localSheetId="2" hidden="1">"1;2;3"</definedName>
    <definedName name="atools_list_filter_1_colwidths_ext" localSheetId="1" hidden="1">""</definedName>
    <definedName name="atools_list_filter_1_colwidths_ext" localSheetId="16" hidden="1">"77;96;88"</definedName>
    <definedName name="atools_list_filter_1_colwidths_ext" localSheetId="7" hidden="1">"92;76;71;80"</definedName>
    <definedName name="atools_list_filter_1_colwidths_ext" localSheetId="19" hidden="1">"88;96;84"</definedName>
    <definedName name="atools_list_filter_1_colwidths_ext" localSheetId="18" hidden="1">"88;96;84"</definedName>
    <definedName name="atools_list_filter_1_colwidths_ext" localSheetId="6" hidden="1">"88;96;84"</definedName>
    <definedName name="atools_list_filter_1_colwidths_ext" localSheetId="5" hidden="1">"88;96;84"</definedName>
    <definedName name="atools_list_filter_1_colwidths_ext" localSheetId="4" hidden="1">"88;96;84"</definedName>
    <definedName name="atools_list_filter_1_colwidths_ext" localSheetId="2" hidden="1">"88;96;84"</definedName>
    <definedName name="atools_list_filter_1_onrangeaddr" localSheetId="1" hidden="1">"$E$8:$F$9"</definedName>
    <definedName name="atools_list_filter_1_onrangeaddr" localSheetId="16" hidden="1">"='Menu-BiaCungVit-Ruot'!$B$21:$D$21"</definedName>
    <definedName name="atools_list_filter_1_onrangeaddr" localSheetId="7" hidden="1">"='Menu-LXo'!$A$13:$D$13"</definedName>
    <definedName name="atools_list_filter_1_onrangeaddr" localSheetId="19" hidden="1">"='Menu-MoPhang-Bia'!$B$19:$D$19"</definedName>
    <definedName name="atools_list_filter_1_onrangeaddr" localSheetId="18" hidden="1">"='Menu-MoPhang-Ruot'!$B$19:$D$19"</definedName>
    <definedName name="atools_list_filter_1_onrangeaddr" localSheetId="6" hidden="1">"='SP-Cata-A4-Keo'!$A$9:$D$10"</definedName>
    <definedName name="atools_list_filter_1_onrangeaddr" localSheetId="5" hidden="1">"='SP-Cata-A4-Kim'!$B$9:$D$11"</definedName>
    <definedName name="atools_list_filter_1_onrangeaddr" localSheetId="4" hidden="1">"='SP-Cata-Ruot-A4'!$B$9:$D$9"</definedName>
    <definedName name="atools_list_filter_1_onrangeaddr" localSheetId="2" hidden="1">"='SP-ToRoi-A4'!$B$12:$D$12"</definedName>
    <definedName name="atools_list_filter_1_pos_ext" localSheetId="1" hidden="1">""</definedName>
    <definedName name="atools_list_filter_1_pos_ext" localSheetId="16" hidden="1">"0;1;2"</definedName>
    <definedName name="atools_list_filter_1_pos_ext" localSheetId="7" hidden="1">"0;1;2;3"</definedName>
    <definedName name="atools_list_filter_1_pos_ext" localSheetId="19" hidden="1">"0;1;2"</definedName>
    <definedName name="atools_list_filter_1_pos_ext" localSheetId="18" hidden="1">"0;1;2"</definedName>
    <definedName name="atools_list_filter_1_pos_ext" localSheetId="6" hidden="1">"0;1;2"</definedName>
    <definedName name="atools_list_filter_1_pos_ext" localSheetId="5" hidden="1">"0;1;2"</definedName>
    <definedName name="atools_list_filter_1_pos_ext" localSheetId="4" hidden="1">"0;1;2"</definedName>
    <definedName name="atools_list_filter_1_pos_ext" localSheetId="2" hidden="1">"0;1;2"</definedName>
    <definedName name="atools_list_filter_1_proper" localSheetId="1" hidden="1">"1|1|0|0|0|||0|0||0|,||1||1||0|18|0|2.0|1|1|1|0"</definedName>
    <definedName name="atools_list_filter_1_proper" localSheetId="16" hidden="1">"1|1|0|0|0|||301|72||0|,||1||0||0|18|185|2.0|1|1|1|0"</definedName>
    <definedName name="atools_list_filter_1_proper" localSheetId="7" hidden="1">"1|1|0|0|0|||365|126||0|,||1||0||0|18|185|2.0|1|1|1|0"</definedName>
    <definedName name="atools_list_filter_1_proper" localSheetId="19" hidden="1">"1|1|0|0|0|||322|133||0|,||1||0||0|18|185|2.0|1|1|1|0"</definedName>
    <definedName name="atools_list_filter_1_proper" localSheetId="18" hidden="1">"1|1|0|0|0|||324|118||0|,||1||0||0|18|185|2.0|1|1|1|0"</definedName>
    <definedName name="atools_list_filter_1_proper" localSheetId="6" hidden="1">"1|1|0|0|0|||305|309||0|,||1||0||0|18|185|2.0|1|1|1|0"</definedName>
    <definedName name="atools_list_filter_1_proper" localSheetId="5" hidden="1">"1|1|1|0|0|||305|309||0|,||1||0||0|18|185|2.0|1|1|1|0"</definedName>
    <definedName name="atools_list_filter_1_proper" localSheetId="4" hidden="1">"1|1|0|0|0|||305|309||0|,||1||0||0|18|185|2.0|1|1|1|0"</definedName>
    <definedName name="atools_list_filter_1_proper" localSheetId="2" hidden="1">"1|1|0|0|0|||305|309||0|,||1||0||0|18|185|2.0|1|1|1|0"</definedName>
    <definedName name="atools_list_filter_1_source" localSheetId="1" hidden="1">GIA_KHUON_EP_KIM</definedName>
    <definedName name="atools_list_filter_1_source" localSheetId="16" hidden="1">GIA_MANG</definedName>
    <definedName name="atools_list_filter_1_source" localSheetId="7" hidden="1">KHO_CAT_SAN_PHAM</definedName>
    <definedName name="atools_list_filter_1_source" localSheetId="19" hidden="1">GIA_GIAY_CO_BAN</definedName>
    <definedName name="atools_list_filter_1_source" localSheetId="18" hidden="1">GIA_GIAY_CO_BAN</definedName>
    <definedName name="atools_list_filter_1_source" localSheetId="6" hidden="1">GIA_GIAY_CO_BAN</definedName>
    <definedName name="atools_list_filter_1_source" localSheetId="5" hidden="1">GIA_GIAY_CO_BAN</definedName>
    <definedName name="atools_list_filter_1_source" localSheetId="4" hidden="1">GIA_GIAY_CO_BAN</definedName>
    <definedName name="atools_list_filter_1_source" localSheetId="2" hidden="1">GIA_GIAY_CO_BAN</definedName>
    <definedName name="atools_list_filter_1_sourceaddr" localSheetId="1" hidden="1">"GIA_KHUON_EP_KIM"</definedName>
    <definedName name="atools_list_filter_1_sourceaddr" localSheetId="16" hidden="1">"=GIA_MANG"</definedName>
    <definedName name="atools_list_filter_1_sourceaddr" localSheetId="7" hidden="1">"=KHO_CAT_SAN_PHAM"</definedName>
    <definedName name="atools_list_filter_1_sourceaddr" localSheetId="19" hidden="1">"=GIA_GIAY_CO_BAN"</definedName>
    <definedName name="atools_list_filter_1_sourceaddr" localSheetId="18" hidden="1">"=GIA_GIAY_CO_BAN"</definedName>
    <definedName name="atools_list_filter_1_sourceaddr" localSheetId="6" hidden="1">"=GIA_GIAY_CO_BAN"</definedName>
    <definedName name="atools_list_filter_1_sourceaddr" localSheetId="5" hidden="1">"=GIA_GIAY_CO_BAN"</definedName>
    <definedName name="atools_list_filter_1_sourceaddr" localSheetId="4" hidden="1">"=GIA_GIAY_CO_BAN"</definedName>
    <definedName name="atools_list_filter_1_sourceaddr" localSheetId="2" hidden="1">"=GIA_GIAY_CO_BAN"</definedName>
    <definedName name="atools_list_filter_8" localSheetId="1" hidden="1">BaiCMYK!$E$12:$F$12</definedName>
    <definedName name="atools_list_filter_8" localSheetId="7" hidden="1">'Menu-LXo-10x19'!$B$19:$D$19</definedName>
    <definedName name="atools_list_filter_8_colinvisibles_ext" localSheetId="1" hidden="1">";;"</definedName>
    <definedName name="atools_list_filter_8_colinvisibles_ext" localSheetId="7" hidden="1">";;"</definedName>
    <definedName name="atools_list_filter_8_colsrcidxs_ext" localSheetId="1" hidden="1">"1;3"</definedName>
    <definedName name="atools_list_filter_8_colsrcidxs_ext" localSheetId="7" hidden="1">"1;2;3"</definedName>
    <definedName name="atools_list_filter_8_colwidths_ext" localSheetId="1" hidden="1">"103;96;93"</definedName>
    <definedName name="atools_list_filter_8_colwidths_ext" localSheetId="7" hidden="1">"88;96;84"</definedName>
    <definedName name="atools_list_filter_8_onrangeaddr" localSheetId="1" hidden="1">"=BaiCMYK!$E$12:$F$12"</definedName>
    <definedName name="atools_list_filter_8_onrangeaddr" localSheetId="7" hidden="1">"='Menu-LXo'!$B$19:$D$19"</definedName>
    <definedName name="atools_list_filter_8_pos_ext" localSheetId="1" hidden="1">"0;1;2"</definedName>
    <definedName name="atools_list_filter_8_pos_ext" localSheetId="7" hidden="1">"0;1;2"</definedName>
    <definedName name="atools_list_filter_8_proper" localSheetId="1" hidden="1">"1|1|0|0|0|||329|309||0|,||1||0||0|18|185|2.0|1|1|1|0"</definedName>
    <definedName name="atools_list_filter_8_proper" localSheetId="7" hidden="1">"1|1|0|0|0|||333|153||0|,||1||0||0|18|185|2.0|1|1|1|0"</definedName>
    <definedName name="atools_list_filter_8_source" localSheetId="1" hidden="1">GIA_NHU_EP_KIM</definedName>
    <definedName name="atools_list_filter_8_source" localSheetId="7" hidden="1">GIA_GIAY_CO_BAN</definedName>
    <definedName name="atools_list_filter_8_sourceaddr" localSheetId="1" hidden="1">"=GIA_NHU_EP_KIM"</definedName>
    <definedName name="atools_list_filter_8_sourceaddr" localSheetId="7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9" i="57" l="1"/>
  <c r="I13" i="57"/>
  <c r="G13" i="57"/>
  <c r="J13" i="57" s="1"/>
  <c r="F13" i="57"/>
  <c r="M12" i="57"/>
  <c r="I27" i="57" l="1"/>
  <c r="H27" i="57"/>
  <c r="G27" i="57"/>
  <c r="F27" i="57"/>
  <c r="E27" i="57"/>
  <c r="I26" i="57"/>
  <c r="G26" i="57"/>
  <c r="E26" i="57"/>
  <c r="H26" i="57"/>
  <c r="F26" i="57"/>
  <c r="H25" i="57"/>
  <c r="I25" i="57"/>
  <c r="E25" i="57"/>
  <c r="G25" i="57"/>
  <c r="F25" i="57"/>
  <c r="B67" i="56" l="1"/>
  <c r="B60" i="56"/>
  <c r="B53" i="56"/>
  <c r="B46" i="56"/>
  <c r="B39" i="56"/>
  <c r="B32" i="56"/>
  <c r="B25" i="56"/>
  <c r="E19" i="56"/>
  <c r="G13" i="56"/>
  <c r="F13" i="56"/>
  <c r="B67" i="55"/>
  <c r="B60" i="55"/>
  <c r="B53" i="55"/>
  <c r="B46" i="55"/>
  <c r="B39" i="55"/>
  <c r="B32" i="55"/>
  <c r="B25" i="55"/>
  <c r="E19" i="55"/>
  <c r="G13" i="55"/>
  <c r="F13" i="55"/>
  <c r="B67" i="54"/>
  <c r="B60" i="54"/>
  <c r="B53" i="54"/>
  <c r="B46" i="54"/>
  <c r="B39" i="54"/>
  <c r="B32" i="54"/>
  <c r="B25" i="54"/>
  <c r="E19" i="54"/>
  <c r="G13" i="54"/>
  <c r="F13" i="54"/>
  <c r="B67" i="53"/>
  <c r="B60" i="53"/>
  <c r="B53" i="53"/>
  <c r="B46" i="53"/>
  <c r="B39" i="53"/>
  <c r="B32" i="53"/>
  <c r="B25" i="53"/>
  <c r="E19" i="53"/>
  <c r="G13" i="53"/>
  <c r="F13" i="53"/>
  <c r="D16" i="56"/>
  <c r="D16" i="55"/>
  <c r="D16" i="54"/>
  <c r="D16" i="53"/>
  <c r="F67" i="56" l="1"/>
  <c r="I60" i="56"/>
  <c r="E60" i="56"/>
  <c r="H53" i="56"/>
  <c r="G46" i="56"/>
  <c r="F39" i="56"/>
  <c r="I32" i="56"/>
  <c r="E32" i="56"/>
  <c r="H25" i="56"/>
  <c r="I67" i="56"/>
  <c r="E67" i="56"/>
  <c r="H60" i="56"/>
  <c r="G53" i="56"/>
  <c r="F46" i="56"/>
  <c r="I39" i="56"/>
  <c r="E39" i="56"/>
  <c r="H32" i="56"/>
  <c r="G25" i="56"/>
  <c r="H67" i="56"/>
  <c r="G60" i="56"/>
  <c r="F53" i="56"/>
  <c r="I46" i="56"/>
  <c r="E46" i="56"/>
  <c r="H39" i="56"/>
  <c r="G32" i="56"/>
  <c r="F25" i="56"/>
  <c r="G67" i="56"/>
  <c r="F60" i="56"/>
  <c r="I53" i="56"/>
  <c r="E53" i="56"/>
  <c r="H46" i="56"/>
  <c r="G39" i="56"/>
  <c r="F32" i="56"/>
  <c r="I25" i="56"/>
  <c r="E25" i="56"/>
  <c r="F67" i="55"/>
  <c r="I60" i="55"/>
  <c r="E60" i="55"/>
  <c r="H53" i="55"/>
  <c r="G46" i="55"/>
  <c r="F39" i="55"/>
  <c r="I32" i="55"/>
  <c r="E32" i="55"/>
  <c r="H25" i="55"/>
  <c r="I53" i="55"/>
  <c r="H46" i="55"/>
  <c r="E25" i="55"/>
  <c r="I67" i="55"/>
  <c r="E67" i="55"/>
  <c r="H60" i="55"/>
  <c r="G53" i="55"/>
  <c r="F46" i="55"/>
  <c r="I39" i="55"/>
  <c r="E39" i="55"/>
  <c r="H32" i="55"/>
  <c r="G25" i="55"/>
  <c r="G60" i="55"/>
  <c r="F53" i="55"/>
  <c r="E46" i="55"/>
  <c r="G32" i="55"/>
  <c r="F25" i="55"/>
  <c r="H67" i="55"/>
  <c r="I46" i="55"/>
  <c r="H39" i="55"/>
  <c r="G67" i="55"/>
  <c r="F60" i="55"/>
  <c r="E53" i="55"/>
  <c r="G39" i="55"/>
  <c r="F32" i="55"/>
  <c r="I25" i="55"/>
  <c r="F67" i="54"/>
  <c r="I60" i="54"/>
  <c r="E60" i="54"/>
  <c r="H53" i="54"/>
  <c r="G46" i="54"/>
  <c r="F39" i="54"/>
  <c r="I32" i="54"/>
  <c r="E32" i="54"/>
  <c r="H25" i="54"/>
  <c r="H67" i="54"/>
  <c r="G60" i="54"/>
  <c r="I46" i="54"/>
  <c r="I67" i="54"/>
  <c r="E67" i="54"/>
  <c r="H60" i="54"/>
  <c r="G53" i="54"/>
  <c r="F46" i="54"/>
  <c r="I39" i="54"/>
  <c r="E39" i="54"/>
  <c r="H32" i="54"/>
  <c r="G25" i="54"/>
  <c r="F53" i="54"/>
  <c r="E46" i="54"/>
  <c r="H39" i="54"/>
  <c r="G32" i="54"/>
  <c r="F25" i="54"/>
  <c r="G67" i="54"/>
  <c r="E25" i="54"/>
  <c r="I53" i="54"/>
  <c r="G39" i="54"/>
  <c r="F60" i="54"/>
  <c r="E53" i="54"/>
  <c r="H46" i="54"/>
  <c r="F32" i="54"/>
  <c r="I25" i="54"/>
  <c r="G67" i="53"/>
  <c r="G60" i="53"/>
  <c r="G53" i="53"/>
  <c r="G46" i="53"/>
  <c r="G39" i="53"/>
  <c r="G32" i="53"/>
  <c r="G25" i="53"/>
  <c r="H67" i="53"/>
  <c r="F67" i="53"/>
  <c r="F60" i="53"/>
  <c r="F53" i="53"/>
  <c r="F46" i="53"/>
  <c r="F39" i="53"/>
  <c r="F32" i="53"/>
  <c r="F25" i="53"/>
  <c r="I67" i="53"/>
  <c r="E67" i="53"/>
  <c r="I60" i="53"/>
  <c r="E60" i="53"/>
  <c r="I53" i="53"/>
  <c r="E53" i="53"/>
  <c r="I46" i="53"/>
  <c r="E46" i="53"/>
  <c r="I39" i="53"/>
  <c r="E39" i="53"/>
  <c r="I32" i="53"/>
  <c r="E32" i="53"/>
  <c r="I25" i="53"/>
  <c r="E25" i="53"/>
  <c r="H60" i="53"/>
  <c r="H53" i="53"/>
  <c r="H46" i="53"/>
  <c r="H39" i="53"/>
  <c r="H32" i="53"/>
  <c r="H25" i="53"/>
  <c r="I30" i="52"/>
  <c r="H30" i="52"/>
  <c r="G30" i="52"/>
  <c r="F30" i="52"/>
  <c r="E30" i="52"/>
  <c r="I25" i="52"/>
  <c r="I27" i="52" s="1"/>
  <c r="H25" i="52"/>
  <c r="G25" i="52"/>
  <c r="F25" i="52"/>
  <c r="F27" i="52" s="1"/>
  <c r="E25" i="52"/>
  <c r="E27" i="52" s="1"/>
  <c r="E19" i="52"/>
  <c r="G13" i="52"/>
  <c r="J13" i="52" s="1"/>
  <c r="F13" i="52"/>
  <c r="I13" i="52" s="1"/>
  <c r="B73" i="51"/>
  <c r="B65" i="51"/>
  <c r="B57" i="51"/>
  <c r="B49" i="51"/>
  <c r="B41" i="51"/>
  <c r="B33" i="51"/>
  <c r="B25" i="51"/>
  <c r="E19" i="51"/>
  <c r="G13" i="51"/>
  <c r="F13" i="51"/>
  <c r="I33" i="52"/>
  <c r="E33" i="52"/>
  <c r="H33" i="52"/>
  <c r="G33" i="52"/>
  <c r="F33" i="52"/>
  <c r="I80" i="51"/>
  <c r="E80" i="51"/>
  <c r="F79" i="51"/>
  <c r="G72" i="51"/>
  <c r="H71" i="51"/>
  <c r="I64" i="51"/>
  <c r="E64" i="51"/>
  <c r="F63" i="51"/>
  <c r="G56" i="51"/>
  <c r="H55" i="51"/>
  <c r="I48" i="51"/>
  <c r="E48" i="51"/>
  <c r="F47" i="51"/>
  <c r="I71" i="51"/>
  <c r="G63" i="51"/>
  <c r="F48" i="51"/>
  <c r="H80" i="51"/>
  <c r="I79" i="51"/>
  <c r="E79" i="51"/>
  <c r="F72" i="51"/>
  <c r="G71" i="51"/>
  <c r="H64" i="51"/>
  <c r="I63" i="51"/>
  <c r="E63" i="51"/>
  <c r="F56" i="51"/>
  <c r="G55" i="51"/>
  <c r="H48" i="51"/>
  <c r="I47" i="51"/>
  <c r="E47" i="51"/>
  <c r="G79" i="51"/>
  <c r="E71" i="51"/>
  <c r="H56" i="51"/>
  <c r="E55" i="51"/>
  <c r="G80" i="51"/>
  <c r="H79" i="51"/>
  <c r="I72" i="51"/>
  <c r="E72" i="51"/>
  <c r="F71" i="51"/>
  <c r="G64" i="51"/>
  <c r="H63" i="51"/>
  <c r="I56" i="51"/>
  <c r="E56" i="51"/>
  <c r="F55" i="51"/>
  <c r="G48" i="51"/>
  <c r="H47" i="51"/>
  <c r="F80" i="51"/>
  <c r="H72" i="51"/>
  <c r="F64" i="51"/>
  <c r="I55" i="51"/>
  <c r="G47" i="51"/>
  <c r="I40" i="51"/>
  <c r="I39" i="51"/>
  <c r="G39" i="51"/>
  <c r="F40" i="51"/>
  <c r="H40" i="51"/>
  <c r="H39" i="51"/>
  <c r="G40" i="51"/>
  <c r="F39" i="51"/>
  <c r="E40" i="51"/>
  <c r="E39" i="51"/>
  <c r="I78" i="51"/>
  <c r="E78" i="51"/>
  <c r="F70" i="51"/>
  <c r="G62" i="51"/>
  <c r="H54" i="51"/>
  <c r="I46" i="51"/>
  <c r="E46" i="51"/>
  <c r="E54" i="51"/>
  <c r="H78" i="51"/>
  <c r="I70" i="51"/>
  <c r="E70" i="51"/>
  <c r="F62" i="51"/>
  <c r="G54" i="51"/>
  <c r="H46" i="51"/>
  <c r="G70" i="51"/>
  <c r="H62" i="51"/>
  <c r="F46" i="51"/>
  <c r="G78" i="51"/>
  <c r="H70" i="51"/>
  <c r="I62" i="51"/>
  <c r="E62" i="51"/>
  <c r="F54" i="51"/>
  <c r="G46" i="51"/>
  <c r="F78" i="51"/>
  <c r="I54" i="51"/>
  <c r="I38" i="51"/>
  <c r="E38" i="51"/>
  <c r="H38" i="51"/>
  <c r="F38" i="51"/>
  <c r="G38" i="51"/>
  <c r="I32" i="51"/>
  <c r="I31" i="51"/>
  <c r="F31" i="51"/>
  <c r="H32" i="51"/>
  <c r="H31" i="51"/>
  <c r="G32" i="51"/>
  <c r="G31" i="51"/>
  <c r="F32" i="51"/>
  <c r="E32" i="51"/>
  <c r="E31" i="51"/>
  <c r="I30" i="51"/>
  <c r="H30" i="51"/>
  <c r="G30" i="51"/>
  <c r="F30" i="51"/>
  <c r="E30" i="51"/>
  <c r="G8" i="11" a="1"/>
  <c r="B2" i="11" a="1"/>
  <c r="E28" i="52"/>
  <c r="F31" i="52"/>
  <c r="G26" i="52"/>
  <c r="I28" i="52"/>
  <c r="I31" i="52"/>
  <c r="E31" i="52"/>
  <c r="G28" i="52"/>
  <c r="H31" i="52"/>
  <c r="F26" i="52"/>
  <c r="G31" i="52"/>
  <c r="H28" i="52"/>
  <c r="D16" i="51"/>
  <c r="M12" i="52"/>
  <c r="E69" i="56" l="1"/>
  <c r="F62" i="56"/>
  <c r="G62" i="56"/>
  <c r="H62" i="56"/>
  <c r="H55" i="56"/>
  <c r="H48" i="56"/>
  <c r="E48" i="56"/>
  <c r="I41" i="56"/>
  <c r="E62" i="56"/>
  <c r="I27" i="56"/>
  <c r="E55" i="56"/>
  <c r="F27" i="56"/>
  <c r="I48" i="56"/>
  <c r="G27" i="56"/>
  <c r="F48" i="56"/>
  <c r="I69" i="56"/>
  <c r="F41" i="56"/>
  <c r="I62" i="56"/>
  <c r="G41" i="56"/>
  <c r="H41" i="56"/>
  <c r="E41" i="56"/>
  <c r="E34" i="56"/>
  <c r="E27" i="56"/>
  <c r="G69" i="56"/>
  <c r="H69" i="56"/>
  <c r="I34" i="56"/>
  <c r="F34" i="56"/>
  <c r="I55" i="56"/>
  <c r="G34" i="56"/>
  <c r="F55" i="56"/>
  <c r="H34" i="56"/>
  <c r="G55" i="56"/>
  <c r="H27" i="56"/>
  <c r="G48" i="56"/>
  <c r="F69" i="56"/>
  <c r="E55" i="55"/>
  <c r="E48" i="55"/>
  <c r="E34" i="55"/>
  <c r="I48" i="55"/>
  <c r="H34" i="55"/>
  <c r="G55" i="55"/>
  <c r="E27" i="55"/>
  <c r="H55" i="55"/>
  <c r="I27" i="55"/>
  <c r="F62" i="55"/>
  <c r="H69" i="55"/>
  <c r="F55" i="55"/>
  <c r="E41" i="55"/>
  <c r="H62" i="55"/>
  <c r="H48" i="55"/>
  <c r="I34" i="55"/>
  <c r="E62" i="55"/>
  <c r="F34" i="55"/>
  <c r="G69" i="55"/>
  <c r="F27" i="55"/>
  <c r="G62" i="55"/>
  <c r="I41" i="55"/>
  <c r="E69" i="55"/>
  <c r="I55" i="55"/>
  <c r="F41" i="55"/>
  <c r="I62" i="55"/>
  <c r="G41" i="55"/>
  <c r="H41" i="55"/>
  <c r="G34" i="55"/>
  <c r="G27" i="55"/>
  <c r="F48" i="55"/>
  <c r="I69" i="55"/>
  <c r="H27" i="55"/>
  <c r="G48" i="55"/>
  <c r="F69" i="55"/>
  <c r="E27" i="54"/>
  <c r="H34" i="54"/>
  <c r="I48" i="54"/>
  <c r="H55" i="54"/>
  <c r="I27" i="54"/>
  <c r="G69" i="54"/>
  <c r="E41" i="54"/>
  <c r="G62" i="54"/>
  <c r="E62" i="54"/>
  <c r="F34" i="54"/>
  <c r="G41" i="54"/>
  <c r="F27" i="54"/>
  <c r="F55" i="54"/>
  <c r="I41" i="54"/>
  <c r="E69" i="54"/>
  <c r="H69" i="54"/>
  <c r="F41" i="54"/>
  <c r="I62" i="54"/>
  <c r="E55" i="54"/>
  <c r="H41" i="54"/>
  <c r="G55" i="54"/>
  <c r="E34" i="54"/>
  <c r="F62" i="54"/>
  <c r="E48" i="54"/>
  <c r="H62" i="54"/>
  <c r="I34" i="54"/>
  <c r="H48" i="54"/>
  <c r="I55" i="54"/>
  <c r="G34" i="54"/>
  <c r="G27" i="54"/>
  <c r="F48" i="54"/>
  <c r="I69" i="54"/>
  <c r="H27" i="54"/>
  <c r="G48" i="54"/>
  <c r="F69" i="54"/>
  <c r="H48" i="53"/>
  <c r="I27" i="53"/>
  <c r="I41" i="53"/>
  <c r="I55" i="53"/>
  <c r="I69" i="53"/>
  <c r="F48" i="53"/>
  <c r="H69" i="53"/>
  <c r="G48" i="53"/>
  <c r="H27" i="53"/>
  <c r="H55" i="53"/>
  <c r="E34" i="53"/>
  <c r="E48" i="53"/>
  <c r="E62" i="53"/>
  <c r="F27" i="53"/>
  <c r="F55" i="53"/>
  <c r="G27" i="53"/>
  <c r="G55" i="53"/>
  <c r="H34" i="53"/>
  <c r="H62" i="53"/>
  <c r="I34" i="53"/>
  <c r="I48" i="53"/>
  <c r="I62" i="53"/>
  <c r="F34" i="53"/>
  <c r="F62" i="53"/>
  <c r="G34" i="53"/>
  <c r="G62" i="53"/>
  <c r="H41" i="53"/>
  <c r="E27" i="53"/>
  <c r="E41" i="53"/>
  <c r="E55" i="53"/>
  <c r="E69" i="53"/>
  <c r="F41" i="53"/>
  <c r="F69" i="53"/>
  <c r="G41" i="53"/>
  <c r="G69" i="53"/>
  <c r="G8" i="11"/>
  <c r="K8" i="11"/>
  <c r="J9" i="11"/>
  <c r="I10" i="11"/>
  <c r="H11" i="11"/>
  <c r="G9" i="11"/>
  <c r="J10" i="11"/>
  <c r="I8" i="11"/>
  <c r="G10" i="11"/>
  <c r="J8" i="11"/>
  <c r="H10" i="11"/>
  <c r="K11" i="11"/>
  <c r="H8" i="11"/>
  <c r="K9" i="11"/>
  <c r="I11" i="11"/>
  <c r="H9" i="11"/>
  <c r="K10" i="11"/>
  <c r="J11" i="11"/>
  <c r="I9" i="11"/>
  <c r="G11" i="11"/>
  <c r="B2" i="11"/>
  <c r="F2" i="11"/>
  <c r="E3" i="11"/>
  <c r="D4" i="11"/>
  <c r="C5" i="11"/>
  <c r="C2" i="11"/>
  <c r="B3" i="11"/>
  <c r="F3" i="11"/>
  <c r="E4" i="11"/>
  <c r="D5" i="11"/>
  <c r="D2" i="11"/>
  <c r="C3" i="11"/>
  <c r="F4" i="11"/>
  <c r="E5" i="11"/>
  <c r="E2" i="11"/>
  <c r="D3" i="11"/>
  <c r="C4" i="11"/>
  <c r="B5" i="11"/>
  <c r="F5" i="11"/>
  <c r="B4" i="11"/>
  <c r="G27" i="52"/>
  <c r="G29" i="52" s="1"/>
  <c r="G32" i="52" s="1"/>
  <c r="H27" i="52"/>
  <c r="E25" i="51"/>
  <c r="G73" i="51"/>
  <c r="G65" i="51"/>
  <c r="G57" i="51"/>
  <c r="G49" i="51"/>
  <c r="G41" i="51"/>
  <c r="G33" i="51"/>
  <c r="G25" i="51"/>
  <c r="H65" i="51"/>
  <c r="H57" i="51"/>
  <c r="F73" i="51"/>
  <c r="F65" i="51"/>
  <c r="F57" i="51"/>
  <c r="F49" i="51"/>
  <c r="F41" i="51"/>
  <c r="F33" i="51"/>
  <c r="F25" i="51"/>
  <c r="I73" i="51"/>
  <c r="E73" i="51"/>
  <c r="I65" i="51"/>
  <c r="E65" i="51"/>
  <c r="I57" i="51"/>
  <c r="E57" i="51"/>
  <c r="I49" i="51"/>
  <c r="E49" i="51"/>
  <c r="I41" i="51"/>
  <c r="E41" i="51"/>
  <c r="I33" i="51"/>
  <c r="E33" i="51"/>
  <c r="I25" i="51"/>
  <c r="H73" i="51"/>
  <c r="H49" i="51"/>
  <c r="H41" i="51"/>
  <c r="H33" i="51"/>
  <c r="H25" i="51"/>
  <c r="F28" i="52"/>
  <c r="E26" i="52"/>
  <c r="I26" i="52"/>
  <c r="H26" i="52"/>
  <c r="E68" i="56"/>
  <c r="G63" i="56"/>
  <c r="H56" i="56"/>
  <c r="E49" i="56"/>
  <c r="E63" i="56"/>
  <c r="E54" i="56"/>
  <c r="G28" i="56"/>
  <c r="F42" i="56"/>
  <c r="G40" i="56"/>
  <c r="E40" i="56"/>
  <c r="E26" i="56"/>
  <c r="F33" i="56"/>
  <c r="F54" i="56"/>
  <c r="H28" i="56"/>
  <c r="F68" i="56"/>
  <c r="G56" i="56"/>
  <c r="G61" i="56"/>
  <c r="E47" i="56"/>
  <c r="I28" i="56"/>
  <c r="F49" i="56"/>
  <c r="E35" i="56"/>
  <c r="H35" i="56"/>
  <c r="E70" i="56"/>
  <c r="F61" i="56"/>
  <c r="H61" i="56"/>
  <c r="H47" i="56"/>
  <c r="I40" i="56"/>
  <c r="I26" i="56"/>
  <c r="I47" i="56"/>
  <c r="I68" i="56"/>
  <c r="I61" i="56"/>
  <c r="E42" i="56"/>
  <c r="E33" i="56"/>
  <c r="G70" i="56"/>
  <c r="H68" i="56"/>
  <c r="I33" i="56"/>
  <c r="I56" i="56"/>
  <c r="G33" i="56"/>
  <c r="F56" i="56"/>
  <c r="G54" i="56"/>
  <c r="G47" i="56"/>
  <c r="H33" i="56"/>
  <c r="F63" i="56"/>
  <c r="H49" i="56"/>
  <c r="F28" i="56"/>
  <c r="I63" i="56"/>
  <c r="G68" i="56"/>
  <c r="I54" i="56"/>
  <c r="G49" i="56"/>
  <c r="H63" i="56"/>
  <c r="H54" i="56"/>
  <c r="I42" i="56"/>
  <c r="E61" i="56"/>
  <c r="E56" i="56"/>
  <c r="F26" i="56"/>
  <c r="I49" i="56"/>
  <c r="F47" i="56"/>
  <c r="I70" i="56"/>
  <c r="F40" i="56"/>
  <c r="G42" i="56"/>
  <c r="H40" i="56"/>
  <c r="E28" i="56"/>
  <c r="H70" i="56"/>
  <c r="F35" i="56"/>
  <c r="G35" i="56"/>
  <c r="H26" i="56"/>
  <c r="F70" i="56"/>
  <c r="G26" i="56"/>
  <c r="H42" i="56"/>
  <c r="I35" i="56"/>
  <c r="E56" i="55"/>
  <c r="E47" i="55"/>
  <c r="H33" i="55"/>
  <c r="E26" i="55"/>
  <c r="I28" i="55"/>
  <c r="H70" i="55"/>
  <c r="E40" i="55"/>
  <c r="H63" i="55"/>
  <c r="H47" i="55"/>
  <c r="E63" i="55"/>
  <c r="G68" i="55"/>
  <c r="I42" i="55"/>
  <c r="F40" i="55"/>
  <c r="I63" i="55"/>
  <c r="G40" i="55"/>
  <c r="G28" i="55"/>
  <c r="F49" i="55"/>
  <c r="H26" i="55"/>
  <c r="F68" i="55"/>
  <c r="E49" i="55"/>
  <c r="G56" i="55"/>
  <c r="H56" i="55"/>
  <c r="F61" i="55"/>
  <c r="I35" i="55"/>
  <c r="F33" i="55"/>
  <c r="G61" i="55"/>
  <c r="I56" i="55"/>
  <c r="F42" i="55"/>
  <c r="G33" i="55"/>
  <c r="I68" i="55"/>
  <c r="H28" i="55"/>
  <c r="G47" i="55"/>
  <c r="E54" i="55"/>
  <c r="E33" i="55"/>
  <c r="I49" i="55"/>
  <c r="H35" i="55"/>
  <c r="E28" i="55"/>
  <c r="I26" i="55"/>
  <c r="F54" i="55"/>
  <c r="E42" i="55"/>
  <c r="H49" i="55"/>
  <c r="E61" i="55"/>
  <c r="G70" i="55"/>
  <c r="F26" i="55"/>
  <c r="G63" i="55"/>
  <c r="E68" i="55"/>
  <c r="G42" i="55"/>
  <c r="H42" i="55"/>
  <c r="G35" i="55"/>
  <c r="F47" i="55"/>
  <c r="I70" i="55"/>
  <c r="F70" i="55"/>
  <c r="E35" i="55"/>
  <c r="I47" i="55"/>
  <c r="G54" i="55"/>
  <c r="H54" i="55"/>
  <c r="F63" i="55"/>
  <c r="H68" i="55"/>
  <c r="F56" i="55"/>
  <c r="H61" i="55"/>
  <c r="I33" i="55"/>
  <c r="F35" i="55"/>
  <c r="F28" i="55"/>
  <c r="I40" i="55"/>
  <c r="E70" i="55"/>
  <c r="I54" i="55"/>
  <c r="I61" i="55"/>
  <c r="H40" i="55"/>
  <c r="G26" i="55"/>
  <c r="G49" i="55"/>
  <c r="E28" i="54"/>
  <c r="H35" i="54"/>
  <c r="I49" i="54"/>
  <c r="I28" i="54"/>
  <c r="F33" i="54"/>
  <c r="I42" i="54"/>
  <c r="E54" i="54"/>
  <c r="G54" i="54"/>
  <c r="E35" i="54"/>
  <c r="F61" i="54"/>
  <c r="H61" i="54"/>
  <c r="I35" i="54"/>
  <c r="G28" i="54"/>
  <c r="F68" i="54"/>
  <c r="E40" i="54"/>
  <c r="E61" i="54"/>
  <c r="F26" i="54"/>
  <c r="E68" i="54"/>
  <c r="H68" i="54"/>
  <c r="E56" i="54"/>
  <c r="E47" i="54"/>
  <c r="I54" i="54"/>
  <c r="F47" i="54"/>
  <c r="I70" i="54"/>
  <c r="H33" i="54"/>
  <c r="G70" i="54"/>
  <c r="G63" i="54"/>
  <c r="G40" i="54"/>
  <c r="I40" i="54"/>
  <c r="E70" i="54"/>
  <c r="I63" i="54"/>
  <c r="E49" i="54"/>
  <c r="G26" i="54"/>
  <c r="F70" i="54"/>
  <c r="E26" i="54"/>
  <c r="H56" i="54"/>
  <c r="G68" i="54"/>
  <c r="E63" i="54"/>
  <c r="F54" i="54"/>
  <c r="F42" i="54"/>
  <c r="I61" i="54"/>
  <c r="G56" i="54"/>
  <c r="E33" i="54"/>
  <c r="H63" i="54"/>
  <c r="I33" i="54"/>
  <c r="I56" i="54"/>
  <c r="G33" i="54"/>
  <c r="I68" i="54"/>
  <c r="H28" i="54"/>
  <c r="G47" i="54"/>
  <c r="I26" i="54"/>
  <c r="G61" i="54"/>
  <c r="G42" i="54"/>
  <c r="F56" i="54"/>
  <c r="F40" i="54"/>
  <c r="H40" i="54"/>
  <c r="F63" i="54"/>
  <c r="H49" i="54"/>
  <c r="G35" i="54"/>
  <c r="H26" i="54"/>
  <c r="I47" i="54"/>
  <c r="H54" i="54"/>
  <c r="E42" i="54"/>
  <c r="F35" i="54"/>
  <c r="F28" i="54"/>
  <c r="H70" i="54"/>
  <c r="H42" i="54"/>
  <c r="H47" i="54"/>
  <c r="F49" i="54"/>
  <c r="G49" i="54"/>
  <c r="H49" i="53"/>
  <c r="F47" i="53"/>
  <c r="H70" i="53"/>
  <c r="H28" i="53"/>
  <c r="H56" i="53"/>
  <c r="F26" i="53"/>
  <c r="F54" i="53"/>
  <c r="H35" i="53"/>
  <c r="H63" i="53"/>
  <c r="F33" i="53"/>
  <c r="F61" i="53"/>
  <c r="H42" i="53"/>
  <c r="F40" i="53"/>
  <c r="F68" i="53"/>
  <c r="G56" i="53"/>
  <c r="E54" i="53"/>
  <c r="H47" i="53"/>
  <c r="H54" i="53"/>
  <c r="I49" i="53"/>
  <c r="F63" i="53"/>
  <c r="E28" i="53"/>
  <c r="E70" i="53"/>
  <c r="G68" i="53"/>
  <c r="I26" i="53"/>
  <c r="I40" i="53"/>
  <c r="I54" i="53"/>
  <c r="I70" i="53"/>
  <c r="G47" i="53"/>
  <c r="E33" i="53"/>
  <c r="E49" i="53"/>
  <c r="E61" i="53"/>
  <c r="G28" i="53"/>
  <c r="G54" i="53"/>
  <c r="I33" i="53"/>
  <c r="I47" i="53"/>
  <c r="I63" i="53"/>
  <c r="G35" i="53"/>
  <c r="G63" i="53"/>
  <c r="E26" i="53"/>
  <c r="E40" i="53"/>
  <c r="E56" i="53"/>
  <c r="E68" i="53"/>
  <c r="G40" i="53"/>
  <c r="G70" i="53"/>
  <c r="I68" i="53"/>
  <c r="F49" i="53"/>
  <c r="H68" i="53"/>
  <c r="G49" i="53"/>
  <c r="H26" i="53"/>
  <c r="E47" i="53"/>
  <c r="F28" i="53"/>
  <c r="F56" i="53"/>
  <c r="H33" i="53"/>
  <c r="H61" i="53"/>
  <c r="I61" i="53"/>
  <c r="F35" i="53"/>
  <c r="G42" i="53"/>
  <c r="I28" i="53"/>
  <c r="I42" i="53"/>
  <c r="I56" i="53"/>
  <c r="E35" i="53"/>
  <c r="E63" i="53"/>
  <c r="G26" i="53"/>
  <c r="I35" i="53"/>
  <c r="G33" i="53"/>
  <c r="G61" i="53"/>
  <c r="H40" i="53"/>
  <c r="E42" i="53"/>
  <c r="F42" i="53"/>
  <c r="F70" i="53"/>
  <c r="H29" i="52" l="1"/>
  <c r="H32" i="52" s="1"/>
  <c r="I29" i="52"/>
  <c r="I32" i="52" s="1"/>
  <c r="E29" i="52"/>
  <c r="E32" i="52" s="1"/>
  <c r="F29" i="52"/>
  <c r="F32" i="52" s="1"/>
  <c r="E51" i="51"/>
  <c r="F27" i="51"/>
  <c r="H67" i="51"/>
  <c r="H27" i="51"/>
  <c r="I35" i="51"/>
  <c r="I67" i="51"/>
  <c r="F67" i="51"/>
  <c r="G59" i="51"/>
  <c r="E27" i="51"/>
  <c r="E59" i="51"/>
  <c r="F75" i="51"/>
  <c r="H51" i="51"/>
  <c r="E35" i="51"/>
  <c r="E67" i="51"/>
  <c r="F59" i="51"/>
  <c r="G51" i="51"/>
  <c r="H75" i="51"/>
  <c r="I51" i="51"/>
  <c r="F35" i="51"/>
  <c r="G27" i="51"/>
  <c r="H35" i="51"/>
  <c r="E43" i="51"/>
  <c r="E75" i="51"/>
  <c r="F43" i="51"/>
  <c r="G35" i="51"/>
  <c r="G67" i="51"/>
  <c r="H43" i="51"/>
  <c r="I27" i="51"/>
  <c r="I43" i="51"/>
  <c r="I59" i="51"/>
  <c r="I75" i="51"/>
  <c r="F51" i="51"/>
  <c r="H59" i="51"/>
  <c r="G43" i="51"/>
  <c r="G75" i="51"/>
  <c r="I30" i="50"/>
  <c r="H30" i="50"/>
  <c r="G30" i="50"/>
  <c r="F30" i="50"/>
  <c r="E30" i="50"/>
  <c r="I25" i="50"/>
  <c r="H25" i="50"/>
  <c r="G25" i="50"/>
  <c r="F25" i="50"/>
  <c r="E25" i="50"/>
  <c r="G34" i="50"/>
  <c r="G31" i="50"/>
  <c r="G26" i="50"/>
  <c r="H31" i="50"/>
  <c r="F34" i="50"/>
  <c r="E31" i="50"/>
  <c r="F31" i="50"/>
  <c r="F26" i="50"/>
  <c r="I34" i="50"/>
  <c r="I31" i="50"/>
  <c r="I26" i="50"/>
  <c r="E34" i="50"/>
  <c r="E26" i="50"/>
  <c r="H34" i="50"/>
  <c r="H26" i="50"/>
  <c r="F26" i="51"/>
  <c r="H68" i="51"/>
  <c r="H28" i="51"/>
  <c r="F66" i="51"/>
  <c r="G61" i="51"/>
  <c r="F74" i="51"/>
  <c r="H52" i="51"/>
  <c r="F58" i="51"/>
  <c r="G53" i="51"/>
  <c r="H76" i="51"/>
  <c r="F34" i="51"/>
  <c r="G29" i="51"/>
  <c r="H36" i="51"/>
  <c r="F42" i="51"/>
  <c r="G37" i="51"/>
  <c r="G69" i="51"/>
  <c r="H44" i="51"/>
  <c r="F50" i="51"/>
  <c r="H60" i="51"/>
  <c r="G45" i="51"/>
  <c r="G77" i="51"/>
  <c r="G44" i="51"/>
  <c r="E50" i="51"/>
  <c r="I37" i="51"/>
  <c r="F68" i="51"/>
  <c r="E61" i="51"/>
  <c r="E66" i="51"/>
  <c r="G52" i="51"/>
  <c r="I53" i="51"/>
  <c r="E45" i="51"/>
  <c r="F45" i="51"/>
  <c r="I29" i="51"/>
  <c r="I58" i="51"/>
  <c r="F52" i="51"/>
  <c r="H66" i="51"/>
  <c r="I36" i="51"/>
  <c r="E28" i="51"/>
  <c r="F76" i="51"/>
  <c r="E69" i="51"/>
  <c r="F60" i="51"/>
  <c r="I52" i="51"/>
  <c r="H37" i="51"/>
  <c r="E76" i="51"/>
  <c r="F44" i="51"/>
  <c r="H42" i="51"/>
  <c r="I44" i="51"/>
  <c r="I76" i="51"/>
  <c r="G42" i="51"/>
  <c r="E52" i="51"/>
  <c r="F29" i="51"/>
  <c r="H69" i="51"/>
  <c r="I34" i="51"/>
  <c r="I66" i="51"/>
  <c r="F69" i="51"/>
  <c r="G60" i="51"/>
  <c r="E26" i="51"/>
  <c r="E58" i="51"/>
  <c r="H53" i="51"/>
  <c r="E34" i="51"/>
  <c r="E68" i="51"/>
  <c r="G50" i="51"/>
  <c r="I50" i="51"/>
  <c r="F37" i="51"/>
  <c r="G28" i="51"/>
  <c r="E42" i="51"/>
  <c r="E74" i="51"/>
  <c r="G36" i="51"/>
  <c r="G68" i="51"/>
  <c r="H45" i="51"/>
  <c r="I26" i="51"/>
  <c r="I42" i="51"/>
  <c r="I60" i="51"/>
  <c r="I74" i="51"/>
  <c r="F53" i="51"/>
  <c r="G76" i="51"/>
  <c r="F28" i="51"/>
  <c r="H26" i="51"/>
  <c r="I69" i="51"/>
  <c r="E29" i="51"/>
  <c r="F77" i="51"/>
  <c r="E37" i="51"/>
  <c r="F61" i="51"/>
  <c r="H74" i="51"/>
  <c r="F36" i="51"/>
  <c r="H34" i="51"/>
  <c r="E77" i="51"/>
  <c r="I45" i="51"/>
  <c r="I77" i="51"/>
  <c r="H58" i="51"/>
  <c r="E53" i="51"/>
  <c r="H29" i="51"/>
  <c r="I68" i="51"/>
  <c r="G58" i="51"/>
  <c r="E60" i="51"/>
  <c r="H50" i="51"/>
  <c r="E36" i="51"/>
  <c r="H77" i="51"/>
  <c r="G26" i="51"/>
  <c r="E44" i="51"/>
  <c r="G34" i="51"/>
  <c r="G66" i="51"/>
  <c r="I28" i="51"/>
  <c r="I61" i="51"/>
  <c r="H61" i="51"/>
  <c r="G74" i="51"/>
  <c r="G34" i="52"/>
  <c r="E34" i="52"/>
  <c r="H34" i="52"/>
  <c r="I34" i="52"/>
  <c r="F34" i="52"/>
  <c r="G31" i="56"/>
  <c r="H45" i="56"/>
  <c r="F52" i="56"/>
  <c r="E65" i="56"/>
  <c r="I59" i="56"/>
  <c r="H38" i="56"/>
  <c r="G59" i="56"/>
  <c r="I37" i="56"/>
  <c r="E37" i="56"/>
  <c r="I73" i="56"/>
  <c r="I31" i="56"/>
  <c r="H52" i="56"/>
  <c r="F66" i="56"/>
  <c r="G66" i="56"/>
  <c r="F59" i="56"/>
  <c r="E31" i="56"/>
  <c r="G45" i="56"/>
  <c r="E73" i="56"/>
  <c r="F51" i="56"/>
  <c r="H37" i="56"/>
  <c r="I38" i="56"/>
  <c r="I72" i="56"/>
  <c r="I30" i="56"/>
  <c r="F65" i="56"/>
  <c r="F58" i="56"/>
  <c r="E30" i="56"/>
  <c r="E72" i="56"/>
  <c r="H30" i="56"/>
  <c r="F31" i="56"/>
  <c r="G73" i="56"/>
  <c r="G38" i="56"/>
  <c r="I65" i="56"/>
  <c r="I52" i="56"/>
  <c r="H66" i="56"/>
  <c r="F72" i="56"/>
  <c r="E45" i="56"/>
  <c r="F45" i="56"/>
  <c r="H59" i="56"/>
  <c r="G52" i="56"/>
  <c r="H72" i="56"/>
  <c r="I51" i="56"/>
  <c r="H65" i="56"/>
  <c r="F73" i="56"/>
  <c r="E44" i="56"/>
  <c r="E58" i="56"/>
  <c r="G30" i="56"/>
  <c r="H44" i="56"/>
  <c r="E66" i="56"/>
  <c r="I58" i="56"/>
  <c r="G58" i="56"/>
  <c r="E38" i="56"/>
  <c r="H51" i="56"/>
  <c r="G65" i="56"/>
  <c r="G44" i="56"/>
  <c r="F44" i="56"/>
  <c r="H58" i="56"/>
  <c r="G51" i="56"/>
  <c r="H73" i="56"/>
  <c r="I45" i="56"/>
  <c r="E52" i="56"/>
  <c r="F38" i="56"/>
  <c r="E59" i="56"/>
  <c r="H31" i="56"/>
  <c r="F30" i="56"/>
  <c r="G72" i="56"/>
  <c r="G37" i="56"/>
  <c r="I66" i="56"/>
  <c r="I44" i="56"/>
  <c r="E51" i="56"/>
  <c r="F37" i="56"/>
  <c r="G31" i="55"/>
  <c r="I65" i="55"/>
  <c r="I45" i="55"/>
  <c r="H66" i="55"/>
  <c r="H58" i="55"/>
  <c r="I52" i="55"/>
  <c r="E73" i="55"/>
  <c r="E65" i="55"/>
  <c r="I30" i="55"/>
  <c r="E58" i="55"/>
  <c r="I73" i="55"/>
  <c r="G66" i="55"/>
  <c r="F66" i="55"/>
  <c r="H30" i="55"/>
  <c r="F44" i="55"/>
  <c r="H52" i="55"/>
  <c r="E31" i="55"/>
  <c r="E52" i="55"/>
  <c r="H45" i="55"/>
  <c r="H73" i="55"/>
  <c r="F52" i="55"/>
  <c r="F59" i="55"/>
  <c r="G38" i="55"/>
  <c r="G44" i="55"/>
  <c r="E45" i="55"/>
  <c r="H44" i="55"/>
  <c r="I38" i="55"/>
  <c r="F51" i="55"/>
  <c r="F58" i="55"/>
  <c r="G52" i="55"/>
  <c r="F73" i="55"/>
  <c r="G72" i="55"/>
  <c r="H37" i="55"/>
  <c r="G30" i="55"/>
  <c r="I66" i="55"/>
  <c r="I44" i="55"/>
  <c r="H65" i="55"/>
  <c r="H59" i="55"/>
  <c r="I51" i="55"/>
  <c r="E72" i="55"/>
  <c r="E66" i="55"/>
  <c r="I31" i="55"/>
  <c r="E59" i="55"/>
  <c r="I72" i="55"/>
  <c r="G65" i="55"/>
  <c r="F65" i="55"/>
  <c r="H31" i="55"/>
  <c r="F45" i="55"/>
  <c r="H51" i="55"/>
  <c r="E30" i="55"/>
  <c r="E51" i="55"/>
  <c r="I59" i="55"/>
  <c r="I37" i="55"/>
  <c r="G59" i="55"/>
  <c r="F31" i="55"/>
  <c r="E37" i="55"/>
  <c r="G51" i="55"/>
  <c r="F38" i="55"/>
  <c r="F72" i="55"/>
  <c r="G73" i="55"/>
  <c r="H38" i="55"/>
  <c r="I58" i="55"/>
  <c r="H72" i="55"/>
  <c r="G58" i="55"/>
  <c r="F30" i="55"/>
  <c r="E38" i="55"/>
  <c r="G37" i="55"/>
  <c r="F37" i="55"/>
  <c r="G45" i="55"/>
  <c r="E44" i="55"/>
  <c r="H52" i="54"/>
  <c r="I51" i="54"/>
  <c r="H45" i="54"/>
  <c r="G66" i="54"/>
  <c r="G51" i="54"/>
  <c r="G37" i="54"/>
  <c r="E37" i="54"/>
  <c r="F59" i="54"/>
  <c r="E31" i="54"/>
  <c r="I45" i="54"/>
  <c r="H38" i="54"/>
  <c r="I59" i="54"/>
  <c r="H72" i="54"/>
  <c r="F31" i="54"/>
  <c r="E45" i="54"/>
  <c r="H66" i="54"/>
  <c r="G59" i="54"/>
  <c r="F38" i="54"/>
  <c r="H37" i="54"/>
  <c r="F30" i="54"/>
  <c r="H65" i="54"/>
  <c r="F37" i="54"/>
  <c r="H30" i="54"/>
  <c r="I31" i="54"/>
  <c r="I37" i="54"/>
  <c r="I65" i="54"/>
  <c r="G31" i="54"/>
  <c r="F52" i="54"/>
  <c r="E73" i="54"/>
  <c r="F72" i="54"/>
  <c r="E59" i="54"/>
  <c r="H59" i="54"/>
  <c r="F45" i="54"/>
  <c r="I72" i="54"/>
  <c r="I66" i="54"/>
  <c r="G30" i="54"/>
  <c r="F51" i="54"/>
  <c r="E72" i="54"/>
  <c r="F73" i="54"/>
  <c r="E58" i="54"/>
  <c r="H51" i="54"/>
  <c r="I52" i="54"/>
  <c r="H44" i="54"/>
  <c r="G65" i="54"/>
  <c r="G52" i="54"/>
  <c r="G38" i="54"/>
  <c r="E38" i="54"/>
  <c r="F58" i="54"/>
  <c r="E30" i="54"/>
  <c r="I44" i="54"/>
  <c r="I58" i="54"/>
  <c r="H73" i="54"/>
  <c r="E44" i="54"/>
  <c r="G58" i="54"/>
  <c r="H58" i="54"/>
  <c r="F44" i="54"/>
  <c r="I73" i="54"/>
  <c r="G73" i="54"/>
  <c r="G45" i="54"/>
  <c r="E52" i="54"/>
  <c r="E65" i="54"/>
  <c r="F66" i="54"/>
  <c r="H31" i="54"/>
  <c r="I30" i="54"/>
  <c r="I38" i="54"/>
  <c r="G72" i="54"/>
  <c r="G44" i="54"/>
  <c r="E51" i="54"/>
  <c r="E66" i="54"/>
  <c r="F65" i="54"/>
  <c r="H45" i="53"/>
  <c r="G38" i="53"/>
  <c r="I66" i="53"/>
  <c r="H38" i="53"/>
  <c r="H31" i="53"/>
  <c r="I73" i="53"/>
  <c r="E73" i="53"/>
  <c r="E31" i="53"/>
  <c r="I38" i="53"/>
  <c r="E66" i="53"/>
  <c r="G52" i="53"/>
  <c r="I45" i="53"/>
  <c r="G72" i="53"/>
  <c r="H52" i="53"/>
  <c r="F72" i="53"/>
  <c r="F65" i="53"/>
  <c r="F58" i="53"/>
  <c r="F51" i="53"/>
  <c r="H44" i="53"/>
  <c r="G37" i="53"/>
  <c r="I65" i="53"/>
  <c r="H37" i="53"/>
  <c r="H30" i="53"/>
  <c r="I72" i="53"/>
  <c r="E72" i="53"/>
  <c r="E30" i="53"/>
  <c r="I37" i="53"/>
  <c r="E65" i="53"/>
  <c r="G51" i="53"/>
  <c r="I44" i="53"/>
  <c r="G73" i="53"/>
  <c r="H51" i="53"/>
  <c r="F73" i="53"/>
  <c r="F66" i="53"/>
  <c r="F59" i="53"/>
  <c r="F52" i="53"/>
  <c r="I52" i="53"/>
  <c r="G59" i="53"/>
  <c r="E38" i="53"/>
  <c r="I59" i="53"/>
  <c r="I31" i="53"/>
  <c r="H59" i="53"/>
  <c r="E59" i="53"/>
  <c r="F44" i="53"/>
  <c r="F37" i="53"/>
  <c r="F30" i="53"/>
  <c r="G66" i="53"/>
  <c r="G30" i="53"/>
  <c r="H65" i="53"/>
  <c r="E51" i="53"/>
  <c r="H72" i="53"/>
  <c r="E44" i="53"/>
  <c r="I51" i="53"/>
  <c r="G58" i="53"/>
  <c r="I58" i="53"/>
  <c r="E58" i="53"/>
  <c r="F38" i="53"/>
  <c r="G65" i="53"/>
  <c r="G31" i="53"/>
  <c r="H66" i="53"/>
  <c r="E52" i="53"/>
  <c r="H73" i="53"/>
  <c r="G45" i="53"/>
  <c r="E45" i="53"/>
  <c r="G44" i="53"/>
  <c r="E37" i="53"/>
  <c r="I30" i="53"/>
  <c r="H58" i="53"/>
  <c r="F45" i="53"/>
  <c r="F31" i="53"/>
  <c r="M12" i="50"/>
  <c r="E19" i="50" l="1"/>
  <c r="G13" i="50"/>
  <c r="J13" i="50" s="1"/>
  <c r="F13" i="50"/>
  <c r="I13" i="50" s="1"/>
  <c r="B67" i="49"/>
  <c r="B60" i="49"/>
  <c r="B53" i="49"/>
  <c r="B46" i="49"/>
  <c r="B39" i="49"/>
  <c r="B32" i="49"/>
  <c r="B25" i="49"/>
  <c r="H36" i="52"/>
  <c r="F36" i="52"/>
  <c r="I36" i="52"/>
  <c r="E36" i="52"/>
  <c r="G36" i="52"/>
  <c r="G13" i="49" l="1"/>
  <c r="F13" i="49"/>
  <c r="E19" i="49"/>
  <c r="D16" i="49"/>
  <c r="G27" i="50" l="1"/>
  <c r="E27" i="50"/>
  <c r="I27" i="50"/>
  <c r="F27" i="50"/>
  <c r="H27" i="50"/>
  <c r="H67" i="49"/>
  <c r="I60" i="49"/>
  <c r="E60" i="49"/>
  <c r="F53" i="49"/>
  <c r="G46" i="49"/>
  <c r="H39" i="49"/>
  <c r="I32" i="49"/>
  <c r="E32" i="49"/>
  <c r="G67" i="49"/>
  <c r="H60" i="49"/>
  <c r="I53" i="49"/>
  <c r="E53" i="49"/>
  <c r="F46" i="49"/>
  <c r="G39" i="49"/>
  <c r="H32" i="49"/>
  <c r="F67" i="49"/>
  <c r="G60" i="49"/>
  <c r="H53" i="49"/>
  <c r="I46" i="49"/>
  <c r="E46" i="49"/>
  <c r="F39" i="49"/>
  <c r="G32" i="49"/>
  <c r="I67" i="49"/>
  <c r="E67" i="49"/>
  <c r="F60" i="49"/>
  <c r="G53" i="49"/>
  <c r="H46" i="49"/>
  <c r="I39" i="49"/>
  <c r="E39" i="49"/>
  <c r="F32" i="49"/>
  <c r="F25" i="49"/>
  <c r="I25" i="49"/>
  <c r="E25" i="49"/>
  <c r="G25" i="49"/>
  <c r="H25" i="49"/>
  <c r="B37" i="48"/>
  <c r="B36" i="48"/>
  <c r="B35" i="48"/>
  <c r="B34" i="48"/>
  <c r="B33" i="48"/>
  <c r="B32" i="48"/>
  <c r="B31" i="48"/>
  <c r="B30" i="48"/>
  <c r="B29" i="48"/>
  <c r="B28" i="48"/>
  <c r="B27" i="48"/>
  <c r="B26" i="48"/>
  <c r="B25" i="48"/>
  <c r="B24" i="48"/>
  <c r="E19" i="48"/>
  <c r="B37" i="47"/>
  <c r="B36" i="47"/>
  <c r="B35" i="47"/>
  <c r="B34" i="47"/>
  <c r="B33" i="47"/>
  <c r="B32" i="47"/>
  <c r="B31" i="47"/>
  <c r="B30" i="47"/>
  <c r="B29" i="47"/>
  <c r="B28" i="47"/>
  <c r="B27" i="47"/>
  <c r="B26" i="47"/>
  <c r="B25" i="47"/>
  <c r="B24" i="47"/>
  <c r="E19" i="47"/>
  <c r="G28" i="50"/>
  <c r="D16" i="48"/>
  <c r="H41" i="47"/>
  <c r="F41" i="48"/>
  <c r="E54" i="49"/>
  <c r="E68" i="49"/>
  <c r="F47" i="49"/>
  <c r="E56" i="49"/>
  <c r="F68" i="49"/>
  <c r="E42" i="49"/>
  <c r="E71" i="49"/>
  <c r="H70" i="49"/>
  <c r="H68" i="49"/>
  <c r="G43" i="49"/>
  <c r="E28" i="49"/>
  <c r="F54" i="49"/>
  <c r="G54" i="49"/>
  <c r="F70" i="49"/>
  <c r="G35" i="49"/>
  <c r="F50" i="49"/>
  <c r="G26" i="49"/>
  <c r="I63" i="49"/>
  <c r="F35" i="49"/>
  <c r="I61" i="49"/>
  <c r="H56" i="49"/>
  <c r="E70" i="49"/>
  <c r="F49" i="49"/>
  <c r="G49" i="49"/>
  <c r="H61" i="49"/>
  <c r="I41" i="48"/>
  <c r="D16" i="47"/>
  <c r="G68" i="49"/>
  <c r="F42" i="49"/>
  <c r="H64" i="49"/>
  <c r="G28" i="49"/>
  <c r="F61" i="49"/>
  <c r="I57" i="49"/>
  <c r="H71" i="49"/>
  <c r="G57" i="49"/>
  <c r="E28" i="50"/>
  <c r="E41" i="47"/>
  <c r="E41" i="48"/>
  <c r="I41" i="47"/>
  <c r="E50" i="49"/>
  <c r="I28" i="49"/>
  <c r="F64" i="49"/>
  <c r="I43" i="49"/>
  <c r="I29" i="49"/>
  <c r="I64" i="49"/>
  <c r="E26" i="49"/>
  <c r="E57" i="49"/>
  <c r="G61" i="49"/>
  <c r="F43" i="49"/>
  <c r="G50" i="49"/>
  <c r="E47" i="49"/>
  <c r="E35" i="49"/>
  <c r="E49" i="49"/>
  <c r="I26" i="49"/>
  <c r="G63" i="49"/>
  <c r="H40" i="49"/>
  <c r="F41" i="47"/>
  <c r="E36" i="49"/>
  <c r="E40" i="49"/>
  <c r="G70" i="49"/>
  <c r="H43" i="49"/>
  <c r="H63" i="49"/>
  <c r="I42" i="49"/>
  <c r="E43" i="49"/>
  <c r="H28" i="50"/>
  <c r="F71" i="49"/>
  <c r="F57" i="49"/>
  <c r="E33" i="49"/>
  <c r="F33" i="49"/>
  <c r="G29" i="49"/>
  <c r="F29" i="49"/>
  <c r="G40" i="49"/>
  <c r="F40" i="49"/>
  <c r="H49" i="49"/>
  <c r="F28" i="50"/>
  <c r="I28" i="50"/>
  <c r="G41" i="48"/>
  <c r="H41" i="48"/>
  <c r="E29" i="49"/>
  <c r="G36" i="49"/>
  <c r="G47" i="49"/>
  <c r="G71" i="49"/>
  <c r="G33" i="49"/>
  <c r="G41" i="47"/>
  <c r="F56" i="49"/>
  <c r="H42" i="49"/>
  <c r="G64" i="49"/>
  <c r="I40" i="49"/>
  <c r="F63" i="49"/>
  <c r="H57" i="49"/>
  <c r="I70" i="49"/>
  <c r="H54" i="49"/>
  <c r="F36" i="49"/>
  <c r="I33" i="49"/>
  <c r="H36" i="49"/>
  <c r="I68" i="49"/>
  <c r="F26" i="49"/>
  <c r="G42" i="49"/>
  <c r="E61" i="49"/>
  <c r="I56" i="49"/>
  <c r="I49" i="49"/>
  <c r="H26" i="49"/>
  <c r="G56" i="49"/>
  <c r="H47" i="49"/>
  <c r="I29" i="50" l="1"/>
  <c r="I32" i="50" s="1"/>
  <c r="E29" i="50"/>
  <c r="E32" i="50" s="1"/>
  <c r="G29" i="50"/>
  <c r="G32" i="50" s="1"/>
  <c r="H29" i="50"/>
  <c r="H32" i="50" s="1"/>
  <c r="F29" i="50"/>
  <c r="F32" i="50" s="1"/>
  <c r="E69" i="49"/>
  <c r="F69" i="49"/>
  <c r="E34" i="49"/>
  <c r="H48" i="49"/>
  <c r="I48" i="49"/>
  <c r="I55" i="49"/>
  <c r="I34" i="49"/>
  <c r="F34" i="49"/>
  <c r="G55" i="49"/>
  <c r="G34" i="49"/>
  <c r="H55" i="49"/>
  <c r="G41" i="49"/>
  <c r="H62" i="49"/>
  <c r="H41" i="49"/>
  <c r="I62" i="49"/>
  <c r="I41" i="49"/>
  <c r="E48" i="49"/>
  <c r="E55" i="49"/>
  <c r="F55" i="49"/>
  <c r="I69" i="49"/>
  <c r="H34" i="49"/>
  <c r="E62" i="49"/>
  <c r="E41" i="49"/>
  <c r="F62" i="49"/>
  <c r="F41" i="49"/>
  <c r="G62" i="49"/>
  <c r="F48" i="49"/>
  <c r="G69" i="49"/>
  <c r="G48" i="49"/>
  <c r="H69" i="49"/>
  <c r="G27" i="49"/>
  <c r="E27" i="49"/>
  <c r="I27" i="49"/>
  <c r="H27" i="49"/>
  <c r="F27" i="49"/>
  <c r="O22" i="48"/>
  <c r="P22" i="48"/>
  <c r="S22" i="48"/>
  <c r="H42" i="48"/>
  <c r="G42" i="48"/>
  <c r="E42" i="48"/>
  <c r="I42" i="48"/>
  <c r="F42" i="48"/>
  <c r="H42" i="47"/>
  <c r="O22" i="47"/>
  <c r="S22" i="47"/>
  <c r="P22" i="47"/>
  <c r="E42" i="47"/>
  <c r="I42" i="47"/>
  <c r="G42" i="47"/>
  <c r="F42" i="47"/>
  <c r="I50" i="49"/>
  <c r="E35" i="50"/>
  <c r="J27" i="48"/>
  <c r="J25" i="48"/>
  <c r="K35" i="48"/>
  <c r="G24" i="48"/>
  <c r="K27" i="48"/>
  <c r="M31" i="47"/>
  <c r="J33" i="47"/>
  <c r="G30" i="47"/>
  <c r="H32" i="47"/>
  <c r="E36" i="48"/>
  <c r="M33" i="48"/>
  <c r="F32" i="48"/>
  <c r="L31" i="48"/>
  <c r="J35" i="48"/>
  <c r="M37" i="47"/>
  <c r="G26" i="47"/>
  <c r="E36" i="47"/>
  <c r="L29" i="47"/>
  <c r="K25" i="48"/>
  <c r="F36" i="48"/>
  <c r="I24" i="48"/>
  <c r="F30" i="48"/>
  <c r="M35" i="48"/>
  <c r="G28" i="47"/>
  <c r="K29" i="47"/>
  <c r="H24" i="48"/>
  <c r="J29" i="47"/>
  <c r="E26" i="48"/>
  <c r="M35" i="47"/>
  <c r="L37" i="48"/>
  <c r="H30" i="48"/>
  <c r="G32" i="47"/>
  <c r="E26" i="47"/>
  <c r="M27" i="47"/>
  <c r="K29" i="48"/>
  <c r="E30" i="47"/>
  <c r="I36" i="49"/>
  <c r="G38" i="49"/>
  <c r="F73" i="49"/>
  <c r="H44" i="49"/>
  <c r="H33" i="49"/>
  <c r="H45" i="49"/>
  <c r="F58" i="49"/>
  <c r="G59" i="49"/>
  <c r="F44" i="49"/>
  <c r="I65" i="49"/>
  <c r="M29" i="47"/>
  <c r="K31" i="47"/>
  <c r="K31" i="48"/>
  <c r="I47" i="49"/>
  <c r="F28" i="49"/>
  <c r="G37" i="49"/>
  <c r="F30" i="49"/>
  <c r="I71" i="49"/>
  <c r="H73" i="49"/>
  <c r="F45" i="49"/>
  <c r="G72" i="49"/>
  <c r="F52" i="49"/>
  <c r="F59" i="49"/>
  <c r="E38" i="49"/>
  <c r="F37" i="49"/>
  <c r="F32" i="47"/>
  <c r="F34" i="48"/>
  <c r="J35" i="47"/>
  <c r="J29" i="48"/>
  <c r="I32" i="47"/>
  <c r="H24" i="47"/>
  <c r="I26" i="47"/>
  <c r="I54" i="49"/>
  <c r="G65" i="49"/>
  <c r="E64" i="49"/>
  <c r="H59" i="49"/>
  <c r="E51" i="49"/>
  <c r="H35" i="49"/>
  <c r="G35" i="50"/>
  <c r="F26" i="48"/>
  <c r="F24" i="48"/>
  <c r="M37" i="48"/>
  <c r="H28" i="48"/>
  <c r="F28" i="47"/>
  <c r="N33" i="47"/>
  <c r="M25" i="47"/>
  <c r="N27" i="47"/>
  <c r="K37" i="47"/>
  <c r="N35" i="48"/>
  <c r="N27" i="48"/>
  <c r="I32" i="48"/>
  <c r="G36" i="48"/>
  <c r="J25" i="47"/>
  <c r="I30" i="47"/>
  <c r="H26" i="47"/>
  <c r="G36" i="47"/>
  <c r="J31" i="47"/>
  <c r="I26" i="48"/>
  <c r="L35" i="48"/>
  <c r="N25" i="48"/>
  <c r="I36" i="48"/>
  <c r="G34" i="48"/>
  <c r="J27" i="47"/>
  <c r="L35" i="47"/>
  <c r="E24" i="48"/>
  <c r="E24" i="47"/>
  <c r="G30" i="48"/>
  <c r="K33" i="48"/>
  <c r="N31" i="47"/>
  <c r="E32" i="47"/>
  <c r="M31" i="48"/>
  <c r="E59" i="49"/>
  <c r="I66" i="49"/>
  <c r="E37" i="49"/>
  <c r="H28" i="49"/>
  <c r="F66" i="49"/>
  <c r="I30" i="49"/>
  <c r="G52" i="49"/>
  <c r="H50" i="49"/>
  <c r="G31" i="49"/>
  <c r="H65" i="49"/>
  <c r="I30" i="48"/>
  <c r="J37" i="47"/>
  <c r="S23" i="48"/>
  <c r="M33" i="47"/>
  <c r="E34" i="48"/>
  <c r="E32" i="48"/>
  <c r="N37" i="47"/>
  <c r="G45" i="49"/>
  <c r="G30" i="49"/>
  <c r="E31" i="49"/>
  <c r="E45" i="49"/>
  <c r="E63" i="49"/>
  <c r="H35" i="50"/>
  <c r="L33" i="48"/>
  <c r="E30" i="48"/>
  <c r="H32" i="48"/>
  <c r="F28" i="48"/>
  <c r="F30" i="47"/>
  <c r="H36" i="47"/>
  <c r="N25" i="47"/>
  <c r="H28" i="47"/>
  <c r="F24" i="47"/>
  <c r="N29" i="48"/>
  <c r="G26" i="48"/>
  <c r="L29" i="48"/>
  <c r="M29" i="48"/>
  <c r="I36" i="47"/>
  <c r="N35" i="47"/>
  <c r="I34" i="47"/>
  <c r="H34" i="47"/>
  <c r="M27" i="48"/>
  <c r="L25" i="48"/>
  <c r="H34" i="48"/>
  <c r="J31" i="48"/>
  <c r="H36" i="48"/>
  <c r="G34" i="47"/>
  <c r="K35" i="47"/>
  <c r="G24" i="47"/>
  <c r="J37" i="48"/>
  <c r="L25" i="47"/>
  <c r="L33" i="47"/>
  <c r="I24" i="47"/>
  <c r="N31" i="48"/>
  <c r="H30" i="47"/>
  <c r="F34" i="47"/>
  <c r="E28" i="48"/>
  <c r="F36" i="47"/>
  <c r="L31" i="47"/>
  <c r="H29" i="49"/>
  <c r="I35" i="49"/>
  <c r="G66" i="49"/>
  <c r="E58" i="49"/>
  <c r="E44" i="49"/>
  <c r="E72" i="49"/>
  <c r="E73" i="49"/>
  <c r="H72" i="49"/>
  <c r="I31" i="49"/>
  <c r="I34" i="48"/>
  <c r="E34" i="47"/>
  <c r="G32" i="48"/>
  <c r="J33" i="48"/>
  <c r="I28" i="47"/>
  <c r="K33" i="47"/>
  <c r="S23" i="47"/>
  <c r="F72" i="49"/>
  <c r="E52" i="49"/>
  <c r="H58" i="49"/>
  <c r="I35" i="50"/>
  <c r="F35" i="50"/>
  <c r="N33" i="48"/>
  <c r="H26" i="48"/>
  <c r="I28" i="48"/>
  <c r="K37" i="48"/>
  <c r="L27" i="48"/>
  <c r="L27" i="47"/>
  <c r="F26" i="47"/>
  <c r="E28" i="47"/>
  <c r="M25" i="48"/>
  <c r="G28" i="48"/>
  <c r="N29" i="47"/>
  <c r="N37" i="48"/>
  <c r="K27" i="47"/>
  <c r="L37" i="47"/>
  <c r="K25" i="47"/>
  <c r="I44" i="49"/>
  <c r="G58" i="49"/>
  <c r="G44" i="49"/>
  <c r="F38" i="49"/>
  <c r="I45" i="49"/>
  <c r="F65" i="49"/>
  <c r="G73" i="49"/>
  <c r="E30" i="49"/>
  <c r="L30" i="48" l="1"/>
  <c r="L28" i="48"/>
  <c r="M30" i="48"/>
  <c r="N36" i="48"/>
  <c r="K28" i="48"/>
  <c r="L34" i="48"/>
  <c r="K30" i="48"/>
  <c r="L36" i="48"/>
  <c r="M28" i="48"/>
  <c r="L24" i="48"/>
  <c r="J28" i="48"/>
  <c r="K34" i="48"/>
  <c r="J32" i="48"/>
  <c r="M32" i="48"/>
  <c r="N24" i="48"/>
  <c r="N32" i="48"/>
  <c r="J26" i="48"/>
  <c r="K32" i="48"/>
  <c r="J24" i="48"/>
  <c r="M34" i="48"/>
  <c r="N28" i="48"/>
  <c r="L26" i="48"/>
  <c r="J30" i="48"/>
  <c r="K36" i="48"/>
  <c r="K24" i="48"/>
  <c r="J34" i="48"/>
  <c r="N34" i="48"/>
  <c r="M26" i="48"/>
  <c r="N26" i="48"/>
  <c r="M36" i="48"/>
  <c r="K26" i="48"/>
  <c r="L32" i="48"/>
  <c r="J36" i="48"/>
  <c r="M24" i="48"/>
  <c r="N30" i="48"/>
  <c r="K24" i="47"/>
  <c r="J26" i="47"/>
  <c r="L24" i="47"/>
  <c r="M32" i="47"/>
  <c r="N24" i="47"/>
  <c r="K32" i="47"/>
  <c r="N28" i="47"/>
  <c r="M34" i="47"/>
  <c r="M28" i="47"/>
  <c r="J30" i="47"/>
  <c r="K36" i="47"/>
  <c r="L36" i="47"/>
  <c r="N26" i="47"/>
  <c r="J36" i="47"/>
  <c r="L30" i="47"/>
  <c r="J24" i="47"/>
  <c r="J28" i="47"/>
  <c r="K34" i="47"/>
  <c r="N32" i="47"/>
  <c r="N34" i="47"/>
  <c r="J32" i="47"/>
  <c r="M26" i="47"/>
  <c r="L26" i="47"/>
  <c r="J34" i="47"/>
  <c r="K26" i="47"/>
  <c r="L32" i="47"/>
  <c r="M36" i="47"/>
  <c r="M24" i="47"/>
  <c r="N30" i="47"/>
  <c r="L28" i="47"/>
  <c r="M30" i="47"/>
  <c r="N36" i="47"/>
  <c r="K30" i="47"/>
  <c r="K28" i="47"/>
  <c r="L34" i="47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E19" i="46"/>
  <c r="F37" i="50"/>
  <c r="E37" i="50"/>
  <c r="G41" i="46"/>
  <c r="H31" i="49"/>
  <c r="F31" i="49"/>
  <c r="F51" i="49"/>
  <c r="I37" i="49"/>
  <c r="I51" i="49"/>
  <c r="E41" i="46"/>
  <c r="H52" i="49"/>
  <c r="H37" i="49"/>
  <c r="H41" i="46"/>
  <c r="I38" i="49"/>
  <c r="I59" i="49"/>
  <c r="I41" i="46"/>
  <c r="I52" i="49"/>
  <c r="H66" i="49"/>
  <c r="I37" i="50"/>
  <c r="E65" i="49"/>
  <c r="E66" i="49"/>
  <c r="G51" i="49"/>
  <c r="D16" i="46"/>
  <c r="H51" i="49"/>
  <c r="G37" i="50"/>
  <c r="H30" i="49"/>
  <c r="H38" i="49"/>
  <c r="H37" i="50"/>
  <c r="I72" i="49"/>
  <c r="I73" i="49"/>
  <c r="F41" i="46"/>
  <c r="I58" i="49"/>
  <c r="O22" i="46" l="1"/>
  <c r="F42" i="46"/>
  <c r="G42" i="46"/>
  <c r="S22" i="46"/>
  <c r="P22" i="46"/>
  <c r="H42" i="46"/>
  <c r="E42" i="46"/>
  <c r="I42" i="46"/>
  <c r="M27" i="46"/>
  <c r="N27" i="46"/>
  <c r="F32" i="46"/>
  <c r="J31" i="46"/>
  <c r="M37" i="46"/>
  <c r="G32" i="46"/>
  <c r="N35" i="46"/>
  <c r="G36" i="46"/>
  <c r="G26" i="46"/>
  <c r="L33" i="46"/>
  <c r="F24" i="46"/>
  <c r="L25" i="46"/>
  <c r="F34" i="46"/>
  <c r="G34" i="46"/>
  <c r="J27" i="46"/>
  <c r="E28" i="46"/>
  <c r="F30" i="46"/>
  <c r="J33" i="46"/>
  <c r="F36" i="46"/>
  <c r="L37" i="46"/>
  <c r="F28" i="46"/>
  <c r="N37" i="46"/>
  <c r="J37" i="46"/>
  <c r="L31" i="46"/>
  <c r="J29" i="46"/>
  <c r="I26" i="46"/>
  <c r="H26" i="46"/>
  <c r="H24" i="46"/>
  <c r="H32" i="46"/>
  <c r="J35" i="46"/>
  <c r="G24" i="46"/>
  <c r="M35" i="46"/>
  <c r="N29" i="46"/>
  <c r="K35" i="46"/>
  <c r="K27" i="46"/>
  <c r="E24" i="46"/>
  <c r="M25" i="46"/>
  <c r="L29" i="46"/>
  <c r="G30" i="46"/>
  <c r="N33" i="46"/>
  <c r="H30" i="46"/>
  <c r="E26" i="46"/>
  <c r="G28" i="46"/>
  <c r="E32" i="46"/>
  <c r="L27" i="46"/>
  <c r="I24" i="46"/>
  <c r="I28" i="46"/>
  <c r="K29" i="46"/>
  <c r="N31" i="46"/>
  <c r="I34" i="46"/>
  <c r="N25" i="46"/>
  <c r="I30" i="46"/>
  <c r="J25" i="46"/>
  <c r="K37" i="46"/>
  <c r="L35" i="46"/>
  <c r="E36" i="46"/>
  <c r="M31" i="46"/>
  <c r="E34" i="46"/>
  <c r="M33" i="46"/>
  <c r="K25" i="46"/>
  <c r="H36" i="46"/>
  <c r="F26" i="46"/>
  <c r="H34" i="46"/>
  <c r="I36" i="46"/>
  <c r="S23" i="46"/>
  <c r="K31" i="46"/>
  <c r="H28" i="46"/>
  <c r="K33" i="46"/>
  <c r="I32" i="46"/>
  <c r="M29" i="46"/>
  <c r="E30" i="46"/>
  <c r="L28" i="46" l="1"/>
  <c r="N30" i="46"/>
  <c r="M28" i="46"/>
  <c r="K30" i="46"/>
  <c r="J26" i="46"/>
  <c r="J28" i="46"/>
  <c r="M30" i="46"/>
  <c r="L24" i="46"/>
  <c r="L34" i="46"/>
  <c r="J34" i="46"/>
  <c r="K34" i="46"/>
  <c r="N32" i="46"/>
  <c r="N34" i="46"/>
  <c r="J30" i="46"/>
  <c r="M32" i="46"/>
  <c r="K24" i="46"/>
  <c r="N28" i="46"/>
  <c r="L30" i="46"/>
  <c r="M24" i="46"/>
  <c r="J36" i="46"/>
  <c r="M26" i="46"/>
  <c r="L26" i="46"/>
  <c r="N24" i="46"/>
  <c r="N26" i="46"/>
  <c r="L36" i="46"/>
  <c r="N36" i="46"/>
  <c r="M34" i="46"/>
  <c r="L32" i="46"/>
  <c r="J24" i="46"/>
  <c r="K26" i="46"/>
  <c r="K28" i="46"/>
  <c r="K32" i="46"/>
  <c r="J32" i="46"/>
  <c r="M36" i="46"/>
  <c r="K36" i="46"/>
  <c r="B26" i="45"/>
  <c r="B27" i="45"/>
  <c r="O7" i="10"/>
  <c r="O6" i="10"/>
  <c r="O5" i="10"/>
  <c r="O4" i="10"/>
  <c r="B24" i="45"/>
  <c r="E19" i="45"/>
  <c r="B13" i="38"/>
  <c r="H41" i="45"/>
  <c r="F41" i="45"/>
  <c r="G41" i="45"/>
  <c r="D16" i="45"/>
  <c r="I41" i="45"/>
  <c r="E41" i="45"/>
  <c r="O22" i="45" l="1"/>
  <c r="S22" i="45"/>
  <c r="P22" i="45"/>
  <c r="E42" i="45"/>
  <c r="G42" i="45"/>
  <c r="H42" i="45"/>
  <c r="F42" i="45"/>
  <c r="I42" i="45"/>
  <c r="B25" i="45"/>
  <c r="F26" i="45"/>
  <c r="I36" i="45"/>
  <c r="I28" i="45"/>
  <c r="F34" i="45"/>
  <c r="F16" i="17"/>
  <c r="E24" i="45"/>
  <c r="J25" i="45"/>
  <c r="H15" i="17"/>
  <c r="G34" i="45"/>
  <c r="E15" i="17"/>
  <c r="F36" i="45"/>
  <c r="G36" i="45"/>
  <c r="M35" i="45"/>
  <c r="L27" i="45"/>
  <c r="J16" i="17"/>
  <c r="E26" i="45"/>
  <c r="J15" i="17"/>
  <c r="J37" i="45"/>
  <c r="I16" i="17"/>
  <c r="L31" i="45"/>
  <c r="S23" i="45"/>
  <c r="E32" i="45"/>
  <c r="H28" i="45"/>
  <c r="K35" i="45"/>
  <c r="K37" i="45"/>
  <c r="I15" i="17"/>
  <c r="H26" i="45"/>
  <c r="J33" i="45"/>
  <c r="E30" i="45"/>
  <c r="K33" i="45"/>
  <c r="M29" i="45"/>
  <c r="J35" i="45"/>
  <c r="J27" i="45"/>
  <c r="H34" i="45"/>
  <c r="E28" i="45"/>
  <c r="G24" i="45"/>
  <c r="G16" i="17"/>
  <c r="M25" i="45"/>
  <c r="G32" i="45"/>
  <c r="K29" i="45"/>
  <c r="L29" i="45"/>
  <c r="F28" i="45"/>
  <c r="K27" i="45"/>
  <c r="L25" i="45"/>
  <c r="M37" i="45"/>
  <c r="G15" i="17"/>
  <c r="J31" i="45"/>
  <c r="M31" i="45"/>
  <c r="F24" i="45"/>
  <c r="I32" i="45"/>
  <c r="N35" i="45"/>
  <c r="F15" i="17"/>
  <c r="F30" i="45"/>
  <c r="E36" i="45"/>
  <c r="N37" i="45"/>
  <c r="G28" i="45"/>
  <c r="K25" i="45"/>
  <c r="K31" i="45"/>
  <c r="E34" i="45"/>
  <c r="I30" i="45"/>
  <c r="E16" i="17"/>
  <c r="G30" i="45"/>
  <c r="H32" i="45"/>
  <c r="G26" i="45"/>
  <c r="N25" i="45"/>
  <c r="I24" i="45"/>
  <c r="N29" i="45"/>
  <c r="N31" i="45"/>
  <c r="L37" i="45"/>
  <c r="L35" i="45"/>
  <c r="J29" i="45"/>
  <c r="H24" i="45"/>
  <c r="L33" i="45"/>
  <c r="M27" i="45"/>
  <c r="H16" i="17"/>
  <c r="I34" i="45"/>
  <c r="M33" i="45"/>
  <c r="H36" i="45"/>
  <c r="H30" i="45"/>
  <c r="N27" i="45"/>
  <c r="F32" i="45"/>
  <c r="N33" i="45"/>
  <c r="I26" i="45"/>
  <c r="L32" i="45" l="1"/>
  <c r="N24" i="45"/>
  <c r="L24" i="45"/>
  <c r="N26" i="45"/>
  <c r="J28" i="45"/>
  <c r="L26" i="45"/>
  <c r="M32" i="45"/>
  <c r="M34" i="45"/>
  <c r="J26" i="45"/>
  <c r="L30" i="45"/>
  <c r="K28" i="45"/>
  <c r="K32" i="45"/>
  <c r="N30" i="45"/>
  <c r="J34" i="45"/>
  <c r="L36" i="45"/>
  <c r="M30" i="45"/>
  <c r="K36" i="45"/>
  <c r="M36" i="45"/>
  <c r="L28" i="45"/>
  <c r="J30" i="45"/>
  <c r="L34" i="45"/>
  <c r="N34" i="45"/>
  <c r="J36" i="45"/>
  <c r="M26" i="45"/>
  <c r="K30" i="45"/>
  <c r="J24" i="45"/>
  <c r="M24" i="45"/>
  <c r="K34" i="45"/>
  <c r="N32" i="45"/>
  <c r="N28" i="45"/>
  <c r="K24" i="45"/>
  <c r="M28" i="45"/>
  <c r="N36" i="45"/>
  <c r="J32" i="45"/>
  <c r="K26" i="45"/>
  <c r="B28" i="45"/>
  <c r="N14" i="38"/>
  <c r="G23" i="38"/>
  <c r="H16" i="38"/>
  <c r="H24" i="38"/>
  <c r="G15" i="38"/>
  <c r="C19" i="38"/>
  <c r="C18" i="38"/>
  <c r="C24" i="38"/>
  <c r="D14" i="38"/>
  <c r="H21" i="38"/>
  <c r="F18" i="38"/>
  <c r="F19" i="38"/>
  <c r="D15" i="38"/>
  <c r="H19" i="38"/>
  <c r="E24" i="38"/>
  <c r="D18" i="38"/>
  <c r="E18" i="38"/>
  <c r="D20" i="38"/>
  <c r="F20" i="38"/>
  <c r="G24" i="38"/>
  <c r="D19" i="38"/>
  <c r="G19" i="38"/>
  <c r="D21" i="38"/>
  <c r="F17" i="38"/>
  <c r="H25" i="38"/>
  <c r="D13" i="38"/>
  <c r="G20" i="38"/>
  <c r="G13" i="38"/>
  <c r="F15" i="38"/>
  <c r="F21" i="38"/>
  <c r="D22" i="38"/>
  <c r="F25" i="38"/>
  <c r="D24" i="38"/>
  <c r="E25" i="38"/>
  <c r="H20" i="38"/>
  <c r="D23" i="38"/>
  <c r="E22" i="38"/>
  <c r="F13" i="38"/>
  <c r="E16" i="38"/>
  <c r="G21" i="38"/>
  <c r="N13" i="38"/>
  <c r="H17" i="38"/>
  <c r="G25" i="38"/>
  <c r="H22" i="38"/>
  <c r="C13" i="38"/>
  <c r="E19" i="38"/>
  <c r="G16" i="38"/>
  <c r="G18" i="38"/>
  <c r="F24" i="38"/>
  <c r="F16" i="38"/>
  <c r="C14" i="38"/>
  <c r="H14" i="38"/>
  <c r="C16" i="38"/>
  <c r="H13" i="38"/>
  <c r="C21" i="38"/>
  <c r="E20" i="38"/>
  <c r="D25" i="38"/>
  <c r="F23" i="38"/>
  <c r="C23" i="38"/>
  <c r="C22" i="38"/>
  <c r="H18" i="38"/>
  <c r="E23" i="38"/>
  <c r="F22" i="38"/>
  <c r="G17" i="38"/>
  <c r="H15" i="38"/>
  <c r="D17" i="38"/>
  <c r="E14" i="38"/>
  <c r="E13" i="38"/>
  <c r="C17" i="38"/>
  <c r="E15" i="38"/>
  <c r="G22" i="38"/>
  <c r="D16" i="38"/>
  <c r="C25" i="38"/>
  <c r="E21" i="38"/>
  <c r="C15" i="38"/>
  <c r="E17" i="38"/>
  <c r="F14" i="38"/>
  <c r="C20" i="38"/>
  <c r="G14" i="38"/>
  <c r="H23" i="38"/>
  <c r="B29" i="45" l="1"/>
  <c r="B21" i="38"/>
  <c r="B20" i="38"/>
  <c r="B19" i="38"/>
  <c r="B18" i="38"/>
  <c r="B17" i="38"/>
  <c r="B16" i="38"/>
  <c r="B15" i="38"/>
  <c r="B14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H26" i="39"/>
  <c r="F18" i="37"/>
  <c r="C26" i="39"/>
  <c r="H18" i="37"/>
  <c r="E18" i="37"/>
  <c r="H18" i="39"/>
  <c r="C18" i="37"/>
  <c r="D18" i="39"/>
  <c r="G18" i="39"/>
  <c r="G26" i="39"/>
  <c r="F26" i="39"/>
  <c r="D26" i="39"/>
  <c r="G18" i="37"/>
  <c r="C18" i="39"/>
  <c r="F18" i="39"/>
  <c r="E18" i="39"/>
  <c r="E26" i="39"/>
  <c r="D18" i="37"/>
  <c r="B30" i="45" l="1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J11" i="38" s="1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E26" i="37"/>
  <c r="D17" i="39"/>
  <c r="C17" i="39"/>
  <c r="G17" i="37"/>
  <c r="H17" i="37"/>
  <c r="F26" i="37"/>
  <c r="C26" i="37"/>
  <c r="H17" i="39"/>
  <c r="G26" i="37"/>
  <c r="F17" i="39"/>
  <c r="H26" i="37"/>
  <c r="E17" i="39"/>
  <c r="G17" i="39"/>
  <c r="D26" i="37"/>
  <c r="B32" i="45" l="1"/>
  <c r="B31" i="45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D17" i="37"/>
  <c r="H34" i="39"/>
  <c r="D34" i="39"/>
  <c r="E34" i="39"/>
  <c r="G34" i="39"/>
  <c r="C34" i="39"/>
  <c r="F17" i="37"/>
  <c r="E17" i="37"/>
  <c r="C17" i="37"/>
  <c r="F34" i="39"/>
  <c r="B33" i="45" l="1"/>
  <c r="H29" i="37"/>
  <c r="H34" i="37" s="1"/>
  <c r="G29" i="37"/>
  <c r="G34" i="37" s="1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B34" i="45" l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B35" i="45" l="1"/>
  <c r="E14" i="17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B36" i="45" l="1"/>
  <c r="E18" i="17"/>
  <c r="E23" i="17" s="1"/>
  <c r="E26" i="17" s="1"/>
  <c r="E17" i="17"/>
  <c r="E20" i="17" s="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3" i="14"/>
  <c r="R4" i="2" a="1"/>
  <c r="B5" i="2"/>
  <c r="B37" i="45" l="1"/>
  <c r="E19" i="17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28" i="2"/>
  <c r="B32" i="2"/>
  <c r="B44" i="2"/>
  <c r="B67" i="2"/>
  <c r="B17" i="2"/>
  <c r="B69" i="2"/>
  <c r="B10" i="2"/>
  <c r="B53" i="2"/>
  <c r="B15" i="2"/>
  <c r="B11" i="2"/>
  <c r="B54" i="2"/>
  <c r="B64" i="2"/>
  <c r="B42" i="2"/>
  <c r="B68" i="2"/>
  <c r="B55" i="2"/>
  <c r="B48" i="2"/>
  <c r="B22" i="2"/>
  <c r="B49" i="2"/>
  <c r="B51" i="2"/>
  <c r="B52" i="2"/>
  <c r="B41" i="2"/>
  <c r="B45" i="2"/>
  <c r="B18" i="2"/>
  <c r="B59" i="2"/>
  <c r="B66" i="2"/>
  <c r="B23" i="2"/>
  <c r="B43" i="2"/>
  <c r="B16" i="2"/>
  <c r="B12" i="2"/>
  <c r="B13" i="2"/>
  <c r="B21" i="2"/>
  <c r="B62" i="2"/>
  <c r="B47" i="2"/>
  <c r="B35" i="2"/>
  <c r="B8" i="2"/>
  <c r="B9" i="2"/>
  <c r="B26" i="2"/>
  <c r="B25" i="2"/>
  <c r="B30" i="2"/>
  <c r="B31" i="2"/>
  <c r="B72" i="2"/>
  <c r="B7" i="2"/>
  <c r="B56" i="2"/>
  <c r="B60" i="2"/>
  <c r="B27" i="2"/>
  <c r="B58" i="2"/>
  <c r="B14" i="2"/>
  <c r="B65" i="2"/>
  <c r="B61" i="2"/>
  <c r="B29" i="2"/>
  <c r="B20" i="2"/>
  <c r="B63" i="2"/>
  <c r="B71" i="2"/>
  <c r="B34" i="2"/>
  <c r="B50" i="2"/>
  <c r="B36" i="2"/>
  <c r="B24" i="2"/>
  <c r="B19" i="2"/>
  <c r="B6" i="2"/>
  <c r="B57" i="2"/>
  <c r="B33" i="2"/>
  <c r="B70" i="2"/>
  <c r="B46" i="2"/>
  <c r="E41" i="2" l="1"/>
  <c r="E42" i="2"/>
  <c r="E59" i="2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34" i="2"/>
  <c r="J34" i="2" s="1"/>
  <c r="E53" i="2"/>
  <c r="E69" i="2"/>
  <c r="E54" i="2"/>
  <c r="E70" i="2"/>
  <c r="E55" i="2"/>
  <c r="E71" i="2"/>
  <c r="E56" i="2"/>
  <c r="E72" i="2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J16" i="2" l="1"/>
  <c r="I16" i="2"/>
  <c r="F36" i="2"/>
  <c r="G36" i="2" s="1"/>
  <c r="I36" i="2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63" i="2"/>
  <c r="F63" i="2"/>
  <c r="G63" i="2" s="1"/>
  <c r="I31" i="2"/>
  <c r="F31" i="2"/>
  <c r="G31" i="2" s="1"/>
  <c r="F30" i="2"/>
  <c r="G30" i="2" s="1"/>
  <c r="I30" i="2"/>
  <c r="F54" i="2"/>
  <c r="G54" i="2" s="1"/>
  <c r="I54" i="2"/>
  <c r="F5" i="2"/>
  <c r="G5" i="2" s="1"/>
  <c r="I5" i="2"/>
  <c r="F49" i="2"/>
  <c r="G49" i="2" s="1"/>
  <c r="I49" i="2"/>
  <c r="I65" i="2"/>
  <c r="F65" i="2"/>
  <c r="G65" i="2" s="1"/>
  <c r="I9" i="2"/>
  <c r="F9" i="2"/>
  <c r="G9" i="2" s="1"/>
  <c r="I20" i="2"/>
  <c r="F20" i="2"/>
  <c r="G20" i="2" s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I51" i="2"/>
  <c r="F51" i="2"/>
  <c r="G51" i="2" s="1"/>
  <c r="F19" i="2"/>
  <c r="G19" i="2" s="1"/>
  <c r="I19" i="2"/>
  <c r="I13" i="2"/>
  <c r="F13" i="2"/>
  <c r="G13" i="2" s="1"/>
  <c r="I47" i="2"/>
  <c r="F47" i="2"/>
  <c r="G47" i="2" s="1"/>
  <c r="F45" i="2"/>
  <c r="G45" i="2" s="1"/>
  <c r="I45" i="2"/>
  <c r="F15" i="2"/>
  <c r="G15" i="2" s="1"/>
  <c r="I15" i="2"/>
  <c r="I59" i="2"/>
  <c r="F59" i="2"/>
  <c r="G59" i="2" s="1"/>
  <c r="F33" i="2"/>
  <c r="G33" i="2" s="1"/>
  <c r="I33" i="2"/>
  <c r="I14" i="2"/>
  <c r="F14" i="2"/>
  <c r="G14" i="2" s="1"/>
  <c r="I71" i="2"/>
  <c r="F71" i="2"/>
  <c r="G71" i="2" s="1"/>
  <c r="F69" i="2"/>
  <c r="G69" i="2" s="1"/>
  <c r="I69" i="2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I42" i="2"/>
  <c r="F42" i="2"/>
  <c r="G42" i="2" s="1"/>
  <c r="I11" i="2"/>
  <c r="F11" i="2"/>
  <c r="G11" i="2" s="1"/>
  <c r="I72" i="2"/>
  <c r="F72" i="2"/>
  <c r="G72" i="2" s="1"/>
  <c r="F16" i="2"/>
  <c r="G16" i="2" s="1"/>
  <c r="I35" i="2"/>
  <c r="F35" i="2"/>
  <c r="G35" i="2" s="1"/>
  <c r="F61" i="2"/>
  <c r="G61" i="2" s="1"/>
  <c r="I61" i="2"/>
  <c r="F27" i="2"/>
  <c r="G27" i="2" s="1"/>
  <c r="I27" i="2"/>
  <c r="I21" i="2"/>
  <c r="F21" i="2"/>
  <c r="G21" i="2" s="1"/>
  <c r="I55" i="2"/>
  <c r="F55" i="2"/>
  <c r="G55" i="2" s="1"/>
  <c r="F53" i="2"/>
  <c r="G53" i="2" s="1"/>
  <c r="I53" i="2"/>
  <c r="F44" i="2"/>
  <c r="G44" i="2" s="1"/>
  <c r="I44" i="2"/>
  <c r="I32" i="2"/>
  <c r="F32" i="2"/>
  <c r="G32" i="2" s="1"/>
  <c r="I7" i="2"/>
  <c r="F7" i="2"/>
  <c r="G7" i="2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41" i="2"/>
  <c r="G41" i="2" s="1"/>
  <c r="I41" i="2"/>
</calcChain>
</file>

<file path=xl/sharedStrings.xml><?xml version="1.0" encoding="utf-8"?>
<sst xmlns="http://schemas.openxmlformats.org/spreadsheetml/2006/main" count="1364" uniqueCount="368">
  <si>
    <t>Chi phí theo số lượng</t>
  </si>
  <si>
    <t>Lợi nhuận</t>
  </si>
  <si>
    <t>Doanh thu</t>
  </si>
  <si>
    <t>Tính toán</t>
  </si>
  <si>
    <t>Giá thành</t>
  </si>
  <si>
    <t>Lợi nhuận biên (%)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</si>
  <si>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</si>
  <si>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</si>
  <si>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</si>
  <si>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</si>
  <si>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</si>
  <si>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</si>
  <si>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</si>
  <si>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</si>
  <si>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</si>
  <si>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</si>
  <si>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</si>
  <si>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</si>
  <si>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</si>
  <si>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</si>
  <si>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</si>
  <si>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</si>
  <si>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</si>
  <si>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</si>
  <si>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</si>
  <si>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</si>
  <si>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</si>
  <si>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</si>
  <si>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</si>
  <si>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</si>
  <si>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</si>
  <si>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</si>
  <si>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</si>
  <si>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</si>
  <si>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</si>
  <si>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</si>
  <si>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</si>
  <si>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</si>
  <si>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</si>
  <si>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</si>
  <si>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</si>
  <si>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</si>
  <si>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</si>
  <si>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</si>
  <si>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</si>
  <si>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</si>
  <si>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</si>
  <si>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</si>
  <si>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</si>
  <si>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</si>
  <si>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</si>
  <si>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</si>
  <si>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</si>
  <si>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</si>
  <si>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</si>
  <si>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</si>
  <si>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</si>
  <si>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</si>
  <si>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</si>
  <si>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</si>
  <si>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</si>
  <si>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</si>
  <si>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</si>
  <si>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</si>
  <si>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</si>
  <si>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</si>
  <si>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</si>
  <si>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</si>
  <si>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</si>
  <si>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</si>
  <si>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</si>
  <si>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</si>
  <si>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</si>
  <si>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</si>
  <si>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</si>
  <si>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</si>
  <si>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</si>
  <si>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</si>
  <si>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</si>
  <si>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</si>
  <si>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</si>
  <si>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</si>
  <si>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</si>
  <si>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</si>
  <si>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</si>
  <si>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Tổng phí</t>
  </si>
  <si>
    <t>KEO EVA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</si>
  <si>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</si>
  <si>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</si>
  <si>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</si>
  <si>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</si>
  <si>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</si>
  <si>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</si>
  <si>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</si>
  <si>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</si>
  <si>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</si>
  <si>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</si>
  <si>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</si>
  <si>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</si>
  <si>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</si>
  <si>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</si>
  <si>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</si>
  <si>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</si>
  <si>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</si>
  <si>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</si>
  <si>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</si>
  <si>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</si>
  <si>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</si>
  <si>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</si>
  <si>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</si>
  <si>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</si>
  <si>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</si>
  <si>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</si>
  <si>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</si>
  <si>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</si>
  <si>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</si>
  <si>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</si>
  <si>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</si>
  <si>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</si>
  <si>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</si>
  <si>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</si>
  <si>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</si>
  <si>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</si>
  <si>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</si>
  <si>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</si>
  <si>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</si>
  <si>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</si>
  <si>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</si>
  <si>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</si>
  <si>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</si>
  <si>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</si>
  <si>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</si>
  <si>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</si>
  <si>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</si>
  <si>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</si>
  <si>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</si>
  <si>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</si>
  <si>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</si>
  <si>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</si>
  <si>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</si>
  <si>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</si>
  <si>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</si>
  <si>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</si>
  <si>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</si>
  <si>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</si>
  <si>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</si>
  <si>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</si>
  <si>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</si>
  <si>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</si>
  <si>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</si>
  <si>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</si>
  <si>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</si>
  <si>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</si>
  <si>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</si>
  <si>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</si>
  <si>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</si>
  <si>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</si>
  <si>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</si>
  <si>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</si>
  <si>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</si>
  <si>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</si>
  <si>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</si>
  <si>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</si>
  <si>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</si>
  <si>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</si>
  <si>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</si>
  <si>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</si>
  <si>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</si>
  <si>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</si>
  <si>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</si>
  <si>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</si>
  <si>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</si>
  <si>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</si>
  <si>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</si>
  <si>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</si>
  <si>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</si>
  <si>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</si>
  <si>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</si>
  <si>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</si>
  <si>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</si>
  <si>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</si>
  <si>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</si>
  <si>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</si>
  <si>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</si>
  <si>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</si>
  <si>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</si>
  <si>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</si>
  <si>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</si>
  <si>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</si>
  <si>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</si>
  <si>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</si>
  <si>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</si>
  <si>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</si>
  <si>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</si>
  <si>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</si>
  <si>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</si>
  <si>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</si>
  <si>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</si>
  <si>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</si>
  <si>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</si>
  <si>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</si>
  <si>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</si>
  <si>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</si>
  <si>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</si>
  <si>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</si>
  <si>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</si>
  <si>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</si>
  <si>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</si>
  <si>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</si>
  <si>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</si>
  <si>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</si>
  <si>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</si>
  <si>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</si>
  <si>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</si>
  <si>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</si>
  <si>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</si>
  <si>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</si>
  <si>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</si>
  <si>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</si>
  <si>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</si>
  <si>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</si>
  <si>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</si>
  <si>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</si>
  <si>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</si>
  <si>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</si>
  <si>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</si>
  <si>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</si>
  <si>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</si>
  <si>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</si>
  <si>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</si>
  <si>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</si>
  <si>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</si>
  <si>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</si>
  <si>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</si>
  <si>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</si>
  <si>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</si>
  <si>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</si>
  <si>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</si>
  <si>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</si>
  <si>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</si>
  <si>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</si>
  <si>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</si>
  <si>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</si>
  <si>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</si>
  <si>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</si>
  <si>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Phí giấy default</t>
  </si>
  <si>
    <t>EUR-PRI-120-32x45</t>
  </si>
  <si>
    <t>Euro Prim 120 32x45</t>
  </si>
  <si>
    <t>Niêm yết 1M</t>
  </si>
  <si>
    <t>Niêm yết 2M</t>
  </si>
  <si>
    <t>FORT120-79x109</t>
  </si>
  <si>
    <t>FO120 79x109</t>
  </si>
  <si>
    <t>FOR150-79x109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</si>
  <si>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</si>
  <si>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</si>
  <si>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</si>
  <si>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</si>
  <si>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</si>
  <si>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</si>
  <si>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</si>
  <si>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</si>
  <si>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</si>
  <si>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</si>
  <si>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</si>
  <si>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</si>
  <si>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</si>
  <si>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</si>
  <si>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</si>
  <si>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</si>
  <si>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</si>
  <si>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</si>
  <si>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</si>
  <si>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</si>
  <si>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</si>
  <si>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</si>
  <si>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</si>
  <si>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</si>
  <si>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Decal-32x485</t>
  </si>
  <si>
    <t>Decal 32 x 48.5 cm</t>
  </si>
  <si>
    <t>Decal-32x26</t>
  </si>
  <si>
    <t>Decal 32 x 26 cm</t>
  </si>
  <si>
    <t>Decal-32x39</t>
  </si>
  <si>
    <t>Decal 32 x 39 cm</t>
  </si>
  <si>
    <t>=*(1+$D$7)/($A13*C$12)</t>
  </si>
  <si>
    <t>Giá tờ giấy 150gsm A4</t>
  </si>
  <si>
    <t>Quy cách</t>
  </si>
  <si>
    <t>Cán phủ</t>
  </si>
  <si>
    <t>Ruột Menu</t>
  </si>
  <si>
    <t>Menu lò xo các khổ</t>
  </si>
  <si>
    <t>Giấy ruột giống nhau</t>
  </si>
  <si>
    <t>In tờ chạy</t>
  </si>
  <si>
    <t>Couche 300gsm</t>
  </si>
  <si>
    <t>Không / cán màng</t>
  </si>
  <si>
    <t xml:space="preserve">Đóng cuốn </t>
  </si>
  <si>
    <t>Lò xo bình thưởng</t>
  </si>
  <si>
    <t>Khổ cắt SP</t>
  </si>
  <si>
    <t>rong</t>
  </si>
  <si>
    <t>cao</t>
  </si>
  <si>
    <t>bleed</t>
  </si>
  <si>
    <t>10x19cm</t>
  </si>
  <si>
    <t>Blead</t>
  </si>
  <si>
    <t>Giấy c300gsm</t>
  </si>
  <si>
    <t xml:space="preserve">Dùng khổ menu to nhất để tính click </t>
  </si>
  <si>
    <t>không</t>
  </si>
  <si>
    <t>cán</t>
  </si>
  <si>
    <t>Tính theo bảng giá cài trên web</t>
  </si>
  <si>
    <t>Tiền in</t>
  </si>
  <si>
    <t>số tờ chạy theo trang</t>
  </si>
  <si>
    <t>Tờ a4 in 2M</t>
  </si>
  <si>
    <t>Tính thử cho in</t>
  </si>
  <si>
    <t>Tiền cán màng</t>
  </si>
  <si>
    <t>Tiín thử cho cán màng</t>
  </si>
  <si>
    <t>số tờ chạy theo trang số mặt</t>
  </si>
  <si>
    <t>Tính cán qua đây để chống việc 0 nhất quán về công thức</t>
  </si>
  <si>
    <t xml:space="preserve">Tiền đóng cuốn </t>
  </si>
  <si>
    <t>Tiền /m lò xo TB</t>
  </si>
  <si>
    <t>Phí đóng lò xo</t>
  </si>
  <si>
    <t>Giá lô</t>
  </si>
  <si>
    <t>Tóm giá lô</t>
  </si>
  <si>
    <t>số tờ chạy theo trang * cuốn</t>
  </si>
  <si>
    <t>Tiền cán màng 2M</t>
  </si>
  <si>
    <t>15x34cm</t>
  </si>
  <si>
    <t>15x19cm</t>
  </si>
  <si>
    <t>19x30cm</t>
  </si>
  <si>
    <t>Ruột menu bìa cứng bắt vít</t>
  </si>
  <si>
    <t>20x28cm</t>
  </si>
  <si>
    <t>Chừa lề bắt vít</t>
  </si>
  <si>
    <t>T. Rộng</t>
  </si>
  <si>
    <t>T. Cao</t>
  </si>
  <si>
    <t>Tổng không màng</t>
  </si>
  <si>
    <t>Tổng cán màng</t>
  </si>
  <si>
    <t>Màng (đ/m2)</t>
  </si>
  <si>
    <t>Số tờ chạy</t>
  </si>
  <si>
    <t>Tiền giấy</t>
  </si>
  <si>
    <t>Tiền cấn</t>
  </si>
  <si>
    <t>Phần bìa cứng của me nu</t>
  </si>
  <si>
    <t>Bìa cứng 2 cánh có vít, giấy C150gsm cán màng, bồi lên bìa cứng 2.5 ly của Lanvi, đóng cuốn bắt vít</t>
  </si>
  <si>
    <t>Công đoạn: in, cán màng, cắt bìa cứng, vô bìa cứng</t>
  </si>
  <si>
    <t>Số cuốn</t>
  </si>
  <si>
    <t>Khổ sản phẩm</t>
  </si>
  <si>
    <t>Rộng</t>
  </si>
  <si>
    <t>Cao</t>
  </si>
  <si>
    <t>Cánh bìa cứng (một cánh)</t>
  </si>
  <si>
    <t>Giá mua tờ bìa cứng 2.5mm</t>
  </si>
  <si>
    <t>Tờ A4</t>
  </si>
  <si>
    <t>Tờ chạy in</t>
  </si>
  <si>
    <t>Số tấm in / tờ chạy</t>
  </si>
  <si>
    <t>Số tờ in ch</t>
  </si>
  <si>
    <t>Tiền in bìa 1 mặt</t>
  </si>
  <si>
    <t>Phí carton</t>
  </si>
  <si>
    <t>Tiền bồi bìa gổm carton</t>
  </si>
  <si>
    <t>Tổng tiền giấy bao</t>
  </si>
  <si>
    <t>Tổng tiền làm bìa</t>
  </si>
  <si>
    <t>Tiền vô bìa</t>
  </si>
  <si>
    <t>Tiền đóng cuốn bìa cứng bắt vít</t>
  </si>
  <si>
    <t>I12:J13</t>
  </si>
  <si>
    <t>Giá TB/Cuốn</t>
  </si>
  <si>
    <t>Ruột Mở phẳng 20x28</t>
  </si>
  <si>
    <t>Couche 250gsm</t>
  </si>
  <si>
    <t>Tiền ghép thành ruột tờ lót keo</t>
  </si>
  <si>
    <t>Tiền đóng cuốn bìa cứng</t>
  </si>
  <si>
    <t>Giấy c150gsm</t>
  </si>
  <si>
    <t>Ruột menu Lò xo cơ bản</t>
  </si>
  <si>
    <t>Phí sắp cuốn</t>
  </si>
  <si>
    <t>Đóng cuốn lò xo</t>
  </si>
  <si>
    <t>Bìa lò xo chung cuốn</t>
  </si>
  <si>
    <t>Lấy giá lò xo trung bình</t>
  </si>
  <si>
    <t>Công đoạn: sắp cuốn, đột, vô lò 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</si>
</sst>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4" borderId="5" applyNumberFormat="0" applyAlignment="0" applyProtection="0"/>
  </cellStyleXfs>
  <cellXfs count="44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164" fontId="0" fillId="2" borderId="0" xfId="0" applyNumberForma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10" fontId="7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8" fillId="3" borderId="5" xfId="4" applyNumberFormat="1" applyBorder="1"/>
    <xf numFmtId="0" fontId="9" fillId="4" borderId="5" xfId="5"/>
    <xf numFmtId="0" fontId="0" fillId="0" borderId="0" xfId="0" quotePrefix="1"/>
    <xf numFmtId="0" fontId="0" fillId="0" borderId="0" xfId="0" quotePrefix="1" applyAlignment="1">
      <alignment wrapText="1"/>
    </xf>
    <xf numFmtId="164" fontId="6" fillId="0" borderId="0" xfId="0" quotePrefix="1" applyNumberFormat="1" applyFont="1"/>
    <xf numFmtId="0" fontId="0" fillId="5" borderId="0" xfId="0" applyFill="1" applyAlignment="1">
      <alignment wrapText="1"/>
    </xf>
    <xf numFmtId="0" fontId="0" fillId="5" borderId="0" xfId="0" applyFill="1"/>
    <xf numFmtId="164" fontId="0" fillId="5" borderId="0" xfId="0" applyNumberFormat="1" applyFill="1"/>
    <xf numFmtId="0" fontId="10" fillId="0" borderId="0" xfId="0" applyFont="1"/>
    <xf numFmtId="164" fontId="2" fillId="0" borderId="0" xfId="1" applyNumberFormat="1" applyFont="1"/>
    <xf numFmtId="164" fontId="11" fillId="0" borderId="0" xfId="0" applyNumberFormat="1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66CD219-7906-4CEC-B7A9-F76C6DE66047}"/>
            </a:ext>
          </a:extLst>
        </xdr:cNvPr>
        <xdr:cNvSpPr txBox="1"/>
      </xdr:nvSpPr>
      <xdr:spPr>
        <a:xfrm>
          <a:off x="348615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5A3EEC4-6BBC-4532-940D-7AEED91E2985}"/>
            </a:ext>
          </a:extLst>
        </xdr:cNvPr>
        <xdr:cNvSpPr txBox="1"/>
      </xdr:nvSpPr>
      <xdr:spPr>
        <a:xfrm>
          <a:off x="308610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2C77888-CCC2-42AC-A4DB-731E5AC079C3}"/>
            </a:ext>
          </a:extLst>
        </xdr:cNvPr>
        <xdr:cNvSpPr txBox="1"/>
      </xdr:nvSpPr>
      <xdr:spPr>
        <a:xfrm>
          <a:off x="3238500" y="133350"/>
          <a:ext cx="4295775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180975</xdr:rowOff>
    </xdr:from>
    <xdr:to>
      <xdr:col>12</xdr:col>
      <xdr:colOff>333375</xdr:colOff>
      <xdr:row>6</xdr:row>
      <xdr:rowOff>38100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7E4F3E0-9C6C-4ED7-BD23-B4C66931A365}"/>
            </a:ext>
          </a:extLst>
        </xdr:cNvPr>
        <xdr:cNvSpPr txBox="1"/>
      </xdr:nvSpPr>
      <xdr:spPr>
        <a:xfrm>
          <a:off x="8591550" y="180975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00BDB77-69EA-43BD-95FD-6C4086667499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B85355AF-E5BC-40EB-82E0-3B1707B42F0C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7D2E73B2-3D6C-4395-B8BB-0A253013C594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7413EA70-F6C7-415F-B50B-1D3A7495444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6FBDB533-5AEE-4CF9-BBF3-9FF01315F97C}"/>
            </a:ext>
          </a:extLst>
        </xdr:cNvPr>
        <xdr:cNvSpPr txBox="1"/>
      </xdr:nvSpPr>
      <xdr:spPr>
        <a:xfrm>
          <a:off x="11020424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AE028CC-04AD-4098-9561-7B4B157C7D7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PhiLamRuotCuonMP_Tay(soCuon As Integer, soToDoiTrenMoiCuon As Integer) 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6</xdr:row>
      <xdr:rowOff>0</xdr:rowOff>
    </xdr:from>
    <xdr:to>
      <xdr:col>19</xdr:col>
      <xdr:colOff>238125</xdr:colOff>
      <xdr:row>14</xdr:row>
      <xdr:rowOff>295275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1BFB100B-167E-434F-A86F-0CFE4AB09BE4}"/>
            </a:ext>
          </a:extLst>
        </xdr:cNvPr>
        <xdr:cNvSpPr txBox="1"/>
      </xdr:nvSpPr>
      <xdr:spPr>
        <a:xfrm>
          <a:off x="13230225" y="1143000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PhiDongCuonMP_Tay(soCuon As Integer, soToDoi As Integer) As Double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L22" sqref="L22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10</v>
      </c>
      <c r="AA1" s="1" t="s">
        <v>14</v>
      </c>
      <c r="AE1" t="s">
        <v>43</v>
      </c>
    </row>
    <row r="2" spans="1:32" x14ac:dyDescent="0.25">
      <c r="A2" t="s">
        <v>19</v>
      </c>
      <c r="AA2" t="s">
        <v>32</v>
      </c>
    </row>
    <row r="3" spans="1:32" x14ac:dyDescent="0.25">
      <c r="A3" s="1" t="s">
        <v>4</v>
      </c>
      <c r="D3" s="1" t="s">
        <v>3</v>
      </c>
      <c r="I3" s="1" t="s">
        <v>8</v>
      </c>
      <c r="AA3" t="s">
        <v>11</v>
      </c>
      <c r="AB3" t="s">
        <v>12</v>
      </c>
      <c r="AE3" t="s">
        <v>11</v>
      </c>
      <c r="AF3" t="s">
        <v>12</v>
      </c>
    </row>
    <row r="4" spans="1:32" ht="45" x14ac:dyDescent="0.25">
      <c r="A4" s="2" t="s">
        <v>6</v>
      </c>
      <c r="B4" s="2" t="s">
        <v>211</v>
      </c>
      <c r="C4" s="2"/>
      <c r="D4" s="2" t="s">
        <v>7</v>
      </c>
      <c r="E4" s="2" t="s">
        <v>2</v>
      </c>
      <c r="F4" s="2" t="s">
        <v>1</v>
      </c>
      <c r="G4" s="3" t="s">
        <v>5</v>
      </c>
      <c r="H4" s="2"/>
      <c r="I4" s="2" t="s">
        <v>9</v>
      </c>
      <c r="J4" s="2" t="s">
        <v>212</v>
      </c>
      <c r="K4" s="2" t="s">
        <v>213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13</v>
      </c>
      <c r="AB4" s="5">
        <v>10000</v>
      </c>
      <c r="AE4" s="8" t="s">
        <v>13</v>
      </c>
      <c r="AF4" s="5">
        <v>100000</v>
      </c>
    </row>
    <row r="5" spans="1:32" x14ac:dyDescent="0.25">
      <c r="A5">
        <v>1</v>
      </c>
      <c r="B5" s="6">
        <f>PhiMayInToner4M(A5)</f>
        <v>59075</v>
      </c>
      <c r="D5" s="4">
        <v>0.75</v>
      </c>
      <c r="E5" s="7">
        <f>B5*(1+D5)</f>
        <v>103381.25</v>
      </c>
      <c r="F5" s="7">
        <f>E5-B5</f>
        <v>44306.25</v>
      </c>
      <c r="G5" s="4">
        <f>F5/E5</f>
        <v>0.42857142857142855</v>
      </c>
      <c r="I5" s="20">
        <f>E5/A5</f>
        <v>103381.25</v>
      </c>
      <c r="J5" s="7">
        <f>$E5/$A5*2</f>
        <v>206762.5</v>
      </c>
      <c r="K5" s="21">
        <f>$A5/2</f>
        <v>0.5</v>
      </c>
      <c r="R5" s="4">
        <v>0.15</v>
      </c>
      <c r="S5" s="4">
        <v>0.13</v>
      </c>
      <c r="AA5" s="9" t="s">
        <v>15</v>
      </c>
      <c r="AB5" s="5">
        <v>5000</v>
      </c>
      <c r="AE5" s="9" t="s">
        <v>44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95416.666599999997</v>
      </c>
      <c r="D6" s="4">
        <v>0.75</v>
      </c>
      <c r="E6" s="7">
        <f t="shared" ref="E6:E36" si="1">B6*(1+D6)</f>
        <v>166979.16654999999</v>
      </c>
      <c r="F6" s="7">
        <f t="shared" ref="F6:F36" si="2">E6-B6</f>
        <v>71562.499949999998</v>
      </c>
      <c r="G6" s="4">
        <f t="shared" ref="G6:G36" si="3">F6/E6</f>
        <v>0.42857142857142855</v>
      </c>
      <c r="I6" s="20">
        <f t="shared" ref="I6:I36" si="4">E6/A6</f>
        <v>3339.5833309999998</v>
      </c>
      <c r="J6" s="7">
        <f t="shared" ref="J6:J36" si="5">$E6/$A6*2</f>
        <v>6679.1666619999996</v>
      </c>
      <c r="K6" s="21">
        <f t="shared" ref="K6:K16" si="6">$A6/2</f>
        <v>25</v>
      </c>
      <c r="R6" s="4">
        <v>0.2</v>
      </c>
      <c r="S6" s="4">
        <v>0.16700000000000001</v>
      </c>
      <c r="AA6" t="s">
        <v>16</v>
      </c>
      <c r="AB6" s="5">
        <v>2000</v>
      </c>
      <c r="AE6" t="s">
        <v>45</v>
      </c>
      <c r="AF6" s="5"/>
    </row>
    <row r="7" spans="1:32" x14ac:dyDescent="0.25">
      <c r="A7">
        <v>100</v>
      </c>
      <c r="B7" s="6">
        <f t="shared" si="0"/>
        <v>132500</v>
      </c>
      <c r="D7" s="4">
        <v>0.75</v>
      </c>
      <c r="E7" s="7">
        <f t="shared" si="1"/>
        <v>231875</v>
      </c>
      <c r="F7" s="7">
        <f t="shared" si="2"/>
        <v>99375</v>
      </c>
      <c r="G7" s="4">
        <f t="shared" si="3"/>
        <v>0.42857142857142855</v>
      </c>
      <c r="I7" s="20">
        <f t="shared" si="4"/>
        <v>2318.75</v>
      </c>
      <c r="J7" s="7">
        <f t="shared" si="5"/>
        <v>4637.5</v>
      </c>
      <c r="K7" s="21">
        <f t="shared" si="6"/>
        <v>50</v>
      </c>
      <c r="R7" s="4">
        <v>0.25</v>
      </c>
      <c r="S7" s="4">
        <v>0.2</v>
      </c>
      <c r="AA7" t="s">
        <v>17</v>
      </c>
      <c r="AB7" s="5" t="s">
        <v>18</v>
      </c>
      <c r="AE7" t="s">
        <v>47</v>
      </c>
      <c r="AF7" s="5"/>
    </row>
    <row r="8" spans="1:32" x14ac:dyDescent="0.25">
      <c r="A8">
        <v>150</v>
      </c>
      <c r="B8" s="6">
        <f t="shared" si="0"/>
        <v>169583.3333</v>
      </c>
      <c r="D8" s="4">
        <v>0.75</v>
      </c>
      <c r="E8" s="7">
        <f t="shared" si="1"/>
        <v>296770.83327499998</v>
      </c>
      <c r="F8" s="7">
        <f t="shared" si="2"/>
        <v>127187.49997499998</v>
      </c>
      <c r="G8" s="4">
        <f t="shared" si="3"/>
        <v>0.42857142857142855</v>
      </c>
      <c r="I8" s="20">
        <f t="shared" si="4"/>
        <v>1978.4722218333332</v>
      </c>
      <c r="J8" s="7">
        <f t="shared" si="5"/>
        <v>3956.9444436666663</v>
      </c>
      <c r="K8" s="21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206666.6666</v>
      </c>
      <c r="D9" s="4">
        <v>0.75</v>
      </c>
      <c r="E9" s="7">
        <f t="shared" si="1"/>
        <v>361666.66654999997</v>
      </c>
      <c r="F9" s="7">
        <f t="shared" si="2"/>
        <v>154999.99994999997</v>
      </c>
      <c r="G9" s="4">
        <f t="shared" si="3"/>
        <v>0.42857142857142855</v>
      </c>
      <c r="I9" s="20">
        <f t="shared" si="4"/>
        <v>1808.3333327499997</v>
      </c>
      <c r="J9" s="7">
        <f t="shared" si="5"/>
        <v>3616.6666654999995</v>
      </c>
      <c r="K9" s="21">
        <f t="shared" si="6"/>
        <v>100</v>
      </c>
      <c r="R9" s="4">
        <v>0.33300000000000002</v>
      </c>
      <c r="S9" s="4">
        <v>0.25</v>
      </c>
      <c r="AA9" t="s">
        <v>21</v>
      </c>
    </row>
    <row r="10" spans="1:32" ht="33.75" thickBot="1" x14ac:dyDescent="0.3">
      <c r="A10">
        <v>250</v>
      </c>
      <c r="B10" s="6">
        <f t="shared" si="0"/>
        <v>243750</v>
      </c>
      <c r="D10" s="4">
        <v>0.75</v>
      </c>
      <c r="E10" s="7">
        <f t="shared" si="1"/>
        <v>426562.5</v>
      </c>
      <c r="F10" s="7">
        <f t="shared" si="2"/>
        <v>182812.5</v>
      </c>
      <c r="G10" s="4">
        <f t="shared" si="3"/>
        <v>0.42857142857142855</v>
      </c>
      <c r="I10" s="20">
        <f t="shared" si="4"/>
        <v>1706.25</v>
      </c>
      <c r="J10" s="7">
        <f t="shared" si="5"/>
        <v>3412.5</v>
      </c>
      <c r="K10" s="21">
        <f t="shared" si="6"/>
        <v>125</v>
      </c>
      <c r="R10" s="4">
        <v>0.4</v>
      </c>
      <c r="S10" s="4">
        <v>0.28599999999999998</v>
      </c>
      <c r="AA10" s="10" t="s">
        <v>22</v>
      </c>
      <c r="AB10" s="11" t="s">
        <v>23</v>
      </c>
      <c r="AC10" s="11" t="s">
        <v>9</v>
      </c>
    </row>
    <row r="11" spans="1:32" ht="17.25" thickBot="1" x14ac:dyDescent="0.3">
      <c r="A11">
        <v>300</v>
      </c>
      <c r="B11" s="6">
        <f t="shared" si="0"/>
        <v>280833.3333</v>
      </c>
      <c r="D11" s="4">
        <v>0.75</v>
      </c>
      <c r="E11" s="7">
        <f t="shared" si="1"/>
        <v>491458.33327499998</v>
      </c>
      <c r="F11" s="7">
        <f t="shared" si="2"/>
        <v>210624.99997499998</v>
      </c>
      <c r="G11" s="4">
        <f t="shared" si="3"/>
        <v>0.42857142857142855</v>
      </c>
      <c r="I11" s="20">
        <f t="shared" si="4"/>
        <v>1638.1944442499998</v>
      </c>
      <c r="J11" s="7">
        <f t="shared" si="5"/>
        <v>3276.3888884999997</v>
      </c>
      <c r="K11" s="21">
        <f t="shared" si="6"/>
        <v>150</v>
      </c>
      <c r="R11" s="4">
        <v>0.43</v>
      </c>
      <c r="S11" s="4">
        <v>0.3</v>
      </c>
      <c r="AA11" s="12">
        <v>100</v>
      </c>
      <c r="AB11" s="13" t="s">
        <v>24</v>
      </c>
      <c r="AC11" s="13">
        <v>3000</v>
      </c>
    </row>
    <row r="12" spans="1:32" ht="17.25" thickBot="1" x14ac:dyDescent="0.3">
      <c r="A12">
        <v>350</v>
      </c>
      <c r="B12" s="6">
        <f t="shared" si="0"/>
        <v>317916.6666</v>
      </c>
      <c r="D12" s="4">
        <v>0.75</v>
      </c>
      <c r="E12" s="7">
        <f t="shared" si="1"/>
        <v>556354.16654999997</v>
      </c>
      <c r="F12" s="7">
        <f t="shared" si="2"/>
        <v>238437.49994999997</v>
      </c>
      <c r="G12" s="4">
        <f t="shared" si="3"/>
        <v>0.42857142857142855</v>
      </c>
      <c r="I12" s="20">
        <f t="shared" si="4"/>
        <v>1589.5833329999998</v>
      </c>
      <c r="J12" s="7">
        <f t="shared" si="5"/>
        <v>3179.1666659999996</v>
      </c>
      <c r="K12" s="21">
        <f t="shared" si="6"/>
        <v>175</v>
      </c>
      <c r="R12" s="4">
        <v>0.5</v>
      </c>
      <c r="S12" s="4">
        <v>0.33</v>
      </c>
      <c r="AA12" s="12">
        <v>200</v>
      </c>
      <c r="AB12" s="13" t="s">
        <v>25</v>
      </c>
      <c r="AC12" s="13">
        <v>2250</v>
      </c>
    </row>
    <row r="13" spans="1:32" ht="17.25" thickBot="1" x14ac:dyDescent="0.3">
      <c r="A13">
        <v>400</v>
      </c>
      <c r="B13" s="6">
        <f t="shared" si="0"/>
        <v>355000</v>
      </c>
      <c r="D13" s="4">
        <v>0.75</v>
      </c>
      <c r="E13" s="7">
        <f t="shared" si="1"/>
        <v>621250</v>
      </c>
      <c r="F13" s="7">
        <f t="shared" si="2"/>
        <v>266250</v>
      </c>
      <c r="G13" s="4">
        <f t="shared" si="3"/>
        <v>0.42857142857142855</v>
      </c>
      <c r="I13" s="20">
        <f t="shared" si="4"/>
        <v>1553.125</v>
      </c>
      <c r="J13" s="7">
        <f t="shared" si="5"/>
        <v>3106.25</v>
      </c>
      <c r="K13" s="21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26</v>
      </c>
      <c r="AC13" s="13">
        <v>1850</v>
      </c>
    </row>
    <row r="14" spans="1:32" ht="17.25" thickBot="1" x14ac:dyDescent="0.3">
      <c r="A14">
        <v>450</v>
      </c>
      <c r="B14" s="6">
        <f t="shared" si="0"/>
        <v>392083.3333</v>
      </c>
      <c r="D14" s="4">
        <v>0.75</v>
      </c>
      <c r="E14" s="7">
        <f t="shared" si="1"/>
        <v>686145.83327499998</v>
      </c>
      <c r="F14" s="7">
        <f t="shared" si="2"/>
        <v>294062.49997499998</v>
      </c>
      <c r="G14" s="4">
        <f t="shared" si="3"/>
        <v>0.42857142857142855</v>
      </c>
      <c r="I14" s="20">
        <f t="shared" si="4"/>
        <v>1524.7685183888889</v>
      </c>
      <c r="J14" s="7">
        <f t="shared" si="5"/>
        <v>3049.5370367777778</v>
      </c>
      <c r="K14" s="21">
        <f t="shared" si="6"/>
        <v>225</v>
      </c>
      <c r="R14" s="4">
        <v>1</v>
      </c>
      <c r="S14" s="4">
        <v>0.5</v>
      </c>
      <c r="AA14" s="12">
        <v>400</v>
      </c>
      <c r="AB14" s="13" t="s">
        <v>27</v>
      </c>
      <c r="AC14" s="13">
        <v>1.625</v>
      </c>
    </row>
    <row r="15" spans="1:32" ht="17.25" thickBot="1" x14ac:dyDescent="0.3">
      <c r="A15">
        <v>500</v>
      </c>
      <c r="B15" s="6">
        <f t="shared" si="0"/>
        <v>429166.6666</v>
      </c>
      <c r="D15" s="4">
        <v>0.75</v>
      </c>
      <c r="E15" s="7">
        <f t="shared" si="1"/>
        <v>751041.66654999997</v>
      </c>
      <c r="F15" s="7">
        <f t="shared" si="2"/>
        <v>321874.99994999997</v>
      </c>
      <c r="G15" s="4">
        <f t="shared" si="3"/>
        <v>0.42857142857142855</v>
      </c>
      <c r="I15" s="20">
        <f t="shared" si="4"/>
        <v>1502.0833330999999</v>
      </c>
      <c r="J15" s="7">
        <f t="shared" si="5"/>
        <v>3004.1666661999998</v>
      </c>
      <c r="K15" s="21">
        <f t="shared" si="6"/>
        <v>250</v>
      </c>
      <c r="AA15" s="12">
        <v>500</v>
      </c>
      <c r="AB15" s="13" t="s">
        <v>28</v>
      </c>
      <c r="AC15" s="13">
        <v>1500</v>
      </c>
    </row>
    <row r="16" spans="1:32" ht="17.25" thickBot="1" x14ac:dyDescent="0.3">
      <c r="A16">
        <v>600</v>
      </c>
      <c r="B16" s="6">
        <f t="shared" si="0"/>
        <v>503333.3333</v>
      </c>
      <c r="D16" s="4">
        <v>0.75</v>
      </c>
      <c r="E16" s="7">
        <f t="shared" si="1"/>
        <v>880833.33327499998</v>
      </c>
      <c r="F16" s="7">
        <f t="shared" si="2"/>
        <v>377499.99997499998</v>
      </c>
      <c r="G16" s="4">
        <f t="shared" si="3"/>
        <v>0.42857142857142855</v>
      </c>
      <c r="I16" s="20">
        <f>E16/A16</f>
        <v>1468.0555554583334</v>
      </c>
      <c r="J16" s="7">
        <f t="shared" si="5"/>
        <v>2936.1111109166668</v>
      </c>
      <c r="K16" s="21">
        <f t="shared" si="6"/>
        <v>300</v>
      </c>
      <c r="AA16" s="12">
        <v>1000</v>
      </c>
      <c r="AB16" s="13" t="s">
        <v>29</v>
      </c>
      <c r="AC16" s="13">
        <v>1400</v>
      </c>
    </row>
    <row r="17" spans="1:32" ht="17.25" thickBot="1" x14ac:dyDescent="0.3">
      <c r="A17">
        <v>700</v>
      </c>
      <c r="B17" s="6">
        <f t="shared" si="0"/>
        <v>577500</v>
      </c>
      <c r="D17" s="4">
        <v>0.75</v>
      </c>
      <c r="E17" s="7">
        <f t="shared" si="1"/>
        <v>1010625</v>
      </c>
      <c r="F17" s="7">
        <f t="shared" si="2"/>
        <v>433125</v>
      </c>
      <c r="G17" s="4">
        <f t="shared" si="3"/>
        <v>0.42857142857142855</v>
      </c>
      <c r="I17" s="7">
        <f t="shared" si="4"/>
        <v>1443.75</v>
      </c>
      <c r="J17" s="7">
        <f t="shared" si="5"/>
        <v>2887.5</v>
      </c>
      <c r="K17" s="21"/>
      <c r="AA17" s="12">
        <v>5000</v>
      </c>
      <c r="AB17" s="13" t="s">
        <v>30</v>
      </c>
      <c r="AC17" s="13">
        <v>1200</v>
      </c>
    </row>
    <row r="18" spans="1:32" ht="17.25" thickBot="1" x14ac:dyDescent="0.3">
      <c r="A18">
        <v>800</v>
      </c>
      <c r="B18" s="6">
        <f t="shared" si="0"/>
        <v>651666.6666</v>
      </c>
      <c r="D18" s="4">
        <v>0.75</v>
      </c>
      <c r="E18" s="7">
        <f t="shared" si="1"/>
        <v>1140416.66655</v>
      </c>
      <c r="F18" s="7">
        <f t="shared" si="2"/>
        <v>488749.99994999997</v>
      </c>
      <c r="G18" s="4">
        <f t="shared" si="3"/>
        <v>0.42857142857142855</v>
      </c>
      <c r="I18" s="7">
        <f t="shared" si="4"/>
        <v>1425.5208331874999</v>
      </c>
      <c r="J18" s="7">
        <f t="shared" si="5"/>
        <v>2851.0416663749997</v>
      </c>
      <c r="K18" s="21"/>
      <c r="AA18" s="12">
        <v>10000</v>
      </c>
      <c r="AB18" s="13" t="s">
        <v>31</v>
      </c>
      <c r="AC18" s="13">
        <v>1000</v>
      </c>
    </row>
    <row r="19" spans="1:32" ht="17.25" thickBot="1" x14ac:dyDescent="0.3">
      <c r="A19">
        <v>900</v>
      </c>
      <c r="B19" s="6">
        <f t="shared" si="0"/>
        <v>725833.33330000006</v>
      </c>
      <c r="D19" s="4">
        <v>0.75</v>
      </c>
      <c r="E19" s="7">
        <f t="shared" si="1"/>
        <v>1270208.3332750001</v>
      </c>
      <c r="F19" s="7">
        <f t="shared" si="2"/>
        <v>544374.99997500004</v>
      </c>
      <c r="G19" s="4">
        <f t="shared" si="3"/>
        <v>0.42857142857142855</v>
      </c>
      <c r="I19" s="7">
        <f t="shared" si="4"/>
        <v>1411.3425925277779</v>
      </c>
      <c r="J19" s="7">
        <f t="shared" si="5"/>
        <v>2822.6851850555558</v>
      </c>
      <c r="K19" s="21"/>
      <c r="AA19" s="12"/>
      <c r="AB19" s="13"/>
      <c r="AC19" s="13"/>
    </row>
    <row r="20" spans="1:32" x14ac:dyDescent="0.25">
      <c r="A20">
        <v>1000</v>
      </c>
      <c r="B20" s="6">
        <f t="shared" si="0"/>
        <v>800000</v>
      </c>
      <c r="D20" s="4">
        <v>0.75</v>
      </c>
      <c r="E20" s="7">
        <f t="shared" si="1"/>
        <v>1400000</v>
      </c>
      <c r="F20" s="7">
        <f t="shared" si="2"/>
        <v>600000</v>
      </c>
      <c r="G20" s="4">
        <f t="shared" si="3"/>
        <v>0.42857142857142855</v>
      </c>
      <c r="I20" s="7">
        <f t="shared" si="4"/>
        <v>1400</v>
      </c>
      <c r="J20" s="7">
        <f t="shared" si="5"/>
        <v>2800</v>
      </c>
      <c r="K20" s="21"/>
    </row>
    <row r="21" spans="1:32" x14ac:dyDescent="0.25">
      <c r="A21">
        <v>1200</v>
      </c>
      <c r="B21" s="6">
        <f t="shared" si="0"/>
        <v>948333.33330000006</v>
      </c>
      <c r="D21" s="4">
        <v>0.75</v>
      </c>
      <c r="E21" s="7">
        <f t="shared" si="1"/>
        <v>1659583.3332750001</v>
      </c>
      <c r="F21" s="7">
        <f t="shared" si="2"/>
        <v>711249.99997500004</v>
      </c>
      <c r="G21" s="4">
        <f t="shared" si="3"/>
        <v>0.42857142857142855</v>
      </c>
      <c r="I21" s="7">
        <f t="shared" si="4"/>
        <v>1382.9861110625002</v>
      </c>
      <c r="J21" s="7">
        <f t="shared" si="5"/>
        <v>2765.9722221250004</v>
      </c>
      <c r="K21" s="21"/>
    </row>
    <row r="22" spans="1:32" ht="16.5" x14ac:dyDescent="0.25">
      <c r="A22">
        <v>1400</v>
      </c>
      <c r="B22" s="6">
        <f t="shared" si="0"/>
        <v>1096666.6666000001</v>
      </c>
      <c r="D22" s="4">
        <v>0.75</v>
      </c>
      <c r="E22" s="7">
        <f t="shared" si="1"/>
        <v>1919166.6665500002</v>
      </c>
      <c r="F22" s="7">
        <f t="shared" si="2"/>
        <v>822499.99995000008</v>
      </c>
      <c r="G22" s="4">
        <f t="shared" si="3"/>
        <v>0.42857142857142855</v>
      </c>
      <c r="I22" s="7">
        <f t="shared" si="4"/>
        <v>1370.8333332500001</v>
      </c>
      <c r="J22" s="7">
        <f t="shared" si="5"/>
        <v>2741.6666665000002</v>
      </c>
      <c r="K22" s="21"/>
      <c r="AA22" s="16" t="s">
        <v>33</v>
      </c>
      <c r="AE22" s="16" t="s">
        <v>33</v>
      </c>
    </row>
    <row r="23" spans="1:32" ht="83.25" thickBot="1" x14ac:dyDescent="0.3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  <c r="J23" s="7">
        <f t="shared" si="5"/>
        <v>2185.5555554933335</v>
      </c>
      <c r="AA23" s="17" t="s">
        <v>34</v>
      </c>
      <c r="AE23" s="16" t="s">
        <v>34</v>
      </c>
    </row>
    <row r="24" spans="1:32" ht="50.25" thickBot="1" x14ac:dyDescent="0.3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  <c r="J24" s="7">
        <f t="shared" si="5"/>
        <v>2158.3333332400002</v>
      </c>
      <c r="AA24" s="10" t="s">
        <v>35</v>
      </c>
      <c r="AB24" s="11" t="s">
        <v>12</v>
      </c>
      <c r="AE24" s="10" t="s">
        <v>35</v>
      </c>
      <c r="AF24" s="11" t="s">
        <v>12</v>
      </c>
    </row>
    <row r="25" spans="1:32" ht="17.25" thickBot="1" x14ac:dyDescent="0.3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  <c r="J25" s="7">
        <f t="shared" si="5"/>
        <v>2142</v>
      </c>
      <c r="AA25" s="12"/>
      <c r="AB25" s="13" t="s">
        <v>36</v>
      </c>
      <c r="AE25" s="12"/>
      <c r="AF25" s="13" t="s">
        <v>46</v>
      </c>
    </row>
    <row r="26" spans="1:32" ht="17.25" thickBot="1" x14ac:dyDescent="0.3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  <c r="J26" s="7">
        <f t="shared" si="5"/>
        <v>2131.1111110799998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  <c r="J27" s="7">
        <f t="shared" si="5"/>
        <v>2123.3333332800003</v>
      </c>
      <c r="AA27" s="15"/>
    </row>
    <row r="28" spans="1:32" ht="17.25" thickBot="1" x14ac:dyDescent="0.3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  <c r="J28" s="7">
        <f t="shared" si="5"/>
        <v>2117.5</v>
      </c>
      <c r="AA28" s="16" t="s">
        <v>37</v>
      </c>
    </row>
    <row r="29" spans="1:32" ht="50.25" thickBot="1" x14ac:dyDescent="0.3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  <c r="J29" s="7">
        <f t="shared" si="5"/>
        <v>2109.3333332959996</v>
      </c>
      <c r="AA29" s="10" t="s">
        <v>38</v>
      </c>
      <c r="AB29" s="11" t="s">
        <v>39</v>
      </c>
    </row>
    <row r="30" spans="1:32" ht="50.25" thickBot="1" x14ac:dyDescent="0.3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  <c r="J30" s="7">
        <f t="shared" si="5"/>
        <v>2103.8888888733331</v>
      </c>
      <c r="AA30" s="12" t="s">
        <v>40</v>
      </c>
      <c r="AB30" s="13" t="s">
        <v>39</v>
      </c>
    </row>
    <row r="31" spans="1:32" ht="50.25" thickBot="1" x14ac:dyDescent="0.3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  <c r="J31" s="7">
        <f t="shared" si="5"/>
        <v>2099.9999999999995</v>
      </c>
      <c r="AA31" s="12" t="s">
        <v>40</v>
      </c>
      <c r="AB31" s="13" t="s">
        <v>42</v>
      </c>
    </row>
    <row r="32" spans="1:32" ht="16.5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  <c r="J32" s="7">
        <f t="shared" si="5"/>
        <v>2097.0833333099999</v>
      </c>
      <c r="AA32" s="14" t="s">
        <v>41</v>
      </c>
    </row>
    <row r="33" spans="1:10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  <c r="J33" s="7">
        <f t="shared" si="5"/>
        <v>2094.8148148044443</v>
      </c>
    </row>
    <row r="34" spans="1:10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  <c r="J34" s="7">
        <f t="shared" si="5"/>
        <v>2093</v>
      </c>
    </row>
    <row r="35" spans="1:10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  <c r="J35" s="7">
        <f t="shared" si="5"/>
        <v>2087.5555555493333</v>
      </c>
    </row>
    <row r="36" spans="1:10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  <c r="J36" s="7">
        <f t="shared" si="5"/>
        <v>2084.8333333239998</v>
      </c>
    </row>
    <row r="38" spans="1:10" x14ac:dyDescent="0.25">
      <c r="A38" t="s">
        <v>20</v>
      </c>
    </row>
    <row r="39" spans="1:10" x14ac:dyDescent="0.25">
      <c r="A39" s="1" t="s">
        <v>4</v>
      </c>
      <c r="D39" s="1" t="s">
        <v>3</v>
      </c>
      <c r="I39" s="1" t="s">
        <v>8</v>
      </c>
    </row>
    <row r="40" spans="1:10" ht="45" x14ac:dyDescent="0.25">
      <c r="A40" s="2" t="s">
        <v>6</v>
      </c>
      <c r="B40" s="2" t="s">
        <v>0</v>
      </c>
      <c r="C40" s="2"/>
      <c r="D40" s="2" t="s">
        <v>7</v>
      </c>
      <c r="E40" s="2" t="s">
        <v>2</v>
      </c>
      <c r="F40" s="2" t="s">
        <v>1</v>
      </c>
      <c r="G40" s="3" t="s">
        <v>5</v>
      </c>
      <c r="H40" s="2"/>
      <c r="I40" s="2" t="s">
        <v>9</v>
      </c>
    </row>
    <row r="41" spans="1:10" x14ac:dyDescent="0.2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2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2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2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2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2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2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2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2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2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2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2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2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2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2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2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2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2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2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2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2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2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2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2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2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2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2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2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2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2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2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2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E27" sqref="E27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100</v>
      </c>
      <c r="B1" t="s">
        <v>112</v>
      </c>
      <c r="C1" t="s">
        <v>114</v>
      </c>
    </row>
    <row r="2" spans="1:11" x14ac:dyDescent="0.25">
      <c r="A2" t="s">
        <v>101</v>
      </c>
      <c r="B2" t="s">
        <v>102</v>
      </c>
      <c r="D2" s="2" t="s">
        <v>141</v>
      </c>
      <c r="E2" t="s">
        <v>142</v>
      </c>
      <c r="J2">
        <v>1000</v>
      </c>
      <c r="K2">
        <v>120</v>
      </c>
    </row>
    <row r="3" spans="1:11" x14ac:dyDescent="0.25">
      <c r="A3" t="s">
        <v>103</v>
      </c>
      <c r="B3" t="s">
        <v>106</v>
      </c>
      <c r="C3">
        <v>24</v>
      </c>
      <c r="D3" s="21">
        <v>3000</v>
      </c>
      <c r="E3" s="23">
        <f>C3*D3</f>
        <v>72000</v>
      </c>
      <c r="J3">
        <v>2000</v>
      </c>
      <c r="K3">
        <v>88</v>
      </c>
    </row>
    <row r="4" spans="1:11" x14ac:dyDescent="0.25">
      <c r="A4" t="s">
        <v>104</v>
      </c>
      <c r="B4" t="s">
        <v>105</v>
      </c>
      <c r="J4">
        <v>3000</v>
      </c>
      <c r="K4">
        <v>78</v>
      </c>
    </row>
    <row r="5" spans="1:11" x14ac:dyDescent="0.25">
      <c r="A5" t="s">
        <v>107</v>
      </c>
      <c r="B5">
        <v>2</v>
      </c>
    </row>
    <row r="6" spans="1:11" x14ac:dyDescent="0.25">
      <c r="A6" t="s">
        <v>108</v>
      </c>
      <c r="B6">
        <v>2</v>
      </c>
      <c r="D6" t="s">
        <v>111</v>
      </c>
    </row>
    <row r="7" spans="1:11" x14ac:dyDescent="0.25">
      <c r="A7" t="s">
        <v>109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110</v>
      </c>
      <c r="D8">
        <f xml:space="preserve"> B8*C8</f>
        <v>0</v>
      </c>
      <c r="E8" t="s">
        <v>115</v>
      </c>
      <c r="F8" t="s">
        <v>116</v>
      </c>
      <c r="G8" t="s">
        <v>117</v>
      </c>
    </row>
    <row r="9" spans="1:11" x14ac:dyDescent="0.25">
      <c r="D9">
        <f>SUM(D7:D8)</f>
        <v>624</v>
      </c>
      <c r="E9" t="s">
        <v>96</v>
      </c>
      <c r="F9">
        <v>850</v>
      </c>
      <c r="G9">
        <v>1</v>
      </c>
      <c r="H9" s="25">
        <f>(G9*D9)*F9</f>
        <v>530400</v>
      </c>
    </row>
    <row r="10" spans="1:11" x14ac:dyDescent="0.25">
      <c r="H10" s="25"/>
    </row>
    <row r="11" spans="1:11" ht="30" x14ac:dyDescent="0.25">
      <c r="B11" t="s">
        <v>138</v>
      </c>
      <c r="C11" t="s">
        <v>139</v>
      </c>
      <c r="D11" s="2" t="s">
        <v>140</v>
      </c>
      <c r="E11" t="s">
        <v>119</v>
      </c>
      <c r="F11" t="s">
        <v>120</v>
      </c>
      <c r="G11" t="s">
        <v>121</v>
      </c>
      <c r="H11" s="25"/>
    </row>
    <row r="12" spans="1:11" x14ac:dyDescent="0.25">
      <c r="A12" t="s">
        <v>118</v>
      </c>
      <c r="B12">
        <v>52</v>
      </c>
      <c r="C12">
        <v>10</v>
      </c>
      <c r="D12">
        <f xml:space="preserve"> B12*C12</f>
        <v>520</v>
      </c>
      <c r="E12" t="s">
        <v>92</v>
      </c>
      <c r="F12">
        <v>0.34</v>
      </c>
      <c r="G12" s="22">
        <f>($D$3*C3)/6</f>
        <v>12000</v>
      </c>
      <c r="H12" s="25">
        <f>(G12*D12)*F12</f>
        <v>2121600</v>
      </c>
    </row>
    <row r="13" spans="1:11" x14ac:dyDescent="0.25">
      <c r="G13" s="22"/>
      <c r="H13" s="25"/>
    </row>
    <row r="14" spans="1:11" x14ac:dyDescent="0.25">
      <c r="A14" t="s">
        <v>127</v>
      </c>
      <c r="B14" t="s">
        <v>128</v>
      </c>
      <c r="C14" t="s">
        <v>130</v>
      </c>
      <c r="G14" s="22"/>
      <c r="H14" s="25"/>
    </row>
    <row r="15" spans="1:11" x14ac:dyDescent="0.25">
      <c r="B15">
        <v>300</v>
      </c>
      <c r="C15">
        <f xml:space="preserve"> (3+1) * 2 + (8+1)*2</f>
        <v>26</v>
      </c>
      <c r="G15" s="22"/>
      <c r="H15" s="25"/>
    </row>
    <row r="17" spans="1:4" x14ac:dyDescent="0.25">
      <c r="A17" s="1" t="s">
        <v>131</v>
      </c>
      <c r="D17" s="22">
        <f>D3</f>
        <v>3000</v>
      </c>
    </row>
    <row r="18" spans="1:4" x14ac:dyDescent="0.25">
      <c r="C18" t="s">
        <v>123</v>
      </c>
      <c r="D18" t="s">
        <v>113</v>
      </c>
    </row>
    <row r="19" spans="1:4" x14ac:dyDescent="0.25">
      <c r="A19" t="s">
        <v>132</v>
      </c>
      <c r="C19">
        <v>1</v>
      </c>
      <c r="D19" s="24">
        <f xml:space="preserve"> PhiMayEpKimTuDong(D17*$C19)</f>
        <v>1103333.3333000001</v>
      </c>
    </row>
    <row r="20" spans="1:4" x14ac:dyDescent="0.25">
      <c r="A20" t="s">
        <v>124</v>
      </c>
      <c r="D20" s="7">
        <f>H9 + 100000</f>
        <v>630400</v>
      </c>
    </row>
    <row r="21" spans="1:4" x14ac:dyDescent="0.25">
      <c r="A21" t="s">
        <v>122</v>
      </c>
      <c r="D21" s="26">
        <f>H12</f>
        <v>2121600</v>
      </c>
    </row>
    <row r="22" spans="1:4" x14ac:dyDescent="0.25">
      <c r="A22" t="s">
        <v>125</v>
      </c>
      <c r="D22" s="26">
        <v>200000</v>
      </c>
    </row>
    <row r="23" spans="1:4" x14ac:dyDescent="0.25">
      <c r="A23" t="s">
        <v>126</v>
      </c>
      <c r="B23" t="s">
        <v>129</v>
      </c>
      <c r="C23">
        <f>D17/$B$15</f>
        <v>10</v>
      </c>
      <c r="D23" s="26">
        <f>PhiCatGiay(C23,$C$15)</f>
        <v>112152.77830000001</v>
      </c>
    </row>
    <row r="24" spans="1:4" x14ac:dyDescent="0.25">
      <c r="C24" t="s">
        <v>85</v>
      </c>
      <c r="D24" s="26">
        <f>SUM(D19:D23)</f>
        <v>4167486.1115999999</v>
      </c>
    </row>
    <row r="25" spans="1:4" x14ac:dyDescent="0.25">
      <c r="C25" t="s">
        <v>133</v>
      </c>
      <c r="D25" s="27">
        <v>0.25</v>
      </c>
    </row>
    <row r="26" spans="1:4" x14ac:dyDescent="0.25">
      <c r="C26" t="s">
        <v>134</v>
      </c>
      <c r="D26" s="7">
        <f>D24/(1-D25)</f>
        <v>5556648.1487999996</v>
      </c>
    </row>
    <row r="27" spans="1:4" x14ac:dyDescent="0.25">
      <c r="C27" t="s">
        <v>137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7" sqref="E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205</v>
      </c>
    </row>
    <row r="2" spans="1:10" x14ac:dyDescent="0.25">
      <c r="A2" t="s">
        <v>221</v>
      </c>
      <c r="B2" s="31">
        <v>43609</v>
      </c>
    </row>
    <row r="3" spans="1:10" x14ac:dyDescent="0.25">
      <c r="B3" t="s">
        <v>138</v>
      </c>
      <c r="C3" t="s">
        <v>209</v>
      </c>
    </row>
    <row r="4" spans="1:10" x14ac:dyDescent="0.25">
      <c r="A4" t="s">
        <v>208</v>
      </c>
      <c r="B4">
        <v>29.7</v>
      </c>
      <c r="C4">
        <v>21</v>
      </c>
    </row>
    <row r="5" spans="1:10" ht="30" x14ac:dyDescent="0.25">
      <c r="A5" t="s">
        <v>206</v>
      </c>
      <c r="B5" s="1" t="s">
        <v>207</v>
      </c>
      <c r="E5" s="2" t="s">
        <v>231</v>
      </c>
    </row>
    <row r="6" spans="1:10" x14ac:dyDescent="0.25">
      <c r="A6" t="s">
        <v>219</v>
      </c>
      <c r="D6" s="1">
        <v>2</v>
      </c>
      <c r="E6">
        <v>2</v>
      </c>
    </row>
    <row r="7" spans="1:10" x14ac:dyDescent="0.25">
      <c r="A7" t="s">
        <v>135</v>
      </c>
      <c r="D7" s="33">
        <v>0.75</v>
      </c>
      <c r="E7" s="34" t="s">
        <v>233</v>
      </c>
    </row>
    <row r="8" spans="1:10" x14ac:dyDescent="0.25">
      <c r="B8" t="s">
        <v>215</v>
      </c>
      <c r="C8" t="s">
        <v>216</v>
      </c>
      <c r="D8" t="s">
        <v>218</v>
      </c>
      <c r="E8" t="s">
        <v>217</v>
      </c>
    </row>
    <row r="9" spans="1:10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210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229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230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224</v>
      </c>
      <c r="E15" s="32">
        <f>PhiInKM4M_BHR80(E$14)</f>
        <v>146133.3334</v>
      </c>
      <c r="F15" s="32">
        <f t="shared" ref="F15:I15" si="2">PhiInKM4M_BHR80(F$14)</f>
        <v>112591.6667</v>
      </c>
      <c r="G15" s="32">
        <f t="shared" si="2"/>
        <v>146133.3334</v>
      </c>
      <c r="H15" s="32">
        <f t="shared" si="2"/>
        <v>179675</v>
      </c>
      <c r="I15" s="32">
        <f t="shared" si="2"/>
        <v>213216.6667</v>
      </c>
      <c r="J15" s="32">
        <f>PhiInKM4M_BHR80(J$14)</f>
        <v>246758.3334</v>
      </c>
    </row>
    <row r="16" spans="1:10" x14ac:dyDescent="0.25">
      <c r="A16" s="2" t="s">
        <v>232</v>
      </c>
      <c r="E16" s="32">
        <f>PhiInKM4M_BHR80(E$14*2)</f>
        <v>248100</v>
      </c>
      <c r="F16" s="32">
        <f t="shared" ref="F16:J16" si="3">PhiInKM4M_BHR80(F$14*2)</f>
        <v>181016.6667</v>
      </c>
      <c r="G16" s="32">
        <f t="shared" si="3"/>
        <v>248100</v>
      </c>
      <c r="H16" s="32">
        <f t="shared" si="3"/>
        <v>315183.3334</v>
      </c>
      <c r="I16" s="32">
        <f t="shared" si="3"/>
        <v>382266.6667</v>
      </c>
      <c r="J16" s="32">
        <f t="shared" si="3"/>
        <v>449350</v>
      </c>
    </row>
    <row r="17" spans="1:10" ht="30" x14ac:dyDescent="0.25">
      <c r="A17" s="2" t="s">
        <v>225</v>
      </c>
      <c r="E17" s="25">
        <f t="shared" ref="E17:J17" si="4">E$15*(1+$D$7)</f>
        <v>255733.33345000001</v>
      </c>
      <c r="F17" s="25">
        <f t="shared" si="4"/>
        <v>197035.41672500002</v>
      </c>
      <c r="G17" s="25">
        <f t="shared" si="4"/>
        <v>255733.33345000001</v>
      </c>
      <c r="H17" s="25">
        <f t="shared" si="4"/>
        <v>314431.25</v>
      </c>
      <c r="I17" s="25">
        <f t="shared" si="4"/>
        <v>373129.16672500002</v>
      </c>
      <c r="J17" s="25">
        <f t="shared" si="4"/>
        <v>431827.08345000003</v>
      </c>
    </row>
    <row r="18" spans="1:10" ht="30" x14ac:dyDescent="0.25">
      <c r="A18" s="2" t="s">
        <v>228</v>
      </c>
      <c r="E18" s="25">
        <f t="shared" ref="E18:J18" si="5">E$16*(1+$D$7)</f>
        <v>434175</v>
      </c>
      <c r="F18" s="25">
        <f t="shared" si="5"/>
        <v>316779.16672500002</v>
      </c>
      <c r="G18" s="25">
        <f t="shared" si="5"/>
        <v>434175</v>
      </c>
      <c r="H18" s="25">
        <f t="shared" si="5"/>
        <v>551570.83345000003</v>
      </c>
      <c r="I18" s="25">
        <f t="shared" si="5"/>
        <v>668966.66672500002</v>
      </c>
      <c r="J18" s="25">
        <f t="shared" si="5"/>
        <v>786362.5</v>
      </c>
    </row>
    <row r="19" spans="1:10" x14ac:dyDescent="0.25">
      <c r="A19" s="2" t="s">
        <v>220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25">
      <c r="A20" s="2" t="s">
        <v>222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25">
      <c r="A21" s="2" t="s">
        <v>223</v>
      </c>
      <c r="E21" s="25">
        <f t="shared" ref="E21:J21" si="8">$E$9*E$13</f>
        <v>68495</v>
      </c>
      <c r="F21" s="25">
        <f t="shared" si="8"/>
        <v>45963.75</v>
      </c>
      <c r="G21" s="25">
        <f t="shared" si="8"/>
        <v>68495</v>
      </c>
      <c r="H21" s="25">
        <f t="shared" si="8"/>
        <v>91026.25</v>
      </c>
      <c r="I21" s="25">
        <f t="shared" si="8"/>
        <v>113557.5</v>
      </c>
      <c r="J21" s="25">
        <f t="shared" si="8"/>
        <v>136088.75</v>
      </c>
    </row>
    <row r="22" spans="1:10" ht="30" x14ac:dyDescent="0.25">
      <c r="A22" s="2" t="s">
        <v>226</v>
      </c>
      <c r="E22" s="25">
        <f t="shared" ref="E22:J22" si="9">E$17+E$21</f>
        <v>324228.33345000003</v>
      </c>
      <c r="F22" s="25">
        <f t="shared" si="9"/>
        <v>242999.16672500002</v>
      </c>
      <c r="G22" s="25">
        <f t="shared" si="9"/>
        <v>324228.33345000003</v>
      </c>
      <c r="H22" s="25">
        <f t="shared" si="9"/>
        <v>405457.5</v>
      </c>
      <c r="I22" s="25">
        <f t="shared" si="9"/>
        <v>486686.66672500002</v>
      </c>
      <c r="J22" s="25">
        <f t="shared" si="9"/>
        <v>567915.83345000003</v>
      </c>
    </row>
    <row r="23" spans="1:10" ht="30" x14ac:dyDescent="0.25">
      <c r="A23" s="2" t="s">
        <v>227</v>
      </c>
      <c r="E23" s="25">
        <f t="shared" ref="E23:J23" si="10">E$18+E$21</f>
        <v>502670</v>
      </c>
      <c r="F23" s="25">
        <f t="shared" si="10"/>
        <v>362742.91672500002</v>
      </c>
      <c r="G23" s="25">
        <f t="shared" si="10"/>
        <v>502670</v>
      </c>
      <c r="H23" s="25">
        <f t="shared" si="10"/>
        <v>642597.08345000003</v>
      </c>
      <c r="I23" s="25">
        <f t="shared" si="10"/>
        <v>782524.16672500002</v>
      </c>
      <c r="J23" s="25">
        <f t="shared" si="10"/>
        <v>922451.25</v>
      </c>
    </row>
    <row r="24" spans="1:10" x14ac:dyDescent="0.25">
      <c r="A24" s="2"/>
    </row>
    <row r="25" spans="1:10" x14ac:dyDescent="0.25">
      <c r="A25" s="2" t="s">
        <v>248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25">
      <c r="A26" s="2" t="s">
        <v>249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234</v>
      </c>
    </row>
    <row r="8" spans="2:11" x14ac:dyDescent="0.25">
      <c r="G8" s="35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sqref="A1:XFD1048576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4" x14ac:dyDescent="0.25">
      <c r="A1" s="1" t="s">
        <v>260</v>
      </c>
    </row>
    <row r="2" spans="1:14" x14ac:dyDescent="0.25">
      <c r="A2" t="s">
        <v>221</v>
      </c>
      <c r="B2" s="31">
        <v>43609</v>
      </c>
    </row>
    <row r="3" spans="1:14" x14ac:dyDescent="0.25">
      <c r="B3" t="s">
        <v>138</v>
      </c>
      <c r="C3" t="s">
        <v>139</v>
      </c>
    </row>
    <row r="4" spans="1:14" x14ac:dyDescent="0.25">
      <c r="A4" t="s">
        <v>208</v>
      </c>
      <c r="B4">
        <v>21</v>
      </c>
      <c r="C4">
        <v>29.7</v>
      </c>
    </row>
    <row r="5" spans="1:14" ht="30" x14ac:dyDescent="0.25">
      <c r="A5" t="s">
        <v>206</v>
      </c>
      <c r="B5" s="1" t="s">
        <v>207</v>
      </c>
      <c r="E5" s="2" t="s">
        <v>231</v>
      </c>
    </row>
    <row r="6" spans="1:14" x14ac:dyDescent="0.25">
      <c r="A6" t="s">
        <v>219</v>
      </c>
      <c r="D6" s="1">
        <v>2</v>
      </c>
      <c r="E6">
        <v>2</v>
      </c>
    </row>
    <row r="7" spans="1:14" x14ac:dyDescent="0.25">
      <c r="A7" t="s">
        <v>135</v>
      </c>
      <c r="D7" s="33">
        <v>0.75</v>
      </c>
      <c r="E7" s="34" t="s">
        <v>233</v>
      </c>
    </row>
    <row r="8" spans="1:14" x14ac:dyDescent="0.25">
      <c r="B8" t="s">
        <v>215</v>
      </c>
      <c r="C8" t="s">
        <v>216</v>
      </c>
      <c r="D8" t="s">
        <v>218</v>
      </c>
      <c r="E8" t="s">
        <v>217</v>
      </c>
    </row>
    <row r="9" spans="1:14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4" x14ac:dyDescent="0.25">
      <c r="E10" s="7"/>
      <c r="J10" t="s">
        <v>284</v>
      </c>
    </row>
    <row r="11" spans="1:14" x14ac:dyDescent="0.25">
      <c r="J11" s="37">
        <f>$E$9/2</f>
        <v>450.625</v>
      </c>
    </row>
    <row r="12" spans="1:14" ht="45" x14ac:dyDescent="0.25">
      <c r="A12" s="19" t="s">
        <v>263</v>
      </c>
      <c r="B12" s="36" t="s">
        <v>262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35" t="s">
        <v>283</v>
      </c>
    </row>
    <row r="13" spans="1:14" x14ac:dyDescent="0.25">
      <c r="A13" s="2">
        <v>8</v>
      </c>
      <c r="B13">
        <f>$A13*C$12</f>
        <v>80</v>
      </c>
      <c r="C13" s="7">
        <f>PhiMayInToner4M_Max($A13*C$12)*(1+$D$7)/($A13*C$12)</f>
        <v>2140.1041681249999</v>
      </c>
      <c r="D13" s="7">
        <f t="shared" ref="D13:H25" si="0">PhiMayInToner4M_Max($A13*D$12)*(1+$D$7)/($A13*D$12)</f>
        <v>1657.03125</v>
      </c>
      <c r="E13" s="7">
        <f t="shared" si="0"/>
        <v>1367.1875</v>
      </c>
      <c r="F13" s="7">
        <f t="shared" si="0"/>
        <v>1270.5729168125001</v>
      </c>
      <c r="G13" s="7">
        <f t="shared" si="0"/>
        <v>1238.3680556041666</v>
      </c>
      <c r="H13" s="7">
        <f t="shared" si="0"/>
        <v>1222.265625</v>
      </c>
      <c r="N13" s="7">
        <f>PhiMayInToner4M_Max(80)</f>
        <v>97833.333400000003</v>
      </c>
    </row>
    <row r="14" spans="1:14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1818.0555560416667</v>
      </c>
      <c r="D14" s="7">
        <f t="shared" si="0"/>
        <v>1496.0069446875</v>
      </c>
      <c r="E14" s="7">
        <f t="shared" si="0"/>
        <v>1302.7777778750001</v>
      </c>
      <c r="F14" s="7">
        <f t="shared" si="0"/>
        <v>1238.3680556041666</v>
      </c>
      <c r="G14" s="7">
        <f t="shared" si="0"/>
        <v>1216.8981481805556</v>
      </c>
      <c r="H14" s="7">
        <f t="shared" si="0"/>
        <v>1206.1631944687499</v>
      </c>
      <c r="N14">
        <f>80*60*0.8</f>
        <v>3840</v>
      </c>
    </row>
    <row r="15" spans="1:14" x14ac:dyDescent="0.25">
      <c r="A15" s="2">
        <f t="shared" ref="A15:A36" si="3">A14+4</f>
        <v>16</v>
      </c>
      <c r="B15">
        <f t="shared" si="1"/>
        <v>160</v>
      </c>
      <c r="C15" s="7">
        <f t="shared" si="2"/>
        <v>1657.03125</v>
      </c>
      <c r="D15" s="7">
        <f t="shared" si="0"/>
        <v>1415.4947920312502</v>
      </c>
      <c r="E15" s="7">
        <f t="shared" si="0"/>
        <v>1270.5729168125001</v>
      </c>
      <c r="F15" s="7">
        <f t="shared" si="0"/>
        <v>1222.265625</v>
      </c>
      <c r="G15" s="7">
        <f t="shared" si="0"/>
        <v>1206.1631944687499</v>
      </c>
      <c r="H15" s="7">
        <f t="shared" si="0"/>
        <v>1198.111979203125</v>
      </c>
    </row>
    <row r="16" spans="1:14" x14ac:dyDescent="0.25">
      <c r="A16" s="2">
        <f t="shared" si="3"/>
        <v>20</v>
      </c>
      <c r="B16">
        <f t="shared" si="1"/>
        <v>200</v>
      </c>
      <c r="C16" s="7">
        <f t="shared" si="2"/>
        <v>1560.4166672500003</v>
      </c>
      <c r="D16" s="7">
        <f t="shared" si="0"/>
        <v>1367.1875</v>
      </c>
      <c r="E16" s="7">
        <f t="shared" si="0"/>
        <v>1251.25</v>
      </c>
      <c r="F16" s="7">
        <f t="shared" si="0"/>
        <v>1212.6041667249999</v>
      </c>
      <c r="G16" s="7">
        <f t="shared" si="0"/>
        <v>1199.7222222416667</v>
      </c>
      <c r="H16" s="7">
        <f t="shared" si="0"/>
        <v>1193.28125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1496.0069446875</v>
      </c>
      <c r="D17" s="7">
        <f t="shared" si="0"/>
        <v>1334.9826390104167</v>
      </c>
      <c r="E17" s="7">
        <f t="shared" si="0"/>
        <v>1238.3680556041666</v>
      </c>
      <c r="F17" s="7">
        <f t="shared" si="0"/>
        <v>1206.1631944687499</v>
      </c>
      <c r="G17" s="7">
        <f t="shared" si="0"/>
        <v>1195.4282407569444</v>
      </c>
      <c r="H17" s="7">
        <f t="shared" si="0"/>
        <v>1190.0607639010418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1450</v>
      </c>
      <c r="D18" s="7">
        <f t="shared" si="0"/>
        <v>1311.9791668750001</v>
      </c>
      <c r="E18" s="7">
        <f t="shared" si="0"/>
        <v>1229.1666667500001</v>
      </c>
      <c r="F18" s="7">
        <f t="shared" si="0"/>
        <v>1201.5625</v>
      </c>
      <c r="G18" s="7">
        <f t="shared" si="0"/>
        <v>1192.361111125</v>
      </c>
      <c r="H18" s="7">
        <f t="shared" si="0"/>
        <v>1187.7604166874999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1415.4947920312502</v>
      </c>
      <c r="D19" s="7">
        <f t="shared" si="0"/>
        <v>1294.7265625</v>
      </c>
      <c r="E19" s="7">
        <f t="shared" si="0"/>
        <v>1222.265625</v>
      </c>
      <c r="F19" s="7">
        <f t="shared" si="0"/>
        <v>1198.111979203125</v>
      </c>
      <c r="G19" s="7">
        <f t="shared" si="0"/>
        <v>1190.0607639010418</v>
      </c>
      <c r="H19" s="7">
        <f t="shared" si="0"/>
        <v>1186.03515625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1388.6574075694446</v>
      </c>
      <c r="D20" s="7">
        <f t="shared" si="0"/>
        <v>1281.3078704513887</v>
      </c>
      <c r="E20" s="7">
        <f t="shared" si="0"/>
        <v>1216.8981481805556</v>
      </c>
      <c r="F20" s="7">
        <f t="shared" si="0"/>
        <v>1195.4282407569444</v>
      </c>
      <c r="G20" s="7">
        <f t="shared" si="0"/>
        <v>1188.2716049490741</v>
      </c>
      <c r="H20" s="7">
        <f t="shared" si="0"/>
        <v>1184.693287045139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1367.1875</v>
      </c>
      <c r="D21" s="7">
        <f t="shared" si="0"/>
        <v>1270.5729168125001</v>
      </c>
      <c r="E21" s="7">
        <f t="shared" si="0"/>
        <v>1212.6041667249999</v>
      </c>
      <c r="F21" s="7">
        <f t="shared" si="0"/>
        <v>1193.28125</v>
      </c>
      <c r="G21" s="7">
        <f t="shared" si="0"/>
        <v>1186.8402777875001</v>
      </c>
      <c r="H21" s="7">
        <f t="shared" si="0"/>
        <v>1183.61979168125</v>
      </c>
    </row>
    <row r="22" spans="1:8" x14ac:dyDescent="0.25">
      <c r="A22" s="2">
        <f t="shared" si="3"/>
        <v>44</v>
      </c>
      <c r="C22" s="7">
        <f t="shared" si="2"/>
        <v>1349.6212123863638</v>
      </c>
      <c r="D22" s="7">
        <f t="shared" si="0"/>
        <v>1261.7897727272727</v>
      </c>
      <c r="E22" s="7">
        <f t="shared" si="0"/>
        <v>1209.090909090909</v>
      </c>
      <c r="F22" s="7">
        <f t="shared" si="0"/>
        <v>1191.5246212386364</v>
      </c>
      <c r="G22" s="7">
        <f t="shared" si="0"/>
        <v>1185.6691919280304</v>
      </c>
      <c r="H22" s="7">
        <f t="shared" si="0"/>
        <v>1182.7414772727273</v>
      </c>
    </row>
    <row r="23" spans="1:8" x14ac:dyDescent="0.25">
      <c r="A23" s="2">
        <f t="shared" si="3"/>
        <v>48</v>
      </c>
      <c r="C23" s="7">
        <f t="shared" si="2"/>
        <v>1334.9826390104167</v>
      </c>
      <c r="D23" s="7">
        <f t="shared" si="0"/>
        <v>1254.4704861718749</v>
      </c>
      <c r="E23" s="7">
        <f t="shared" si="0"/>
        <v>1206.1631944687499</v>
      </c>
      <c r="F23" s="7">
        <f t="shared" si="0"/>
        <v>1190.0607639010418</v>
      </c>
      <c r="G23" s="7">
        <f t="shared" si="0"/>
        <v>1184.693287045139</v>
      </c>
      <c r="H23" s="7">
        <f t="shared" si="0"/>
        <v>1182.0095486171876</v>
      </c>
    </row>
    <row r="24" spans="1:8" x14ac:dyDescent="0.25">
      <c r="A24" s="2">
        <f t="shared" si="3"/>
        <v>52</v>
      </c>
      <c r="C24" s="7">
        <f t="shared" si="2"/>
        <v>1322.5961538461538</v>
      </c>
      <c r="D24" s="7">
        <f t="shared" si="0"/>
        <v>1248.277243701923</v>
      </c>
      <c r="E24" s="7">
        <f t="shared" si="0"/>
        <v>1203.6858974807692</v>
      </c>
      <c r="F24" s="7">
        <f t="shared" si="0"/>
        <v>1188.8221153846155</v>
      </c>
      <c r="G24" s="7">
        <f t="shared" si="0"/>
        <v>1183.867521375</v>
      </c>
      <c r="H24" s="7">
        <f t="shared" si="0"/>
        <v>1181.3902243701923</v>
      </c>
    </row>
    <row r="25" spans="1:8" x14ac:dyDescent="0.25">
      <c r="A25" s="2">
        <f t="shared" si="3"/>
        <v>56</v>
      </c>
      <c r="C25" s="7">
        <f t="shared" si="2"/>
        <v>1311.9791668750001</v>
      </c>
      <c r="D25" s="7">
        <f t="shared" si="0"/>
        <v>1242.96875</v>
      </c>
      <c r="E25" s="7">
        <f t="shared" si="0"/>
        <v>1201.5625</v>
      </c>
      <c r="F25" s="7">
        <f t="shared" si="0"/>
        <v>1187.7604166874999</v>
      </c>
      <c r="G25" s="7">
        <f t="shared" si="0"/>
        <v>1183.1597222291666</v>
      </c>
      <c r="H25" s="7">
        <f t="shared" si="0"/>
        <v>1180.859375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253</v>
      </c>
      <c r="B1" t="s">
        <v>261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207</v>
      </c>
      <c r="C5">
        <v>32</v>
      </c>
      <c r="D5">
        <v>43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254</v>
      </c>
      <c r="B9" t="s">
        <v>155</v>
      </c>
      <c r="C9" t="s">
        <v>148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255</v>
      </c>
      <c r="B10" t="s">
        <v>178</v>
      </c>
      <c r="C10" t="s">
        <v>183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ht="30" x14ac:dyDescent="0.25">
      <c r="A18" s="2" t="s">
        <v>267</v>
      </c>
      <c r="C18" s="32">
        <f t="shared" ref="C18:H18" si="3">PhiMayCanMang(C$15, $C$5/100, $D$5/100)</f>
        <v>37960.784200000002</v>
      </c>
      <c r="D18" s="32">
        <f t="shared" si="3"/>
        <v>38996.078399999999</v>
      </c>
      <c r="E18" s="32">
        <f t="shared" si="3"/>
        <v>42360.784200000002</v>
      </c>
      <c r="F18" s="32">
        <f t="shared" si="3"/>
        <v>47796.078399999999</v>
      </c>
      <c r="G18" s="32">
        <f t="shared" si="3"/>
        <v>53490.196000000004</v>
      </c>
      <c r="H18" s="32">
        <f t="shared" si="3"/>
        <v>58925.490100000003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13992</v>
      </c>
      <c r="D20" s="32">
        <f t="shared" si="5"/>
        <v>26712</v>
      </c>
      <c r="E20" s="32">
        <f t="shared" si="5"/>
        <v>64872</v>
      </c>
      <c r="F20" s="32">
        <f t="shared" si="5"/>
        <v>128472</v>
      </c>
      <c r="G20" s="32">
        <f t="shared" si="5"/>
        <v>192072</v>
      </c>
      <c r="H20" s="32">
        <f t="shared" si="5"/>
        <v>255672</v>
      </c>
    </row>
    <row r="21" spans="1:8" x14ac:dyDescent="0.25">
      <c r="A21" s="2" t="s">
        <v>256</v>
      </c>
      <c r="C21" s="32">
        <f t="shared" ref="C21:H21" si="6">C$15*$D$10</f>
        <v>5665</v>
      </c>
      <c r="D21" s="32">
        <f t="shared" si="6"/>
        <v>10815</v>
      </c>
      <c r="E21" s="32">
        <f t="shared" si="6"/>
        <v>26265</v>
      </c>
      <c r="F21" s="32">
        <f t="shared" si="6"/>
        <v>52015</v>
      </c>
      <c r="G21" s="32">
        <f t="shared" si="6"/>
        <v>77765</v>
      </c>
      <c r="H21" s="32">
        <f t="shared" si="6"/>
        <v>103515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45" x14ac:dyDescent="0.25">
      <c r="A23" s="2" t="s">
        <v>268</v>
      </c>
      <c r="C23" s="25">
        <f t="shared" ref="C23:H23" si="7" xml:space="preserve"> (C$17+C$18+C$20)*(1+$D$7)</f>
        <v>221554.87234999999</v>
      </c>
      <c r="D23" s="25">
        <f t="shared" si="7"/>
        <v>271584.97047499998</v>
      </c>
      <c r="E23" s="25">
        <f t="shared" si="7"/>
        <v>422128.205625</v>
      </c>
      <c r="F23" s="25">
        <f t="shared" si="7"/>
        <v>672731.6372</v>
      </c>
      <c r="G23" s="25">
        <f t="shared" si="7"/>
        <v>923788.00954999996</v>
      </c>
      <c r="H23" s="25">
        <f t="shared" si="7"/>
        <v>1174391.44095</v>
      </c>
    </row>
    <row r="24" spans="1:8" ht="30" x14ac:dyDescent="0.25">
      <c r="A24" s="2" t="s">
        <v>257</v>
      </c>
      <c r="C24" s="25">
        <f t="shared" ref="C24:H24" si="8" xml:space="preserve"> C$19+C$21*(1+$D$7)</f>
        <v>29713.75</v>
      </c>
      <c r="D24" s="25">
        <f t="shared" si="8"/>
        <v>56726.25</v>
      </c>
      <c r="E24" s="25">
        <f t="shared" si="8"/>
        <v>137763.75</v>
      </c>
      <c r="F24" s="25">
        <f t="shared" si="8"/>
        <v>272826.25</v>
      </c>
      <c r="G24" s="25">
        <f t="shared" si="8"/>
        <v>407888.75</v>
      </c>
      <c r="H24" s="25">
        <f t="shared" si="8"/>
        <v>542951.25</v>
      </c>
    </row>
    <row r="25" spans="1:8" x14ac:dyDescent="0.25">
      <c r="A25" s="2"/>
    </row>
    <row r="26" spans="1:8" x14ac:dyDescent="0.25">
      <c r="A26" s="2" t="s">
        <v>258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259</v>
      </c>
      <c r="C27" s="25">
        <f t="shared" ref="C27:H27" si="10">C$26*(1+$D$7)</f>
        <v>246458.33327499998</v>
      </c>
      <c r="D27" s="25">
        <f t="shared" si="10"/>
        <v>274166.66672500002</v>
      </c>
      <c r="E27" s="25">
        <f t="shared" si="10"/>
        <v>357291.66672500002</v>
      </c>
      <c r="F27" s="25">
        <f t="shared" si="10"/>
        <v>495833.33327499998</v>
      </c>
      <c r="G27" s="25">
        <f t="shared" si="10"/>
        <v>634375</v>
      </c>
      <c r="H27" s="25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1">C$23+C$27</f>
        <v>468013.20562499994</v>
      </c>
      <c r="D29" s="7">
        <f t="shared" si="11"/>
        <v>545751.6372</v>
      </c>
      <c r="E29" s="7">
        <f t="shared" si="11"/>
        <v>779419.87235000008</v>
      </c>
      <c r="F29" s="7">
        <f t="shared" si="11"/>
        <v>1168564.9704749999</v>
      </c>
      <c r="G29" s="7">
        <f t="shared" si="11"/>
        <v>1558163.0095500001</v>
      </c>
      <c r="H29" s="7">
        <f t="shared" si="11"/>
        <v>1947308.1076750001</v>
      </c>
    </row>
    <row r="30" spans="1:8" x14ac:dyDescent="0.25">
      <c r="A30" s="2" t="s">
        <v>271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265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272</v>
      </c>
      <c r="C34" s="7">
        <f t="shared" ref="C34:H34" si="14">C$29-MOD(C$29,1000)</f>
        <v>468000</v>
      </c>
      <c r="D34" s="7">
        <f t="shared" si="14"/>
        <v>545000</v>
      </c>
      <c r="E34" s="7">
        <f t="shared" si="14"/>
        <v>779000</v>
      </c>
      <c r="F34" s="7">
        <f t="shared" si="14"/>
        <v>1168000</v>
      </c>
      <c r="G34" s="7">
        <f t="shared" si="14"/>
        <v>1558000</v>
      </c>
      <c r="H34" s="7">
        <f t="shared" si="14"/>
        <v>1947000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273</v>
      </c>
      <c r="B1" t="s">
        <v>86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79</v>
      </c>
      <c r="C5">
        <v>32</v>
      </c>
      <c r="D5">
        <v>47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154</v>
      </c>
      <c r="B9" t="s">
        <v>147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175</v>
      </c>
      <c r="B10" t="s">
        <v>198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ht="30" x14ac:dyDescent="0.25">
      <c r="A18" s="2" t="s">
        <v>267</v>
      </c>
      <c r="C18" s="32">
        <f t="shared" ref="C18:H18" si="3">PhiMayCanMang(C$15, $C$5/100, $D$5/100)</f>
        <v>37960.784200000002</v>
      </c>
      <c r="D18" s="32">
        <f t="shared" si="3"/>
        <v>39254.901899999997</v>
      </c>
      <c r="E18" s="32">
        <f t="shared" si="3"/>
        <v>42878.431299999997</v>
      </c>
      <c r="F18" s="32">
        <f t="shared" si="3"/>
        <v>48831.372499999998</v>
      </c>
      <c r="G18" s="32">
        <f t="shared" si="3"/>
        <v>55043.137199999997</v>
      </c>
      <c r="H18" s="32">
        <f t="shared" si="3"/>
        <v>60996.078399999999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11616</v>
      </c>
      <c r="D20" s="32">
        <f t="shared" si="5"/>
        <v>22176</v>
      </c>
      <c r="E20" s="32">
        <f t="shared" si="5"/>
        <v>53856</v>
      </c>
      <c r="F20" s="32">
        <f t="shared" si="5"/>
        <v>106656</v>
      </c>
      <c r="G20" s="32">
        <f t="shared" si="5"/>
        <v>159456</v>
      </c>
      <c r="H20" s="32">
        <f t="shared" si="5"/>
        <v>212256</v>
      </c>
    </row>
    <row r="21" spans="1:8" x14ac:dyDescent="0.25">
      <c r="A21" s="2" t="s">
        <v>256</v>
      </c>
      <c r="C21" s="32">
        <f t="shared" ref="C21:H21" si="6">C$15*$D$10</f>
        <v>3795</v>
      </c>
      <c r="D21" s="32">
        <f t="shared" si="6"/>
        <v>7245</v>
      </c>
      <c r="E21" s="32">
        <f t="shared" si="6"/>
        <v>17595</v>
      </c>
      <c r="F21" s="32">
        <f t="shared" si="6"/>
        <v>34845</v>
      </c>
      <c r="G21" s="32">
        <f t="shared" si="6"/>
        <v>52095</v>
      </c>
      <c r="H21" s="32">
        <f t="shared" si="6"/>
        <v>69345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30" x14ac:dyDescent="0.25">
      <c r="A23" s="2" t="s">
        <v>276</v>
      </c>
      <c r="C23" s="25">
        <f t="shared" ref="C23:H23" si="7" xml:space="preserve"> (C$17+C$20)*(1+$D$7)</f>
        <v>150965.5</v>
      </c>
      <c r="D23" s="25">
        <f t="shared" si="7"/>
        <v>195403.83327499998</v>
      </c>
      <c r="E23" s="25">
        <f t="shared" si="7"/>
        <v>328718.83327499998</v>
      </c>
      <c r="F23" s="25">
        <f t="shared" si="7"/>
        <v>550910.5</v>
      </c>
      <c r="G23" s="25">
        <f t="shared" si="7"/>
        <v>773102.16654999997</v>
      </c>
      <c r="H23" s="25">
        <f t="shared" si="7"/>
        <v>995293.8332750001</v>
      </c>
    </row>
    <row r="24" spans="1:8" x14ac:dyDescent="0.25">
      <c r="A24" s="2"/>
      <c r="C24" s="25"/>
      <c r="D24" s="25"/>
      <c r="E24" s="25"/>
      <c r="F24" s="25"/>
      <c r="G24" s="25"/>
      <c r="H24" s="25"/>
    </row>
    <row r="25" spans="1:8" x14ac:dyDescent="0.25">
      <c r="A25" s="2"/>
    </row>
    <row r="26" spans="1:8" x14ac:dyDescent="0.25">
      <c r="A26" s="2" t="s">
        <v>274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275</v>
      </c>
      <c r="C27" s="25">
        <f t="shared" ref="C27:H27" si="9">C$26*(1+$D$7)</f>
        <v>371875</v>
      </c>
      <c r="D27" s="25">
        <f t="shared" si="9"/>
        <v>393750</v>
      </c>
      <c r="E27" s="25">
        <f t="shared" si="9"/>
        <v>459375</v>
      </c>
      <c r="F27" s="25">
        <f t="shared" si="9"/>
        <v>568750</v>
      </c>
      <c r="G27" s="25">
        <f t="shared" si="9"/>
        <v>678125</v>
      </c>
      <c r="H27" s="25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0">C$23+C$27</f>
        <v>522840.5</v>
      </c>
      <c r="D29" s="7">
        <f t="shared" si="10"/>
        <v>589153.83327499998</v>
      </c>
      <c r="E29" s="7">
        <f t="shared" si="10"/>
        <v>788093.83327499998</v>
      </c>
      <c r="F29" s="7">
        <f t="shared" si="10"/>
        <v>1119660.5</v>
      </c>
      <c r="G29" s="7">
        <f t="shared" si="10"/>
        <v>1451227.16655</v>
      </c>
      <c r="H29" s="7">
        <f t="shared" si="10"/>
        <v>1782793.8332750001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272</v>
      </c>
      <c r="C34" s="7">
        <f>LamChanHangNgan(C$29)</f>
        <v>522000</v>
      </c>
      <c r="D34" s="7">
        <f t="shared" ref="D34:H34" si="11">LamChanHangNgan(D$29)</f>
        <v>589000</v>
      </c>
      <c r="E34" s="7">
        <f t="shared" si="11"/>
        <v>788000</v>
      </c>
      <c r="F34" s="7">
        <f t="shared" si="11"/>
        <v>1119000</v>
      </c>
      <c r="G34" s="7">
        <f t="shared" si="11"/>
        <v>1451000</v>
      </c>
      <c r="H34" s="7">
        <f t="shared" si="11"/>
        <v>1782000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047D1-CCAD-45FF-BD56-572712B23527}">
  <sheetPr codeName="Trang_tính1"/>
  <dimension ref="A1:T65"/>
  <sheetViews>
    <sheetView topLeftCell="A22" workbookViewId="0">
      <selection activeCell="E41" sqref="E41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2" width="13.28515625" bestFit="1" customWidth="1"/>
    <col min="13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299</v>
      </c>
      <c r="B13">
        <v>10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6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307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$A24*E$23/2/$D$16</f>
        <v>10</v>
      </c>
      <c r="P22">
        <f>$A24*E$23/$D$16*$E$16</f>
        <v>40</v>
      </c>
      <c r="R22" t="s">
        <v>311</v>
      </c>
      <c r="S22">
        <f>$A24*E$23/$D$16*2</f>
        <v>40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320</v>
      </c>
      <c r="S23">
        <f>PhiMayCanMang($A24*E23/$D$16*2, $C$15/100,$D$15/100)</f>
        <v>41584.313699999999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181000</v>
      </c>
      <c r="F24" s="7">
        <f>LamChanHangNgan((PhiInKM4M_BHR70($A24*F$23/$D$16*$E$16)+$A24*F$23/$D$16*$D$19)*(1+$D$17))</f>
        <v>274000</v>
      </c>
      <c r="G24" s="7">
        <f>LamChanHangNgan((PhiInKM4M_BHR70($A24*G$23/$D$16*$E$16)+$A24*G$23/$D$16*$D$19)*(1+$D$17))</f>
        <v>368000</v>
      </c>
      <c r="H24" s="7">
        <f>LamChanHangNgan((PhiInKM4M_BHR70($A24*H$23/$D$16*$E$16)+$A24*H$23/$D$16*$D$19)*(1+$D$17))</f>
        <v>461000</v>
      </c>
      <c r="I24" s="7">
        <f>LamChanHangNgan((PhiInKM4M_BHR70($A24*I$23/$D$16*$E$16)+$A24*I$23/$D$16*$D$19)*(1+$D$17))</f>
        <v>555000</v>
      </c>
      <c r="J24" s="7">
        <f>E24</f>
        <v>181000</v>
      </c>
      <c r="K24" s="7">
        <f t="shared" ref="K24:N24" si="1">F24</f>
        <v>274000</v>
      </c>
      <c r="L24" s="7">
        <f t="shared" si="1"/>
        <v>368000</v>
      </c>
      <c r="M24" s="7">
        <f t="shared" si="1"/>
        <v>461000</v>
      </c>
      <c r="N24" s="7">
        <f t="shared" si="1"/>
        <v>555000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253000</v>
      </c>
      <c r="K25" s="40">
        <f>LamChanHangNgan((PhiInKM4M_BHR70($A25*F$23/$D$16*$E$16)+$A24*F$23/$D$16*$D$19+PhiMayCanMang($A25*F$23/$D$16*2, $C$15/100,$D$15/100))*(1+$D$17))</f>
        <v>355000</v>
      </c>
      <c r="L25" s="40">
        <f>LamChanHangNgan((PhiInKM4M_BHR70($A25*G$23/$D$16*$E$16)+$A24*G$23/$D$16*$D$19+PhiMayCanMang($A25*G$23/$D$16*2, $C$15/100,$D$15/100))*(1+$D$17))</f>
        <v>457000</v>
      </c>
      <c r="M25" s="40">
        <f>LamChanHangNgan((PhiInKM4M_BHR70($A25*H$23/$D$16*$E$16)+$A24*H$23/$D$16*$D$19+PhiMayCanMang($A25*H$23/$D$16*2, $C$15/100,$D$15/100))*(1+$D$17))</f>
        <v>559000</v>
      </c>
      <c r="N25" s="40">
        <f>LamChanHangNgan((PhiInKM4M_BHR70($A25*I$23/$D$16*$E$16)+$A24*I$23/$D$16*$D$19+PhiMayCanMang($A25*I$23/$D$16*2, $C$15/100,$D$15/100))*(1+$D$17))</f>
        <v>661000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197000</v>
      </c>
      <c r="F26" s="7">
        <f>LamChanHangNgan((PhiInKM4M_BHR70($A26*F$23/$D$16*$E$16)+$A26*F$23/$D$16*$D$19)*(1+$D$17))</f>
        <v>305000</v>
      </c>
      <c r="G26" s="7">
        <f>LamChanHangNgan((PhiInKM4M_BHR70($A26*G$23/$D$16*$E$16)+$A26*G$23/$D$16*$D$19)*(1+$D$17))</f>
        <v>414000</v>
      </c>
      <c r="H26" s="7">
        <f>LamChanHangNgan((PhiInKM4M_BHR70($A26*H$23/$D$16*$E$16)+$A26*H$23/$D$16*$D$19)*(1+$D$17))</f>
        <v>524000</v>
      </c>
      <c r="I26" s="7">
        <f>LamChanHangNgan((PhiInKM4M_BHR70($A26*I$23/$D$16*$E$16)+$A26*I$23/$D$16*$D$19)*(1+$D$17))</f>
        <v>632000</v>
      </c>
      <c r="J26" s="7">
        <f>E26</f>
        <v>197000</v>
      </c>
      <c r="K26" s="7">
        <f t="shared" ref="K26:N26" si="2">F26</f>
        <v>305000</v>
      </c>
      <c r="L26" s="7">
        <f t="shared" si="2"/>
        <v>414000</v>
      </c>
      <c r="M26" s="7">
        <f t="shared" si="2"/>
        <v>524000</v>
      </c>
      <c r="N26" s="7">
        <f t="shared" si="2"/>
        <v>632000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271000</v>
      </c>
      <c r="K27" s="40">
        <f>LamChanHangNgan((PhiInKM4M_BHR70($A27*F$23/$D$16*$E$16)+$A26*F$23/$D$16*$D$19+PhiMayCanMang($A27*F$23/$D$16*2, $C$15/100,$D$15/100))*(1+$D$17))</f>
        <v>389000</v>
      </c>
      <c r="L27" s="40">
        <f>LamChanHangNgan((PhiInKM4M_BHR70($A27*G$23/$D$16*$E$16)+$A26*G$23/$D$16*$D$19+PhiMayCanMang($A27*G$23/$D$16*2, $C$15/100,$D$15/100))*(1+$D$17))</f>
        <v>508000</v>
      </c>
      <c r="M27" s="40">
        <f>LamChanHangNgan((PhiInKM4M_BHR70($A27*H$23/$D$16*$E$16)+$A26*H$23/$D$16*$D$19+PhiMayCanMang($A27*H$23/$D$16*2, $C$15/100,$D$15/100))*(1+$D$17))</f>
        <v>628000</v>
      </c>
      <c r="N27" s="40">
        <f>LamChanHangNgan((PhiInKM4M_BHR70($A27*I$23/$D$16*$E$16)+$A26*I$23/$D$16*$D$19+PhiMayCanMang($A27*I$23/$D$16*2, $C$15/100,$D$15/100))*(1+$D$17))</f>
        <v>746000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211000</v>
      </c>
      <c r="F28" s="7">
        <f>LamChanHangNgan((PhiInKM4M_BHR70($A28*F$23/$D$16*$E$16)+$A28*F$23/$D$16*$D$19)*(1+$D$17))</f>
        <v>337000</v>
      </c>
      <c r="G28" s="7">
        <f>LamChanHangNgan((PhiInKM4M_BHR70($A28*G$23/$D$16*$E$16)+$A28*G$23/$D$16*$D$19)*(1+$D$17))</f>
        <v>461000</v>
      </c>
      <c r="H28" s="7">
        <f>LamChanHangNgan((PhiInKM4M_BHR70($A28*H$23/$D$16*$E$16)+$A28*H$23/$D$16*$D$19)*(1+$D$17))</f>
        <v>585000</v>
      </c>
      <c r="I28" s="7">
        <f>LamChanHangNgan((PhiInKM4M_BHR70($A28*I$23/$D$16*$E$16)+$A28*I$23/$D$16*$D$19)*(1+$D$17))</f>
        <v>711000</v>
      </c>
      <c r="J28" s="7">
        <f>E28</f>
        <v>211000</v>
      </c>
      <c r="K28" s="7">
        <f t="shared" ref="K28:N28" si="3">F28</f>
        <v>337000</v>
      </c>
      <c r="L28" s="7">
        <f t="shared" si="3"/>
        <v>461000</v>
      </c>
      <c r="M28" s="7">
        <f t="shared" si="3"/>
        <v>585000</v>
      </c>
      <c r="N28" s="7">
        <f t="shared" si="3"/>
        <v>711000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287000</v>
      </c>
      <c r="K29" s="40">
        <f>LamChanHangNgan((PhiInKM4M_BHR70($A29*F$23/$D$16*$E$16)+$A28*F$23/$D$16*$D$19+PhiMayCanMang($A29*F$23/$D$16*2, $C$15/100,$D$15/100))*(1+$D$17))</f>
        <v>424000</v>
      </c>
      <c r="L29" s="40">
        <f>LamChanHangNgan((PhiInKM4M_BHR70($A29*G$23/$D$16*$E$16)+$A28*G$23/$D$16*$D$19+PhiMayCanMang($A29*G$23/$D$16*2, $C$15/100,$D$15/100))*(1+$D$17))</f>
        <v>559000</v>
      </c>
      <c r="M29" s="40">
        <f>LamChanHangNgan((PhiInKM4M_BHR70($A29*H$23/$D$16*$E$16)+$A28*H$23/$D$16*$D$19+PhiMayCanMang($A29*H$23/$D$16*2, $C$15/100,$D$15/100))*(1+$D$17))</f>
        <v>695000</v>
      </c>
      <c r="N29" s="40">
        <f>LamChanHangNgan((PhiInKM4M_BHR70($A29*I$23/$D$16*$E$16)+$A28*I$23/$D$16*$D$19+PhiMayCanMang($A29*I$23/$D$16*2, $C$15/100,$D$15/100))*(1+$D$17))</f>
        <v>832000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227000</v>
      </c>
      <c r="F30" s="7">
        <f>LamChanHangNgan((PhiInKM4M_BHR70($A30*F$23/$D$16*$E$16)+$A30*F$23/$D$16*$D$19)*(1+$D$17))</f>
        <v>368000</v>
      </c>
      <c r="G30" s="7">
        <f>LamChanHangNgan((PhiInKM4M_BHR70($A30*G$23/$D$16*$E$16)+$A30*G$23/$D$16*$D$19)*(1+$D$17))</f>
        <v>508000</v>
      </c>
      <c r="H30" s="7">
        <f>LamChanHangNgan((PhiInKM4M_BHR70($A30*H$23/$D$16*$E$16)+$A30*H$23/$D$16*$D$19)*(1+$D$17))</f>
        <v>648000</v>
      </c>
      <c r="I30" s="7">
        <f>LamChanHangNgan((PhiInKM4M_BHR70($A30*I$23/$D$16*$E$16)+$A30*I$23/$D$16*$D$19)*(1+$D$17))</f>
        <v>788000</v>
      </c>
      <c r="J30" s="7">
        <f>E30</f>
        <v>227000</v>
      </c>
      <c r="K30" s="7">
        <f t="shared" ref="K30:N30" si="4">F30</f>
        <v>368000</v>
      </c>
      <c r="L30" s="7">
        <f t="shared" si="4"/>
        <v>508000</v>
      </c>
      <c r="M30" s="7">
        <f t="shared" si="4"/>
        <v>648000</v>
      </c>
      <c r="N30" s="7">
        <f t="shared" si="4"/>
        <v>788000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304000</v>
      </c>
      <c r="K31" s="40">
        <f>LamChanHangNgan((PhiInKM4M_BHR70($A31*F$23/$D$16*$E$16)+$A30*F$23/$D$16*$D$19+PhiMayCanMang($A31*F$23/$D$16*2, $C$15/100,$D$15/100))*(1+$D$17))</f>
        <v>457000</v>
      </c>
      <c r="L31" s="40">
        <f>LamChanHangNgan((PhiInKM4M_BHR70($A31*G$23/$D$16*$E$16)+$A30*G$23/$D$16*$D$19+PhiMayCanMang($A31*G$23/$D$16*2, $C$15/100,$D$15/100))*(1+$D$17))</f>
        <v>611000</v>
      </c>
      <c r="M31" s="40">
        <f>LamChanHangNgan((PhiInKM4M_BHR70($A31*H$23/$D$16*$E$16)+$A30*H$23/$D$16*$D$19+PhiMayCanMang($A31*H$23/$D$16*2, $C$15/100,$D$15/100))*(1+$D$17))</f>
        <v>763000</v>
      </c>
      <c r="N31" s="40">
        <f>LamChanHangNgan((PhiInKM4M_BHR70($A31*I$23/$D$16*$E$16)+$A30*I$23/$D$16*$D$19+PhiMayCanMang($A31*I$23/$D$16*2, $C$15/100,$D$15/100))*(1+$D$17))</f>
        <v>916000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243000</v>
      </c>
      <c r="F32" s="7">
        <f>LamChanHangNgan((PhiInKM4M_BHR70($A32*F$23/$D$16*$E$16)+$A32*F$23/$D$16*$D$19)*(1+$D$17))</f>
        <v>398000</v>
      </c>
      <c r="G32" s="7">
        <f>LamChanHangNgan((PhiInKM4M_BHR70($A32*G$23/$D$16*$E$16)+$A32*G$23/$D$16*$D$19)*(1+$D$17))</f>
        <v>555000</v>
      </c>
      <c r="H32" s="7">
        <f>LamChanHangNgan((PhiInKM4M_BHR70($A32*H$23/$D$16*$E$16)+$A32*H$23/$D$16*$D$19)*(1+$D$17))</f>
        <v>711000</v>
      </c>
      <c r="I32" s="7">
        <f>LamChanHangNgan((PhiInKM4M_BHR70($A32*I$23/$D$16*$E$16)+$A32*I$23/$D$16*$D$19)*(1+$D$17))</f>
        <v>866000</v>
      </c>
      <c r="J32" s="7">
        <f>E32</f>
        <v>243000</v>
      </c>
      <c r="K32" s="7">
        <f t="shared" ref="K32:N32" si="5">F32</f>
        <v>398000</v>
      </c>
      <c r="L32" s="7">
        <f t="shared" si="5"/>
        <v>555000</v>
      </c>
      <c r="M32" s="7">
        <f t="shared" si="5"/>
        <v>711000</v>
      </c>
      <c r="N32" s="7">
        <f t="shared" si="5"/>
        <v>866000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321000</v>
      </c>
      <c r="K33" s="40">
        <f>LamChanHangNgan((PhiInKM4M_BHR70($A33*F$23/$D$16*$E$16)+$A32*F$23/$D$16*$D$19+PhiMayCanMang($A33*F$23/$D$16*2, $C$15/100,$D$15/100))*(1+$D$17))</f>
        <v>491000</v>
      </c>
      <c r="L33" s="40">
        <f>LamChanHangNgan((PhiInKM4M_BHR70($A33*G$23/$D$16*$E$16)+$A32*G$23/$D$16*$D$19+PhiMayCanMang($A33*G$23/$D$16*2, $C$15/100,$D$15/100))*(1+$D$17))</f>
        <v>661000</v>
      </c>
      <c r="M33" s="40">
        <f>LamChanHangNgan((PhiInKM4M_BHR70($A33*H$23/$D$16*$E$16)+$A32*H$23/$D$16*$D$19+PhiMayCanMang($A33*H$23/$D$16*2, $C$15/100,$D$15/100))*(1+$D$17))</f>
        <v>832000</v>
      </c>
      <c r="N33" s="40">
        <f>LamChanHangNgan((PhiInKM4M_BHR70($A33*I$23/$D$16*$E$16)+$A32*I$23/$D$16*$D$19+PhiMayCanMang($A33*I$23/$D$16*2, $C$15/100,$D$15/100))*(1+$D$17))</f>
        <v>1001000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258000</v>
      </c>
      <c r="F34" s="7">
        <f>LamChanHangNgan((PhiInKM4M_BHR70($A34*F$23/$D$16*$E$16)+$A34*F$23/$D$16*$D$19)*(1+$D$17))</f>
        <v>430000</v>
      </c>
      <c r="G34" s="7">
        <f>LamChanHangNgan((PhiInKM4M_BHR70($A34*G$23/$D$16*$E$16)+$A34*G$23/$D$16*$D$19)*(1+$D$17))</f>
        <v>601000</v>
      </c>
      <c r="H34" s="7">
        <f>LamChanHangNgan((PhiInKM4M_BHR70($A34*H$23/$D$16*$E$16)+$A34*H$23/$D$16*$D$19)*(1+$D$17))</f>
        <v>772000</v>
      </c>
      <c r="I34" s="7">
        <f>LamChanHangNgan((PhiInKM4M_BHR70($A34*I$23/$D$16*$E$16)+$A34*I$23/$D$16*$D$19)*(1+$D$17))</f>
        <v>945000</v>
      </c>
      <c r="J34" s="7">
        <f>E34</f>
        <v>258000</v>
      </c>
      <c r="K34" s="7">
        <f t="shared" ref="K34:N34" si="6">F34</f>
        <v>430000</v>
      </c>
      <c r="L34" s="7">
        <f t="shared" si="6"/>
        <v>601000</v>
      </c>
      <c r="M34" s="7">
        <f t="shared" si="6"/>
        <v>772000</v>
      </c>
      <c r="N34" s="7">
        <f t="shared" si="6"/>
        <v>945000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338000</v>
      </c>
      <c r="K35" s="40">
        <f>LamChanHangNgan((PhiInKM4M_BHR70($A35*F$23/$D$16*$E$16)+$A34*F$23/$D$16*$D$19+PhiMayCanMang($A35*F$23/$D$16*2, $C$15/100,$D$15/100))*(1+$D$17))</f>
        <v>526000</v>
      </c>
      <c r="L35" s="40">
        <f>LamChanHangNgan((PhiInKM4M_BHR70($A35*G$23/$D$16*$E$16)+$A34*G$23/$D$16*$D$19+PhiMayCanMang($A35*G$23/$D$16*2, $C$15/100,$D$15/100))*(1+$D$17))</f>
        <v>712000</v>
      </c>
      <c r="M35" s="40">
        <f>LamChanHangNgan((PhiInKM4M_BHR70($A35*H$23/$D$16*$E$16)+$A34*H$23/$D$16*$D$19+PhiMayCanMang($A35*H$23/$D$16*2, $C$15/100,$D$15/100))*(1+$D$17))</f>
        <v>899000</v>
      </c>
      <c r="N35" s="40">
        <f>LamChanHangNgan((PhiInKM4M_BHR70($A35*I$23/$D$16*$E$16)+$A34*I$23/$D$16*$D$19+PhiMayCanMang($A35*I$23/$D$16*2, $C$15/100,$D$15/100))*(1+$D$17))</f>
        <v>1087000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274000</v>
      </c>
      <c r="F36" s="7">
        <f>LamChanHangNgan((PhiInKM4M_BHR70($A36*F$23/$D$16*$E$16)+$A36*F$23/$D$16*$D$19)*(1+$D$17))</f>
        <v>461000</v>
      </c>
      <c r="G36" s="7">
        <f>LamChanHangNgan((PhiInKM4M_BHR70($A36*G$23/$D$16*$E$16)+$A36*G$23/$D$16*$D$19)*(1+$D$17))</f>
        <v>648000</v>
      </c>
      <c r="H36" s="7">
        <f>LamChanHangNgan((PhiInKM4M_BHR70($A36*H$23/$D$16*$E$16)+$A36*H$23/$D$16*$D$19)*(1+$D$17))</f>
        <v>835000</v>
      </c>
      <c r="I36" s="7">
        <f>LamChanHangNgan((PhiInKM4M_BHR70($A36*I$23/$D$16*$E$16)+$A36*I$23/$D$16*$D$19)*(1+$D$17))</f>
        <v>1022000</v>
      </c>
      <c r="J36" s="7">
        <f>E36</f>
        <v>274000</v>
      </c>
      <c r="K36" s="7">
        <f t="shared" ref="K36:N36" si="7">F36</f>
        <v>461000</v>
      </c>
      <c r="L36" s="7">
        <f t="shared" si="7"/>
        <v>648000</v>
      </c>
      <c r="M36" s="7">
        <f t="shared" si="7"/>
        <v>835000</v>
      </c>
      <c r="N36" s="7">
        <f t="shared" si="7"/>
        <v>1022000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355000</v>
      </c>
      <c r="K37" s="40">
        <f>LamChanHangNgan((PhiInKM4M_BHR70($A37*F$23/$D$16*$E$16)+$A36*F$23/$D$16*$D$19+PhiMayCanMang($A37*F$23/$D$16*2, $C$15/100,$D$15/100))*(1+$D$17))</f>
        <v>559000</v>
      </c>
      <c r="L37" s="40">
        <f>LamChanHangNgan((PhiInKM4M_BHR70($A37*G$23/$D$16*$E$16)+$A36*G$23/$D$16*$D$19+PhiMayCanMang($A37*G$23/$D$16*2, $C$15/100,$D$15/100))*(1+$D$17))</f>
        <v>763000</v>
      </c>
      <c r="M37" s="40">
        <f>LamChanHangNgan((PhiInKM4M_BHR70($A37*H$23/$D$16*$E$16)+$A36*H$23/$D$16*$D$19+PhiMayCanMang($A37*H$23/$D$16*2, $C$15/100,$D$15/100))*(1+$D$17))</f>
        <v>967000</v>
      </c>
      <c r="N37" s="40">
        <f>LamChanHangNgan((PhiInKM4M_BHR70($A37*I$23/$D$16*$E$16)+$A36*I$23/$D$16*$D$19+PhiMayCanMang($A37*I$23/$D$16*2, $C$15/100,$D$15/100))*(1+$D$17))</f>
        <v>1172000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15584.4445</v>
      </c>
      <c r="F41" s="7">
        <f t="shared" ref="F41:I41" si="8">PhiLDPT_XepDotVoCuonLX(F$23)+$B$41*$C$13/100</f>
        <v>17028.888899999998</v>
      </c>
      <c r="G41" s="7">
        <f t="shared" si="8"/>
        <v>18473.333500000001</v>
      </c>
      <c r="H41" s="7">
        <f t="shared" si="8"/>
        <v>19917.7778</v>
      </c>
      <c r="I41" s="7">
        <f t="shared" si="8"/>
        <v>21362.222600000001</v>
      </c>
    </row>
    <row r="42" spans="1:14" x14ac:dyDescent="0.25">
      <c r="A42" s="2"/>
      <c r="D42" t="s">
        <v>317</v>
      </c>
      <c r="E42" s="7">
        <f>E$41*(1+$D$17)</f>
        <v>27272.777875</v>
      </c>
      <c r="F42" s="7">
        <f t="shared" ref="F42:I42" si="9">F$41*(1+$D$17)</f>
        <v>29800.555574999998</v>
      </c>
      <c r="G42" s="7">
        <f t="shared" si="9"/>
        <v>32328.333624999999</v>
      </c>
      <c r="H42" s="7">
        <f t="shared" si="9"/>
        <v>34856.111149999997</v>
      </c>
      <c r="I42" s="7">
        <f t="shared" si="9"/>
        <v>37383.88955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F1B45340-F9EE-41B3-B1D4-DB371566B1F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FB5CA25F-B2AC-4933-9A77-A1EB61F471E6}">
      <formula1>OFFSET(KHO_CAT_SAN_PHAM,1,0,,1)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6CFA-66DB-4FCF-B363-1EAA8F4AF513}">
  <sheetPr codeName="Trang_tính3"/>
  <dimension ref="A1:T65"/>
  <sheetViews>
    <sheetView topLeftCell="A19" workbookViewId="0">
      <selection activeCell="F23" sqref="F23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322</v>
      </c>
      <c r="B13">
        <v>15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4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30</v>
      </c>
      <c r="P22">
        <f>$A24*E$23/$D$16*$E$16*2</f>
        <v>120</v>
      </c>
      <c r="R22" t="s">
        <v>311</v>
      </c>
      <c r="S22">
        <f>$A24*E23/$D$16*2</f>
        <v>60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43913.725400000003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227000</v>
      </c>
      <c r="F24" s="7">
        <f>LamChanHangNgan((PhiInKM4M_BHR70($A24*F$23/$D$16*$E$16)+$A24*F$23/$D$16*$D$19)*(1+$D$17))</f>
        <v>368000</v>
      </c>
      <c r="G24" s="7">
        <f>LamChanHangNgan((PhiInKM4M_BHR70($A24*G$23/$D$16*$E$16)+$A24*G$23/$D$16*$D$19)*(1+$D$17))</f>
        <v>508000</v>
      </c>
      <c r="H24" s="7">
        <f>LamChanHangNgan((PhiInKM4M_BHR70($A24*H$23/$D$16*$E$16)+$A24*H$23/$D$16*$D$19)*(1+$D$17))</f>
        <v>648000</v>
      </c>
      <c r="I24" s="7">
        <f>LamChanHangNgan((PhiInKM4M_BHR70($A24*I$23/$D$16*$E$16)+$A24*I$23/$D$16*$D$19)*(1+$D$17))</f>
        <v>788000</v>
      </c>
      <c r="J24" s="7">
        <f>E24</f>
        <v>227000</v>
      </c>
      <c r="K24" s="7">
        <f t="shared" ref="K24:N24" si="1">F24</f>
        <v>368000</v>
      </c>
      <c r="L24" s="7">
        <f t="shared" si="1"/>
        <v>508000</v>
      </c>
      <c r="M24" s="7">
        <f t="shared" si="1"/>
        <v>648000</v>
      </c>
      <c r="N24" s="7">
        <f t="shared" si="1"/>
        <v>788000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304000</v>
      </c>
      <c r="K25" s="40">
        <f>LamChanHangNgan((PhiInKM4M_BHR70($A25*F$23/$D$16*$E$16)+$A24*F$23/$D$16*$D$19+PhiMayCanMang($A25*F$23/$D$16*2, $C$15/100,$D$15/100))*(1+$D$17))</f>
        <v>457000</v>
      </c>
      <c r="L25" s="40">
        <f>LamChanHangNgan((PhiInKM4M_BHR70($A25*G$23/$D$16*$E$16)+$A24*G$23/$D$16*$D$19+PhiMayCanMang($A25*G$23/$D$16*2, $C$15/100,$D$15/100))*(1+$D$17))</f>
        <v>611000</v>
      </c>
      <c r="M25" s="40">
        <f>LamChanHangNgan((PhiInKM4M_BHR70($A25*H$23/$D$16*$E$16)+$A24*H$23/$D$16*$D$19+PhiMayCanMang($A25*H$23/$D$16*2, $C$15/100,$D$15/100))*(1+$D$17))</f>
        <v>763000</v>
      </c>
      <c r="N25" s="40">
        <f>LamChanHangNgan((PhiInKM4M_BHR70($A25*I$23/$D$16*$E$16)+$A24*I$23/$D$16*$D$19+PhiMayCanMang($A25*I$23/$D$16*2, $C$15/100,$D$15/100))*(1+$D$17))</f>
        <v>916000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251000</v>
      </c>
      <c r="F26" s="7">
        <f>LamChanHangNgan((PhiInKM4M_BHR70($A26*F$23/$D$16*$E$16)+$A26*F$23/$D$16*$D$19)*(1+$D$17))</f>
        <v>414000</v>
      </c>
      <c r="G26" s="7">
        <f>LamChanHangNgan((PhiInKM4M_BHR70($A26*G$23/$D$16*$E$16)+$A26*G$23/$D$16*$D$19)*(1+$D$17))</f>
        <v>578000</v>
      </c>
      <c r="H26" s="7">
        <f>LamChanHangNgan((PhiInKM4M_BHR70($A26*H$23/$D$16*$E$16)+$A26*H$23/$D$16*$D$19)*(1+$D$17))</f>
        <v>742000</v>
      </c>
      <c r="I26" s="7">
        <f>LamChanHangNgan((PhiInKM4M_BHR70($A26*I$23/$D$16*$E$16)+$A26*I$23/$D$16*$D$19)*(1+$D$17))</f>
        <v>905000</v>
      </c>
      <c r="J26" s="7">
        <f>E26</f>
        <v>251000</v>
      </c>
      <c r="K26" s="7">
        <f t="shared" ref="K26:N26" si="2">F26</f>
        <v>414000</v>
      </c>
      <c r="L26" s="7">
        <f t="shared" si="2"/>
        <v>578000</v>
      </c>
      <c r="M26" s="7">
        <f t="shared" si="2"/>
        <v>742000</v>
      </c>
      <c r="N26" s="7">
        <f t="shared" si="2"/>
        <v>905000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330000</v>
      </c>
      <c r="K27" s="40">
        <f>LamChanHangNgan((PhiInKM4M_BHR70($A27*F$23/$D$16*$E$16)+$A26*F$23/$D$16*$D$19+PhiMayCanMang($A27*F$23/$D$16*2, $C$15/100,$D$15/100))*(1+$D$17))</f>
        <v>508000</v>
      </c>
      <c r="L27" s="40">
        <f>LamChanHangNgan((PhiInKM4M_BHR70($A27*G$23/$D$16*$E$16)+$A26*G$23/$D$16*$D$19+PhiMayCanMang($A27*G$23/$D$16*2, $C$15/100,$D$15/100))*(1+$D$17))</f>
        <v>687000</v>
      </c>
      <c r="M27" s="40">
        <f>LamChanHangNgan((PhiInKM4M_BHR70($A27*H$23/$D$16*$E$16)+$A26*H$23/$D$16*$D$19+PhiMayCanMang($A27*H$23/$D$16*2, $C$15/100,$D$15/100))*(1+$D$17))</f>
        <v>866000</v>
      </c>
      <c r="N27" s="40">
        <f>LamChanHangNgan((PhiInKM4M_BHR70($A27*I$23/$D$16*$E$16)+$A26*I$23/$D$16*$D$19+PhiMayCanMang($A27*I$23/$D$16*2, $C$15/100,$D$15/100))*(1+$D$17))</f>
        <v>1044000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274000</v>
      </c>
      <c r="F28" s="7">
        <f>LamChanHangNgan((PhiInKM4M_BHR70($A28*F$23/$D$16*$E$16)+$A28*F$23/$D$16*$D$19)*(1+$D$17))</f>
        <v>461000</v>
      </c>
      <c r="G28" s="7">
        <f>LamChanHangNgan((PhiInKM4M_BHR70($A28*G$23/$D$16*$E$16)+$A28*G$23/$D$16*$D$19)*(1+$D$17))</f>
        <v>648000</v>
      </c>
      <c r="H28" s="7">
        <f>LamChanHangNgan((PhiInKM4M_BHR70($A28*H$23/$D$16*$E$16)+$A28*H$23/$D$16*$D$19)*(1+$D$17))</f>
        <v>835000</v>
      </c>
      <c r="I28" s="7">
        <f>LamChanHangNgan((PhiInKM4M_BHR70($A28*I$23/$D$16*$E$16)+$A28*I$23/$D$16*$D$19)*(1+$D$17))</f>
        <v>1022000</v>
      </c>
      <c r="J28" s="7">
        <f>E28</f>
        <v>274000</v>
      </c>
      <c r="K28" s="7">
        <f t="shared" ref="K28:N28" si="3">F28</f>
        <v>461000</v>
      </c>
      <c r="L28" s="7">
        <f t="shared" si="3"/>
        <v>648000</v>
      </c>
      <c r="M28" s="7">
        <f t="shared" si="3"/>
        <v>835000</v>
      </c>
      <c r="N28" s="7">
        <f t="shared" si="3"/>
        <v>1022000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355000</v>
      </c>
      <c r="K29" s="40">
        <f>LamChanHangNgan((PhiInKM4M_BHR70($A29*F$23/$D$16*$E$16)+$A28*F$23/$D$16*$D$19+PhiMayCanMang($A29*F$23/$D$16*2, $C$15/100,$D$15/100))*(1+$D$17))</f>
        <v>559000</v>
      </c>
      <c r="L29" s="40">
        <f>LamChanHangNgan((PhiInKM4M_BHR70($A29*G$23/$D$16*$E$16)+$A28*G$23/$D$16*$D$19+PhiMayCanMang($A29*G$23/$D$16*2, $C$15/100,$D$15/100))*(1+$D$17))</f>
        <v>763000</v>
      </c>
      <c r="M29" s="40">
        <f>LamChanHangNgan((PhiInKM4M_BHR70($A29*H$23/$D$16*$E$16)+$A28*H$23/$D$16*$D$19+PhiMayCanMang($A29*H$23/$D$16*2, $C$15/100,$D$15/100))*(1+$D$17))</f>
        <v>967000</v>
      </c>
      <c r="N29" s="40">
        <f>LamChanHangNgan((PhiInKM4M_BHR70($A29*I$23/$D$16*$E$16)+$A28*I$23/$D$16*$D$19+PhiMayCanMang($A29*I$23/$D$16*2, $C$15/100,$D$15/100))*(1+$D$17))</f>
        <v>1172000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297000</v>
      </c>
      <c r="F30" s="7">
        <f>LamChanHangNgan((PhiInKM4M_BHR70($A30*F$23/$D$16*$E$16)+$A30*F$23/$D$16*$D$19)*(1+$D$17))</f>
        <v>508000</v>
      </c>
      <c r="G30" s="7">
        <f>LamChanHangNgan((PhiInKM4M_BHR70($A30*G$23/$D$16*$E$16)+$A30*G$23/$D$16*$D$19)*(1+$D$17))</f>
        <v>718000</v>
      </c>
      <c r="H30" s="7">
        <f>LamChanHangNgan((PhiInKM4M_BHR70($A30*H$23/$D$16*$E$16)+$A30*H$23/$D$16*$D$19)*(1+$D$17))</f>
        <v>929000</v>
      </c>
      <c r="I30" s="7">
        <f>LamChanHangNgan((PhiInKM4M_BHR70($A30*I$23/$D$16*$E$16)+$A30*I$23/$D$16*$D$19)*(1+$D$17))</f>
        <v>1139000</v>
      </c>
      <c r="J30" s="7">
        <f>E30</f>
        <v>297000</v>
      </c>
      <c r="K30" s="7">
        <f t="shared" ref="K30:N30" si="4">F30</f>
        <v>508000</v>
      </c>
      <c r="L30" s="7">
        <f t="shared" si="4"/>
        <v>718000</v>
      </c>
      <c r="M30" s="7">
        <f t="shared" si="4"/>
        <v>929000</v>
      </c>
      <c r="N30" s="7">
        <f t="shared" si="4"/>
        <v>1139000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381000</v>
      </c>
      <c r="K31" s="40">
        <f>LamChanHangNgan((PhiInKM4M_BHR70($A31*F$23/$D$16*$E$16)+$A30*F$23/$D$16*$D$19+PhiMayCanMang($A31*F$23/$D$16*2, $C$15/100,$D$15/100))*(1+$D$17))</f>
        <v>611000</v>
      </c>
      <c r="L31" s="40">
        <f>LamChanHangNgan((PhiInKM4M_BHR70($A31*G$23/$D$16*$E$16)+$A30*G$23/$D$16*$D$19+PhiMayCanMang($A31*G$23/$D$16*2, $C$15/100,$D$15/100))*(1+$D$17))</f>
        <v>840000</v>
      </c>
      <c r="M31" s="40">
        <f>LamChanHangNgan((PhiInKM4M_BHR70($A31*H$23/$D$16*$E$16)+$A30*H$23/$D$16*$D$19+PhiMayCanMang($A31*H$23/$D$16*2, $C$15/100,$D$15/100))*(1+$D$17))</f>
        <v>1069000</v>
      </c>
      <c r="N31" s="40">
        <f>LamChanHangNgan((PhiInKM4M_BHR70($A31*I$23/$D$16*$E$16)+$A30*I$23/$D$16*$D$19+PhiMayCanMang($A31*I$23/$D$16*2, $C$15/100,$D$15/100))*(1+$D$17))</f>
        <v>1299000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321000</v>
      </c>
      <c r="F32" s="7">
        <f>LamChanHangNgan((PhiInKM4M_BHR70($A32*F$23/$D$16*$E$16)+$A32*F$23/$D$16*$D$19)*(1+$D$17))</f>
        <v>555000</v>
      </c>
      <c r="G32" s="7">
        <f>LamChanHangNgan((PhiInKM4M_BHR70($A32*G$23/$D$16*$E$16)+$A32*G$23/$D$16*$D$19)*(1+$D$17))</f>
        <v>788000</v>
      </c>
      <c r="H32" s="7">
        <f>LamChanHangNgan((PhiInKM4M_BHR70($A32*H$23/$D$16*$E$16)+$A32*H$23/$D$16*$D$19)*(1+$D$17))</f>
        <v>1022000</v>
      </c>
      <c r="I32" s="7">
        <f>LamChanHangNgan((PhiInKM4M_BHR70($A32*I$23/$D$16*$E$16)+$A32*I$23/$D$16*$D$19)*(1+$D$17))</f>
        <v>1256000</v>
      </c>
      <c r="J32" s="7">
        <f>E32</f>
        <v>321000</v>
      </c>
      <c r="K32" s="7">
        <f t="shared" ref="K32:N32" si="5">F32</f>
        <v>555000</v>
      </c>
      <c r="L32" s="7">
        <f t="shared" si="5"/>
        <v>788000</v>
      </c>
      <c r="M32" s="7">
        <f t="shared" si="5"/>
        <v>1022000</v>
      </c>
      <c r="N32" s="7">
        <f t="shared" si="5"/>
        <v>1256000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406000</v>
      </c>
      <c r="K33" s="40">
        <f>LamChanHangNgan((PhiInKM4M_BHR70($A33*F$23/$D$16*$E$16)+$A32*F$23/$D$16*$D$19+PhiMayCanMang($A33*F$23/$D$16*2, $C$15/100,$D$15/100))*(1+$D$17))</f>
        <v>661000</v>
      </c>
      <c r="L33" s="40">
        <f>LamChanHangNgan((PhiInKM4M_BHR70($A33*G$23/$D$16*$E$16)+$A32*G$23/$D$16*$D$19+PhiMayCanMang($A33*G$23/$D$16*2, $C$15/100,$D$15/100))*(1+$D$17))</f>
        <v>916000</v>
      </c>
      <c r="M33" s="40">
        <f>LamChanHangNgan((PhiInKM4M_BHR70($A33*H$23/$D$16*$E$16)+$A32*H$23/$D$16*$D$19+PhiMayCanMang($A33*H$23/$D$16*2, $C$15/100,$D$15/100))*(1+$D$17))</f>
        <v>1172000</v>
      </c>
      <c r="N33" s="40">
        <f>LamChanHangNgan((PhiInKM4M_BHR70($A33*I$23/$D$16*$E$16)+$A32*I$23/$D$16*$D$19+PhiMayCanMang($A33*I$23/$D$16*2, $C$15/100,$D$15/100))*(1+$D$17))</f>
        <v>1427000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344000</v>
      </c>
      <c r="F34" s="7">
        <f>LamChanHangNgan((PhiInKM4M_BHR70($A34*F$23/$D$16*$E$16)+$A34*F$23/$D$16*$D$19)*(1+$D$17))</f>
        <v>601000</v>
      </c>
      <c r="G34" s="7">
        <f>LamChanHangNgan((PhiInKM4M_BHR70($A34*G$23/$D$16*$E$16)+$A34*G$23/$D$16*$D$19)*(1+$D$17))</f>
        <v>859000</v>
      </c>
      <c r="H34" s="7">
        <f>LamChanHangNgan((PhiInKM4M_BHR70($A34*H$23/$D$16*$E$16)+$A34*H$23/$D$16*$D$19)*(1+$D$17))</f>
        <v>1116000</v>
      </c>
      <c r="I34" s="7">
        <f>LamChanHangNgan((PhiInKM4M_BHR70($A34*I$23/$D$16*$E$16)+$A34*I$23/$D$16*$D$19)*(1+$D$17))</f>
        <v>1373000</v>
      </c>
      <c r="J34" s="7">
        <f>E34</f>
        <v>344000</v>
      </c>
      <c r="K34" s="7">
        <f t="shared" ref="K34:N34" si="6">F34</f>
        <v>601000</v>
      </c>
      <c r="L34" s="7">
        <f t="shared" si="6"/>
        <v>859000</v>
      </c>
      <c r="M34" s="7">
        <f t="shared" si="6"/>
        <v>1116000</v>
      </c>
      <c r="N34" s="7">
        <f t="shared" si="6"/>
        <v>1373000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432000</v>
      </c>
      <c r="K35" s="40">
        <f>LamChanHangNgan((PhiInKM4M_BHR70($A35*F$23/$D$16*$E$16)+$A34*F$23/$D$16*$D$19+PhiMayCanMang($A35*F$23/$D$16*2, $C$15/100,$D$15/100))*(1+$D$17))</f>
        <v>712000</v>
      </c>
      <c r="L35" s="40">
        <f>LamChanHangNgan((PhiInKM4M_BHR70($A35*G$23/$D$16*$E$16)+$A34*G$23/$D$16*$D$19+PhiMayCanMang($A35*G$23/$D$16*2, $C$15/100,$D$15/100))*(1+$D$17))</f>
        <v>993000</v>
      </c>
      <c r="M35" s="40">
        <f>LamChanHangNgan((PhiInKM4M_BHR70($A35*H$23/$D$16*$E$16)+$A34*H$23/$D$16*$D$19+PhiMayCanMang($A35*H$23/$D$16*2, $C$15/100,$D$15/100))*(1+$D$17))</f>
        <v>1274000</v>
      </c>
      <c r="N35" s="40">
        <f>LamChanHangNgan((PhiInKM4M_BHR70($A35*I$23/$D$16*$E$16)+$A34*I$23/$D$16*$D$19+PhiMayCanMang($A35*I$23/$D$16*2, $C$15/100,$D$15/100))*(1+$D$17))</f>
        <v>1554000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368000</v>
      </c>
      <c r="F36" s="7">
        <f>LamChanHangNgan((PhiInKM4M_BHR70($A36*F$23/$D$16*$E$16)+$A36*F$23/$D$16*$D$19)*(1+$D$17))</f>
        <v>648000</v>
      </c>
      <c r="G36" s="7">
        <f>LamChanHangNgan((PhiInKM4M_BHR70($A36*G$23/$D$16*$E$16)+$A36*G$23/$D$16*$D$19)*(1+$D$17))</f>
        <v>929000</v>
      </c>
      <c r="H36" s="7">
        <f>LamChanHangNgan((PhiInKM4M_BHR70($A36*H$23/$D$16*$E$16)+$A36*H$23/$D$16*$D$19)*(1+$D$17))</f>
        <v>1209000</v>
      </c>
      <c r="I36" s="7">
        <f>LamChanHangNgan((PhiInKM4M_BHR70($A36*I$23/$D$16*$E$16)+$A36*I$23/$D$16*$D$19)*(1+$D$17))</f>
        <v>1490000</v>
      </c>
      <c r="J36" s="7">
        <f>E36</f>
        <v>368000</v>
      </c>
      <c r="K36" s="7">
        <f t="shared" ref="K36:N36" si="7">F36</f>
        <v>648000</v>
      </c>
      <c r="L36" s="7">
        <f t="shared" si="7"/>
        <v>929000</v>
      </c>
      <c r="M36" s="7">
        <f t="shared" si="7"/>
        <v>1209000</v>
      </c>
      <c r="N36" s="7">
        <f t="shared" si="7"/>
        <v>1490000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457000</v>
      </c>
      <c r="K37" s="40">
        <f>LamChanHangNgan((PhiInKM4M_BHR70($A37*F$23/$D$16*$E$16)+$A36*F$23/$D$16*$D$19+PhiMayCanMang($A37*F$23/$D$16*2, $C$15/100,$D$15/100))*(1+$D$17))</f>
        <v>763000</v>
      </c>
      <c r="L37" s="40">
        <f>LamChanHangNgan((PhiInKM4M_BHR70($A37*G$23/$D$16*$E$16)+$A36*G$23/$D$16*$D$19+PhiMayCanMang($A37*G$23/$D$16*2, $C$15/100,$D$15/100))*(1+$D$17))</f>
        <v>1069000</v>
      </c>
      <c r="M37" s="40">
        <f>LamChanHangNgan((PhiInKM4M_BHR70($A37*H$23/$D$16*$E$16)+$A36*H$23/$D$16*$D$19+PhiMayCanMang($A37*H$23/$D$16*2, $C$15/100,$D$15/100))*(1+$D$17))</f>
        <v>1376000</v>
      </c>
      <c r="N37" s="40">
        <f>LamChanHangNgan((PhiInKM4M_BHR70($A37*I$23/$D$16*$E$16)+$A36*I$23/$D$16*$D$19+PhiMayCanMang($A37*I$23/$D$16*2, $C$15/100,$D$15/100))*(1+$D$17))</f>
        <v>1682000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15584.4445</v>
      </c>
      <c r="F41" s="7">
        <f t="shared" ref="F41:I41" si="8">PhiLDPT_XepDotVoCuonLX(F$23)+$B$41*$C$13/100</f>
        <v>17028.888899999998</v>
      </c>
      <c r="G41" s="7">
        <f t="shared" si="8"/>
        <v>18473.333500000001</v>
      </c>
      <c r="H41" s="7">
        <f t="shared" si="8"/>
        <v>19917.7778</v>
      </c>
      <c r="I41" s="7">
        <f t="shared" si="8"/>
        <v>21362.222600000001</v>
      </c>
    </row>
    <row r="42" spans="1:14" x14ac:dyDescent="0.25">
      <c r="A42" s="2"/>
      <c r="D42" t="s">
        <v>317</v>
      </c>
      <c r="E42" s="7">
        <f>E$41*(1+$D$17)</f>
        <v>27272.777875</v>
      </c>
      <c r="F42" s="7">
        <f t="shared" ref="F42:I42" si="9">F$41*(1+$D$17)</f>
        <v>29800.555574999998</v>
      </c>
      <c r="G42" s="7">
        <f t="shared" si="9"/>
        <v>32328.333624999999</v>
      </c>
      <c r="H42" s="7">
        <f t="shared" si="9"/>
        <v>34856.111149999997</v>
      </c>
      <c r="I42" s="7">
        <f t="shared" si="9"/>
        <v>37383.88955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0EE96482-E64B-4E39-BCE7-417594A230BA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686037AE-E91E-4AE5-AA5E-C5F6F3F340FF}">
      <formula1>OFFSET(GIA_GIAY_CO_BAN,1,0,,1)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8A674-A506-4793-BD34-5CBEDF24A027}">
  <sheetPr codeName="Trang_tính4"/>
  <dimension ref="A1:T65"/>
  <sheetViews>
    <sheetView topLeftCell="A22" workbookViewId="0">
      <selection activeCell="D41" sqref="D41:I43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323</v>
      </c>
      <c r="B13">
        <v>19</v>
      </c>
      <c r="C13">
        <v>30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457000</v>
      </c>
      <c r="K25" s="40">
        <f>LamChanHangNgan((PhiInKM4M_BHR70($A25*F$23/$D$16*$E$16)+$A24*F$23/$D$16*$D$19+PhiMayCanMang($A25*F$23/$D$16*2, $C$15/100,$D$15/100))*(1+$D$17))</f>
        <v>763000</v>
      </c>
      <c r="L25" s="40">
        <f>LamChanHangNgan((PhiInKM4M_BHR70($A25*G$23/$D$16*$E$16)+$A24*G$23/$D$16*$D$19+PhiMayCanMang($A25*G$23/$D$16*2, $C$15/100,$D$15/100))*(1+$D$17))</f>
        <v>1069000</v>
      </c>
      <c r="M25" s="40">
        <f>LamChanHangNgan((PhiInKM4M_BHR70($A25*H$23/$D$16*$E$16)+$A24*H$23/$D$16*$D$19+PhiMayCanMang($A25*H$23/$D$16*2, $C$15/100,$D$15/100))*(1+$D$17))</f>
        <v>1376000</v>
      </c>
      <c r="N25" s="40">
        <f>LamChanHangNgan((PhiInKM4M_BHR70($A25*I$23/$D$16*$E$16)+$A24*I$23/$D$16*$D$19+PhiMayCanMang($A25*I$23/$D$16*2, $C$15/100,$D$15/100))*(1+$D$17))</f>
        <v>1682000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508000</v>
      </c>
      <c r="K27" s="40">
        <f>LamChanHangNgan((PhiInKM4M_BHR70($A27*F$23/$D$16*$E$16)+$A26*F$23/$D$16*$D$19+PhiMayCanMang($A27*F$23/$D$16*2, $C$15/100,$D$15/100))*(1+$D$17))</f>
        <v>866000</v>
      </c>
      <c r="L27" s="40">
        <f>LamChanHangNgan((PhiInKM4M_BHR70($A27*G$23/$D$16*$E$16)+$A26*G$23/$D$16*$D$19+PhiMayCanMang($A27*G$23/$D$16*2, $C$15/100,$D$15/100))*(1+$D$17))</f>
        <v>1222000</v>
      </c>
      <c r="M27" s="40">
        <f>LamChanHangNgan((PhiInKM4M_BHR70($A27*H$23/$D$16*$E$16)+$A26*H$23/$D$16*$D$19+PhiMayCanMang($A27*H$23/$D$16*2, $C$15/100,$D$15/100))*(1+$D$17))</f>
        <v>1580000</v>
      </c>
      <c r="N27" s="40">
        <f>LamChanHangNgan((PhiInKM4M_BHR70($A27*I$23/$D$16*$E$16)+$A26*I$23/$D$16*$D$19+PhiMayCanMang($A27*I$23/$D$16*2, $C$15/100,$D$15/100))*(1+$D$17))</f>
        <v>1937000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559000</v>
      </c>
      <c r="K29" s="40">
        <f>LamChanHangNgan((PhiInKM4M_BHR70($A29*F$23/$D$16*$E$16)+$A28*F$23/$D$16*$D$19+PhiMayCanMang($A29*F$23/$D$16*2, $C$15/100,$D$15/100))*(1+$D$17))</f>
        <v>967000</v>
      </c>
      <c r="L29" s="40">
        <f>LamChanHangNgan((PhiInKM4M_BHR70($A29*G$23/$D$16*$E$16)+$A28*G$23/$D$16*$D$19+PhiMayCanMang($A29*G$23/$D$16*2, $C$15/100,$D$15/100))*(1+$D$17))</f>
        <v>1376000</v>
      </c>
      <c r="M29" s="40">
        <f>LamChanHangNgan((PhiInKM4M_BHR70($A29*H$23/$D$16*$E$16)+$A28*H$23/$D$16*$D$19+PhiMayCanMang($A29*H$23/$D$16*2, $C$15/100,$D$15/100))*(1+$D$17))</f>
        <v>1784000</v>
      </c>
      <c r="N29" s="40">
        <f>LamChanHangNgan((PhiInKM4M_BHR70($A29*I$23/$D$16*$E$16)+$A28*I$23/$D$16*$D$19+PhiMayCanMang($A29*I$23/$D$16*2, $C$15/100,$D$15/100))*(1+$D$17))</f>
        <v>2192000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611000</v>
      </c>
      <c r="K31" s="40">
        <f>LamChanHangNgan((PhiInKM4M_BHR70($A31*F$23/$D$16*$E$16)+$A30*F$23/$D$16*$D$19+PhiMayCanMang($A31*F$23/$D$16*2, $C$15/100,$D$15/100))*(1+$D$17))</f>
        <v>1069000</v>
      </c>
      <c r="L31" s="40">
        <f>LamChanHangNgan((PhiInKM4M_BHR70($A31*G$23/$D$16*$E$16)+$A30*G$23/$D$16*$D$19+PhiMayCanMang($A31*G$23/$D$16*2, $C$15/100,$D$15/100))*(1+$D$17))</f>
        <v>1529000</v>
      </c>
      <c r="M31" s="40">
        <f>LamChanHangNgan((PhiInKM4M_BHR70($A31*H$23/$D$16*$E$16)+$A30*H$23/$D$16*$D$19+PhiMayCanMang($A31*H$23/$D$16*2, $C$15/100,$D$15/100))*(1+$D$17))</f>
        <v>1988000</v>
      </c>
      <c r="N31" s="40">
        <f>LamChanHangNgan((PhiInKM4M_BHR70($A31*I$23/$D$16*$E$16)+$A30*I$23/$D$16*$D$19+PhiMayCanMang($A31*I$23/$D$16*2, $C$15/100,$D$15/100))*(1+$D$17))</f>
        <v>2447000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661000</v>
      </c>
      <c r="K33" s="40">
        <f>LamChanHangNgan((PhiInKM4M_BHR70($A33*F$23/$D$16*$E$16)+$A32*F$23/$D$16*$D$19+PhiMayCanMang($A33*F$23/$D$16*2, $C$15/100,$D$15/100))*(1+$D$17))</f>
        <v>1172000</v>
      </c>
      <c r="L33" s="40">
        <f>LamChanHangNgan((PhiInKM4M_BHR70($A33*G$23/$D$16*$E$16)+$A32*G$23/$D$16*$D$19+PhiMayCanMang($A33*G$23/$D$16*2, $C$15/100,$D$15/100))*(1+$D$17))</f>
        <v>1682000</v>
      </c>
      <c r="M33" s="40">
        <f>LamChanHangNgan((PhiInKM4M_BHR70($A33*H$23/$D$16*$E$16)+$A32*H$23/$D$16*$D$19+PhiMayCanMang($A33*H$23/$D$16*2, $C$15/100,$D$15/100))*(1+$D$17))</f>
        <v>2192000</v>
      </c>
      <c r="N33" s="40">
        <f>LamChanHangNgan((PhiInKM4M_BHR70($A33*I$23/$D$16*$E$16)+$A32*I$23/$D$16*$D$19+PhiMayCanMang($A33*I$23/$D$16*2, $C$15/100,$D$15/100))*(1+$D$17))</f>
        <v>2702000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712000</v>
      </c>
      <c r="K35" s="40">
        <f>LamChanHangNgan((PhiInKM4M_BHR70($A35*F$23/$D$16*$E$16)+$A34*F$23/$D$16*$D$19+PhiMayCanMang($A35*F$23/$D$16*2, $C$15/100,$D$15/100))*(1+$D$17))</f>
        <v>1274000</v>
      </c>
      <c r="L35" s="40">
        <f>LamChanHangNgan((PhiInKM4M_BHR70($A35*G$23/$D$16*$E$16)+$A34*G$23/$D$16*$D$19+PhiMayCanMang($A35*G$23/$D$16*2, $C$15/100,$D$15/100))*(1+$D$17))</f>
        <v>1835000</v>
      </c>
      <c r="M35" s="40">
        <f>LamChanHangNgan((PhiInKM4M_BHR70($A35*H$23/$D$16*$E$16)+$A34*H$23/$D$16*$D$19+PhiMayCanMang($A35*H$23/$D$16*2, $C$15/100,$D$15/100))*(1+$D$17))</f>
        <v>2396000</v>
      </c>
      <c r="N35" s="40">
        <f>LamChanHangNgan((PhiInKM4M_BHR70($A35*I$23/$D$16*$E$16)+$A34*I$23/$D$16*$D$19+PhiMayCanMang($A35*I$23/$D$16*2, $C$15/100,$D$15/100))*(1+$D$17))</f>
        <v>2957000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763000</v>
      </c>
      <c r="K37" s="40">
        <f>LamChanHangNgan((PhiInKM4M_BHR70($A37*F$23/$D$16*$E$16)+$A36*F$23/$D$16*$D$19+PhiMayCanMang($A37*F$23/$D$16*2, $C$15/100,$D$15/100))*(1+$D$17))</f>
        <v>1376000</v>
      </c>
      <c r="L37" s="40">
        <f>LamChanHangNgan((PhiInKM4M_BHR70($A37*G$23/$D$16*$E$16)+$A36*G$23/$D$16*$D$19+PhiMayCanMang($A37*G$23/$D$16*2, $C$15/100,$D$15/100))*(1+$D$17))</f>
        <v>1988000</v>
      </c>
      <c r="M37" s="40">
        <f>LamChanHangNgan((PhiInKM4M_BHR70($A37*H$23/$D$16*$E$16)+$A36*H$23/$D$16*$D$19+PhiMayCanMang($A37*H$23/$D$16*2, $C$15/100,$D$15/100))*(1+$D$17))</f>
        <v>2600000</v>
      </c>
      <c r="N37" s="40">
        <f>LamChanHangNgan((PhiInKM4M_BHR70($A37*I$23/$D$16*$E$16)+$A36*I$23/$D$16*$D$19+PhiMayCanMang($A37*I$23/$D$16*2, $C$15/100,$D$15/100))*(1+$D$17))</f>
        <v>3212000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16244.4445</v>
      </c>
      <c r="F41" s="7">
        <f t="shared" ref="F41:I41" si="8">PhiLDPT_XepDotVoCuonLX(F$23)+$B$41*$C$13/100</f>
        <v>17688.888899999998</v>
      </c>
      <c r="G41" s="7">
        <f t="shared" si="8"/>
        <v>19133.333500000001</v>
      </c>
      <c r="H41" s="7">
        <f t="shared" si="8"/>
        <v>20577.7778</v>
      </c>
      <c r="I41" s="7">
        <f t="shared" si="8"/>
        <v>22022.222600000001</v>
      </c>
    </row>
    <row r="42" spans="1:14" x14ac:dyDescent="0.25">
      <c r="A42" s="2"/>
      <c r="D42" t="s">
        <v>317</v>
      </c>
      <c r="E42" s="7">
        <f>E$41*(1+$D$17)</f>
        <v>28427.777875</v>
      </c>
      <c r="F42" s="7">
        <f t="shared" ref="F42:I42" si="9">F$41*(1+$D$17)</f>
        <v>30955.555574999998</v>
      </c>
      <c r="G42" s="7">
        <f t="shared" si="9"/>
        <v>33483.333624999999</v>
      </c>
      <c r="H42" s="7">
        <f t="shared" si="9"/>
        <v>36011.111149999997</v>
      </c>
      <c r="I42" s="7">
        <f t="shared" si="9"/>
        <v>38538.88955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CDF47D1D-D73D-48ED-B76D-FA347085CB74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05B7517-1D56-4F73-980E-5C32BC9DAF07}">
      <formula1>OFFSET(KHO_CAT_SAN_PHAM,1,0,,1)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852D-BABF-4E61-B030-F9D8834E20D8}">
  <sheetPr codeName="Trang_tính5"/>
  <dimension ref="A1:T65"/>
  <sheetViews>
    <sheetView tabSelected="1" topLeftCell="A13" workbookViewId="0">
      <selection activeCell="F40" sqref="F40"/>
    </sheetView>
  </sheetViews>
  <sheetFormatPr defaultRowHeight="15" x14ac:dyDescent="0.25"/>
  <cols>
    <col min="1" max="1" width="20" bestFit="1" customWidth="1"/>
    <col min="2" max="2" width="23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0" width="13.28515625" bestFit="1" customWidth="1"/>
    <col min="11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321</v>
      </c>
      <c r="B13">
        <v>15</v>
      </c>
      <c r="C13">
        <v>34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457000</v>
      </c>
      <c r="K25" s="40">
        <f>LamChanHangNgan((PhiInKM4M_BHR70($A25*F$23/$D$16*$E$16)+$A24*F$23/$D$16*$D$19+PhiMayCanMang($A25*F$23/$D$16*2, $C$15/100,$D$15/100))*(1+$D$17))</f>
        <v>763000</v>
      </c>
      <c r="L25" s="40">
        <f>LamChanHangNgan((PhiInKM4M_BHR70($A25*G$23/$D$16*$E$16)+$A24*G$23/$D$16*$D$19+PhiMayCanMang($A25*G$23/$D$16*2, $C$15/100,$D$15/100))*(1+$D$17))</f>
        <v>1069000</v>
      </c>
      <c r="M25" s="40">
        <f>LamChanHangNgan((PhiInKM4M_BHR70($A25*H$23/$D$16*$E$16)+$A24*H$23/$D$16*$D$19+PhiMayCanMang($A25*H$23/$D$16*2, $C$15/100,$D$15/100))*(1+$D$17))</f>
        <v>1376000</v>
      </c>
      <c r="N25" s="40">
        <f>LamChanHangNgan((PhiInKM4M_BHR70($A25*I$23/$D$16*$E$16)+$A24*I$23/$D$16*$D$19+PhiMayCanMang($A25*I$23/$D$16*2, $C$15/100,$D$15/100))*(1+$D$17))</f>
        <v>1682000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508000</v>
      </c>
      <c r="K27" s="40">
        <f>LamChanHangNgan((PhiInKM4M_BHR70($A27*F$23/$D$16*$E$16)+$A26*F$23/$D$16*$D$19+PhiMayCanMang($A27*F$23/$D$16*2, $C$15/100,$D$15/100))*(1+$D$17))</f>
        <v>866000</v>
      </c>
      <c r="L27" s="40">
        <f>LamChanHangNgan((PhiInKM4M_BHR70($A27*G$23/$D$16*$E$16)+$A26*G$23/$D$16*$D$19+PhiMayCanMang($A27*G$23/$D$16*2, $C$15/100,$D$15/100))*(1+$D$17))</f>
        <v>1222000</v>
      </c>
      <c r="M27" s="40">
        <f>LamChanHangNgan((PhiInKM4M_BHR70($A27*H$23/$D$16*$E$16)+$A26*H$23/$D$16*$D$19+PhiMayCanMang($A27*H$23/$D$16*2, $C$15/100,$D$15/100))*(1+$D$17))</f>
        <v>1580000</v>
      </c>
      <c r="N27" s="40">
        <f>LamChanHangNgan((PhiInKM4M_BHR70($A27*I$23/$D$16*$E$16)+$A26*I$23/$D$16*$D$19+PhiMayCanMang($A27*I$23/$D$16*2, $C$15/100,$D$15/100))*(1+$D$17))</f>
        <v>1937000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559000</v>
      </c>
      <c r="K29" s="40">
        <f>LamChanHangNgan((PhiInKM4M_BHR70($A29*F$23/$D$16*$E$16)+$A28*F$23/$D$16*$D$19+PhiMayCanMang($A29*F$23/$D$16*2, $C$15/100,$D$15/100))*(1+$D$17))</f>
        <v>967000</v>
      </c>
      <c r="L29" s="40">
        <f>LamChanHangNgan((PhiInKM4M_BHR70($A29*G$23/$D$16*$E$16)+$A28*G$23/$D$16*$D$19+PhiMayCanMang($A29*G$23/$D$16*2, $C$15/100,$D$15/100))*(1+$D$17))</f>
        <v>1376000</v>
      </c>
      <c r="M29" s="40">
        <f>LamChanHangNgan((PhiInKM4M_BHR70($A29*H$23/$D$16*$E$16)+$A28*H$23/$D$16*$D$19+PhiMayCanMang($A29*H$23/$D$16*2, $C$15/100,$D$15/100))*(1+$D$17))</f>
        <v>1784000</v>
      </c>
      <c r="N29" s="40">
        <f>LamChanHangNgan((PhiInKM4M_BHR70($A29*I$23/$D$16*$E$16)+$A28*I$23/$D$16*$D$19+PhiMayCanMang($A29*I$23/$D$16*2, $C$15/100,$D$15/100))*(1+$D$17))</f>
        <v>2192000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611000</v>
      </c>
      <c r="K31" s="40">
        <f>LamChanHangNgan((PhiInKM4M_BHR70($A31*F$23/$D$16*$E$16)+$A30*F$23/$D$16*$D$19+PhiMayCanMang($A31*F$23/$D$16*2, $C$15/100,$D$15/100))*(1+$D$17))</f>
        <v>1069000</v>
      </c>
      <c r="L31" s="40">
        <f>LamChanHangNgan((PhiInKM4M_BHR70($A31*G$23/$D$16*$E$16)+$A30*G$23/$D$16*$D$19+PhiMayCanMang($A31*G$23/$D$16*2, $C$15/100,$D$15/100))*(1+$D$17))</f>
        <v>1529000</v>
      </c>
      <c r="M31" s="40">
        <f>LamChanHangNgan((PhiInKM4M_BHR70($A31*H$23/$D$16*$E$16)+$A30*H$23/$D$16*$D$19+PhiMayCanMang($A31*H$23/$D$16*2, $C$15/100,$D$15/100))*(1+$D$17))</f>
        <v>1988000</v>
      </c>
      <c r="N31" s="40">
        <f>LamChanHangNgan((PhiInKM4M_BHR70($A31*I$23/$D$16*$E$16)+$A30*I$23/$D$16*$D$19+PhiMayCanMang($A31*I$23/$D$16*2, $C$15/100,$D$15/100))*(1+$D$17))</f>
        <v>2447000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661000</v>
      </c>
      <c r="K33" s="40">
        <f>LamChanHangNgan((PhiInKM4M_BHR70($A33*F$23/$D$16*$E$16)+$A32*F$23/$D$16*$D$19+PhiMayCanMang($A33*F$23/$D$16*2, $C$15/100,$D$15/100))*(1+$D$17))</f>
        <v>1172000</v>
      </c>
      <c r="L33" s="40">
        <f>LamChanHangNgan((PhiInKM4M_BHR70($A33*G$23/$D$16*$E$16)+$A32*G$23/$D$16*$D$19+PhiMayCanMang($A33*G$23/$D$16*2, $C$15/100,$D$15/100))*(1+$D$17))</f>
        <v>1682000</v>
      </c>
      <c r="M33" s="40">
        <f>LamChanHangNgan((PhiInKM4M_BHR70($A33*H$23/$D$16*$E$16)+$A32*H$23/$D$16*$D$19+PhiMayCanMang($A33*H$23/$D$16*2, $C$15/100,$D$15/100))*(1+$D$17))</f>
        <v>2192000</v>
      </c>
      <c r="N33" s="40">
        <f>LamChanHangNgan((PhiInKM4M_BHR70($A33*I$23/$D$16*$E$16)+$A32*I$23/$D$16*$D$19+PhiMayCanMang($A33*I$23/$D$16*2, $C$15/100,$D$15/100))*(1+$D$17))</f>
        <v>2702000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712000</v>
      </c>
      <c r="K35" s="40">
        <f>LamChanHangNgan((PhiInKM4M_BHR70($A35*F$23/$D$16*$E$16)+$A34*F$23/$D$16*$D$19+PhiMayCanMang($A35*F$23/$D$16*2, $C$15/100,$D$15/100))*(1+$D$17))</f>
        <v>1274000</v>
      </c>
      <c r="L35" s="40">
        <f>LamChanHangNgan((PhiInKM4M_BHR70($A35*G$23/$D$16*$E$16)+$A34*G$23/$D$16*$D$19+PhiMayCanMang($A35*G$23/$D$16*2, $C$15/100,$D$15/100))*(1+$D$17))</f>
        <v>1835000</v>
      </c>
      <c r="M35" s="40">
        <f>LamChanHangNgan((PhiInKM4M_BHR70($A35*H$23/$D$16*$E$16)+$A34*H$23/$D$16*$D$19+PhiMayCanMang($A35*H$23/$D$16*2, $C$15/100,$D$15/100))*(1+$D$17))</f>
        <v>2396000</v>
      </c>
      <c r="N35" s="40">
        <f>LamChanHangNgan((PhiInKM4M_BHR70($A35*I$23/$D$16*$E$16)+$A34*I$23/$D$16*$D$19+PhiMayCanMang($A35*I$23/$D$16*2, $C$15/100,$D$15/100))*(1+$D$17))</f>
        <v>2957000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763000</v>
      </c>
      <c r="K37" s="40">
        <f>LamChanHangNgan((PhiInKM4M_BHR70($A37*F$23/$D$16*$E$16)+$A36*F$23/$D$16*$D$19+PhiMayCanMang($A37*F$23/$D$16*2, $C$15/100,$D$15/100))*(1+$D$17))</f>
        <v>1376000</v>
      </c>
      <c r="L37" s="40">
        <f>LamChanHangNgan((PhiInKM4M_BHR70($A37*G$23/$D$16*$E$16)+$A36*G$23/$D$16*$D$19+PhiMayCanMang($A37*G$23/$D$16*2, $C$15/100,$D$15/100))*(1+$D$17))</f>
        <v>1988000</v>
      </c>
      <c r="M37" s="40">
        <f>LamChanHangNgan((PhiInKM4M_BHR70($A37*H$23/$D$16*$E$16)+$A36*H$23/$D$16*$D$19+PhiMayCanMang($A37*H$23/$D$16*2, $C$15/100,$D$15/100))*(1+$D$17))</f>
        <v>2600000</v>
      </c>
      <c r="N37" s="40">
        <f>LamChanHangNgan((PhiInKM4M_BHR70($A37*I$23/$D$16*$E$16)+$A36*I$23/$D$16*$D$19+PhiMayCanMang($A37*I$23/$D$16*2, $C$15/100,$D$15/100))*(1+$D$17))</f>
        <v>3212000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16484.444499999998</v>
      </c>
      <c r="F41" s="7">
        <f t="shared" ref="F41:I41" si="8">PhiLDPT_XepDotVoCuonLX(F$23)+$B$41*$C$13/100</f>
        <v>17928.888899999998</v>
      </c>
      <c r="G41" s="7">
        <f t="shared" si="8"/>
        <v>19373.333500000001</v>
      </c>
      <c r="H41" s="7">
        <f t="shared" si="8"/>
        <v>20817.7778</v>
      </c>
      <c r="I41" s="7">
        <f t="shared" si="8"/>
        <v>22262.222600000001</v>
      </c>
    </row>
    <row r="42" spans="1:14" x14ac:dyDescent="0.25">
      <c r="A42" s="2"/>
      <c r="D42" t="s">
        <v>317</v>
      </c>
      <c r="E42" s="7">
        <f>E$41*(1+$D$17)</f>
        <v>28847.777874999996</v>
      </c>
      <c r="F42" s="7">
        <f t="shared" ref="F42:I42" si="9">F$41*(1+$D$17)</f>
        <v>31375.555574999998</v>
      </c>
      <c r="G42" s="7">
        <f t="shared" si="9"/>
        <v>33903.333624999999</v>
      </c>
      <c r="H42" s="7">
        <f t="shared" si="9"/>
        <v>36431.111149999997</v>
      </c>
      <c r="I42" s="7">
        <f t="shared" si="9"/>
        <v>38958.88955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924FB55F-09E7-4856-9772-F73C63C1B74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A459B156-B0D6-4EF7-9895-6877627B1A5F}">
      <formula1>OFFSET(GIA_GIAY_CO_BAN,1,0,,1)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BE822-3F33-4EBD-AFF0-A626967EA186}">
  <sheetPr codeName="Trang_tính11"/>
  <dimension ref="A1:I73"/>
  <sheetViews>
    <sheetView topLeftCell="A28" workbookViewId="0">
      <selection activeCell="B43" sqref="B43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10</v>
      </c>
      <c r="C13">
        <v>19</v>
      </c>
      <c r="D13">
        <v>0.3</v>
      </c>
      <c r="E13">
        <v>0</v>
      </c>
      <c r="F13">
        <f>$B13+$E13+$D13*2</f>
        <v>10.6</v>
      </c>
      <c r="G13">
        <f>$C13+$D13*2</f>
        <v>19.600000000000001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6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10</v>
      </c>
      <c r="F25">
        <f t="shared" ref="F25:I25" si="0">($A25*F$24/2)/$D$16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306</v>
      </c>
      <c r="E26" s="7">
        <f>PhiInKM4M_BHR70(E$25*$E$16*2)*(1+$D$17)</f>
        <v>136500</v>
      </c>
      <c r="F26" s="7">
        <f>PhiInKM4M_BHR70(F$25*$E$16*2)*(1+$D$17)</f>
        <v>185500</v>
      </c>
      <c r="G26" s="7">
        <f>PhiInKM4M_BHR70(G$25*$E$16*2)*(1+$D$17)</f>
        <v>234500</v>
      </c>
      <c r="H26" s="7">
        <f>PhiInKM4M_BHR70(H$25*$E$16*2)*(1+$D$17)</f>
        <v>283500</v>
      </c>
      <c r="I26" s="7">
        <f>PhiInKM4M_BHR70(I$25*$E$16*2)*(1+$D$17)</f>
        <v>332500</v>
      </c>
    </row>
    <row r="27" spans="1:9" x14ac:dyDescent="0.25">
      <c r="C27" t="s">
        <v>333</v>
      </c>
      <c r="E27" s="7">
        <f>E$25*$D$19*(1+$D$17)</f>
        <v>22260</v>
      </c>
      <c r="F27" s="7">
        <f>F$25*$D$19*(1+$D$17)</f>
        <v>44520</v>
      </c>
      <c r="G27" s="7">
        <f t="shared" ref="G27:I27" si="1">G$25*$D$19*(1+$D$17)</f>
        <v>66780</v>
      </c>
      <c r="H27" s="7">
        <f t="shared" si="1"/>
        <v>89040</v>
      </c>
      <c r="I27" s="7">
        <f t="shared" si="1"/>
        <v>111300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158000</v>
      </c>
      <c r="F30" s="25">
        <f t="shared" ref="F30:I30" si="2">LamChanHangNgan(F$26+F$27+F$29)</f>
        <v>230000</v>
      </c>
      <c r="G30" s="25">
        <f t="shared" si="2"/>
        <v>301000</v>
      </c>
      <c r="H30" s="25">
        <f t="shared" si="2"/>
        <v>372000</v>
      </c>
      <c r="I30" s="25">
        <f t="shared" si="2"/>
        <v>443000</v>
      </c>
    </row>
    <row r="31" spans="1:9" x14ac:dyDescent="0.25">
      <c r="C31" t="s">
        <v>330</v>
      </c>
      <c r="E31" s="25">
        <f>LamChanHangNgan(E$26+E$27+E$28+E$29)</f>
        <v>233000</v>
      </c>
      <c r="F31" s="25">
        <f t="shared" ref="F31:I31" si="3">LamChanHangNgan(F$26+F$27+F$28+F$29)</f>
        <v>315000</v>
      </c>
      <c r="G31" s="25">
        <f t="shared" si="3"/>
        <v>397000</v>
      </c>
      <c r="H31" s="25">
        <f t="shared" si="3"/>
        <v>479000</v>
      </c>
      <c r="I31" s="25">
        <f t="shared" si="3"/>
        <v>560000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11.666666666666666</v>
      </c>
      <c r="F32">
        <f t="shared" ref="F32:I32" si="4">($A32*F$24/2)/$D$16</f>
        <v>23.333333333333332</v>
      </c>
      <c r="G32">
        <f t="shared" si="4"/>
        <v>35</v>
      </c>
      <c r="H32">
        <f t="shared" si="4"/>
        <v>46.666666666666664</v>
      </c>
      <c r="I32">
        <f t="shared" si="4"/>
        <v>58.333333333333336</v>
      </c>
    </row>
    <row r="33" spans="1:9" x14ac:dyDescent="0.25">
      <c r="C33" t="s">
        <v>306</v>
      </c>
      <c r="E33" s="26">
        <f>PhiInKM4M_BHR70(E32*$E$16*2)*(1+$D$17)</f>
        <v>145075</v>
      </c>
      <c r="F33" s="26">
        <f>PhiInKM4M_BHR70(F32*$E$16*2)*(1+$D$17)</f>
        <v>201425</v>
      </c>
      <c r="G33" s="26">
        <f>PhiInKM4M_BHR70(G32*$E$16*2)*(1+$D$17)</f>
        <v>259000</v>
      </c>
      <c r="H33" s="26">
        <f>PhiInKM4M_BHR70(H32*$E$16*2)*(1+$D$17)</f>
        <v>316575</v>
      </c>
      <c r="I33" s="26">
        <f>PhiInKM4M_BHR70(I32*$E$16*2)*(1+$D$17)</f>
        <v>372925</v>
      </c>
    </row>
    <row r="34" spans="1:9" x14ac:dyDescent="0.25">
      <c r="C34" t="s">
        <v>333</v>
      </c>
      <c r="E34" s="26">
        <f>E32*$D$19*(1+$D$17)</f>
        <v>25970</v>
      </c>
      <c r="F34" s="26">
        <f t="shared" ref="F34:I34" si="5">F32*$D$19*(1+$D$17)</f>
        <v>51940</v>
      </c>
      <c r="G34" s="26">
        <f t="shared" si="5"/>
        <v>77910</v>
      </c>
      <c r="H34" s="26">
        <f t="shared" si="5"/>
        <v>103880</v>
      </c>
      <c r="I34" s="26">
        <f t="shared" si="5"/>
        <v>129850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76413.339275000006</v>
      </c>
      <c r="F35" s="26">
        <f>(PhiMayCanMang(F32*2,$C$15/100,$D$15/100) + PhiMangCan(F32*2,$C$15/100,$D$15/100,$D$21))*(1+$D$17)</f>
        <v>88975.852350000001</v>
      </c>
      <c r="G35" s="26">
        <f>(PhiMayCanMang(G32*2,$C$15/100,$D$15/100) + PhiMangCan(G32*2,$C$15/100,$D$15/100,$D$21))*(1+$D$17)</f>
        <v>101222.52525000001</v>
      </c>
      <c r="H35" s="26">
        <f>(PhiMayCanMang(H32*2,$C$15/100,$D$15/100) + PhiMangCan(H32*2,$C$15/100,$D$15/100,$D$21))*(1+$D$17)</f>
        <v>113469.19779999999</v>
      </c>
      <c r="I35" s="26">
        <f>(PhiMayCanMang(I32*2,$C$15/100,$D$15/100) + PhiMangCan(I32*2,$C$15/100,$D$15/100,$D$21))*(1+$D$17)</f>
        <v>126031.710875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171000</v>
      </c>
      <c r="F37" s="42">
        <f t="shared" ref="F37:I37" si="6">LamChanHangNgan(F33+F34+F36)</f>
        <v>253000</v>
      </c>
      <c r="G37" s="42">
        <f t="shared" si="6"/>
        <v>336000</v>
      </c>
      <c r="H37" s="42">
        <f t="shared" si="6"/>
        <v>420000</v>
      </c>
      <c r="I37" s="42">
        <f t="shared" si="6"/>
        <v>502000</v>
      </c>
    </row>
    <row r="38" spans="1:9" x14ac:dyDescent="0.25">
      <c r="C38" t="s">
        <v>330</v>
      </c>
      <c r="E38" s="42">
        <f>LamChanHangNgan(E33+E34+E35+E36)</f>
        <v>247000</v>
      </c>
      <c r="F38" s="42">
        <f t="shared" ref="F38:I38" si="7">LamChanHangNgan(F33+F34+F35+F36)</f>
        <v>342000</v>
      </c>
      <c r="G38" s="42">
        <f t="shared" si="7"/>
        <v>438000</v>
      </c>
      <c r="H38" s="42">
        <f t="shared" si="7"/>
        <v>533000</v>
      </c>
      <c r="I38" s="42">
        <f t="shared" si="7"/>
        <v>628000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13.333333333333334</v>
      </c>
      <c r="F39">
        <f t="shared" ref="F39:I39" si="8">($A39*F$24/2)/$D$16</f>
        <v>26.666666666666668</v>
      </c>
      <c r="G39">
        <f t="shared" si="8"/>
        <v>40</v>
      </c>
      <c r="H39">
        <f t="shared" si="8"/>
        <v>53.333333333333336</v>
      </c>
      <c r="I39">
        <f t="shared" si="8"/>
        <v>66.666666666666671</v>
      </c>
    </row>
    <row r="40" spans="1:9" x14ac:dyDescent="0.25">
      <c r="C40" t="s">
        <v>306</v>
      </c>
      <c r="E40">
        <f>PhiInKM4M_BHR70(E39*$E$16*2)*(1+$D$17)</f>
        <v>152425</v>
      </c>
      <c r="F40">
        <f>PhiInKM4M_BHR70(F39*$E$16*2)*(1+$D$17)</f>
        <v>218575</v>
      </c>
      <c r="G40">
        <f>PhiInKM4M_BHR70(G39*$E$16*2)*(1+$D$17)</f>
        <v>283500</v>
      </c>
      <c r="H40">
        <f>PhiInKM4M_BHR70(H39*$E$16*2)*(1+$D$17)</f>
        <v>348425</v>
      </c>
      <c r="I40">
        <f>PhiInKM4M_BHR70(I39*$E$16*2)*(1+$D$17)</f>
        <v>414575</v>
      </c>
    </row>
    <row r="41" spans="1:9" x14ac:dyDescent="0.25">
      <c r="C41" t="s">
        <v>333</v>
      </c>
      <c r="E41">
        <f>E39*$D$19*(1+$D$17)</f>
        <v>29680</v>
      </c>
      <c r="F41">
        <f t="shared" ref="F41:I41" si="9">F39*$D$19*(1+$D$17)</f>
        <v>59360</v>
      </c>
      <c r="G41">
        <f t="shared" si="9"/>
        <v>89040</v>
      </c>
      <c r="H41">
        <f t="shared" si="9"/>
        <v>118720</v>
      </c>
      <c r="I41">
        <f t="shared" si="9"/>
        <v>148400</v>
      </c>
    </row>
    <row r="42" spans="1:9" x14ac:dyDescent="0.25">
      <c r="C42" t="s">
        <v>310</v>
      </c>
      <c r="E42">
        <f>(PhiMayCanMang(E39*2,$C$15/100,$D$15/100) + PhiMangCan(E39*2,$C$15/100,$D$15/100,$D$21))*(1+$D$17)</f>
        <v>78582.582049999997</v>
      </c>
      <c r="F42">
        <f>(PhiMayCanMang(F39*2,$C$15/100,$D$15/100) + PhiMangCan(F39*2,$C$15/100,$D$15/100,$D$21))*(1+$D$17)</f>
        <v>92229.71590000001</v>
      </c>
      <c r="G42">
        <f>(PhiMayCanMang(G39*2,$C$15/100,$D$15/100) + PhiMangCan(G39*2,$C$15/100,$D$15/100,$D$21))*(1+$D$17)</f>
        <v>106645.63035000001</v>
      </c>
      <c r="H42">
        <f>(PhiMayCanMang(H39*2,$C$15/100,$D$15/100) + PhiMangCan(H39*2,$C$15/100,$D$15/100,$D$21))*(1+$D$17)</f>
        <v>120608.60577499999</v>
      </c>
      <c r="I42">
        <f>(PhiMayCanMang(I39*2,$C$15/100,$D$15/100) + PhiMangCan(I39*2,$C$15/100,$D$15/100,$D$21))*(1+$D$17)</f>
        <v>134708.67777499999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182000</v>
      </c>
      <c r="F44" s="25">
        <f t="shared" ref="F44:I44" si="10">LamChanHangNgan(F40+F41+F43)</f>
        <v>277000</v>
      </c>
      <c r="G44" s="25">
        <f t="shared" si="10"/>
        <v>372000</v>
      </c>
      <c r="H44" s="25">
        <f t="shared" si="10"/>
        <v>467000</v>
      </c>
      <c r="I44" s="25">
        <f t="shared" si="10"/>
        <v>562000</v>
      </c>
    </row>
    <row r="45" spans="1:9" x14ac:dyDescent="0.25">
      <c r="C45" t="s">
        <v>330</v>
      </c>
      <c r="E45" s="25">
        <f>LamChanHangNgan(E40+E41+E42+E43)</f>
        <v>260000</v>
      </c>
      <c r="F45" s="25">
        <f t="shared" ref="F45:I45" si="11">LamChanHangNgan(F40+F41+F42+F43)</f>
        <v>370000</v>
      </c>
      <c r="G45" s="25">
        <f t="shared" si="11"/>
        <v>479000</v>
      </c>
      <c r="H45" s="25">
        <f t="shared" si="11"/>
        <v>587000</v>
      </c>
      <c r="I45" s="25">
        <f t="shared" si="11"/>
        <v>697000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15</v>
      </c>
      <c r="F46">
        <f t="shared" ref="F46:I46" si="12">($A46*F$24/2)/$D$16</f>
        <v>30</v>
      </c>
      <c r="G46">
        <f t="shared" si="12"/>
        <v>45</v>
      </c>
      <c r="H46">
        <f t="shared" si="12"/>
        <v>60</v>
      </c>
      <c r="I46">
        <f t="shared" si="12"/>
        <v>75</v>
      </c>
    </row>
    <row r="47" spans="1:9" x14ac:dyDescent="0.25">
      <c r="C47" t="s">
        <v>306</v>
      </c>
      <c r="E47">
        <f>PhiInKM4M_BHR70(E46*$E$16*2)*(1+$D$17)</f>
        <v>161000</v>
      </c>
      <c r="F47">
        <f>PhiInKM4M_BHR70(F46*$E$16*2)*(1+$D$17)</f>
        <v>234500</v>
      </c>
      <c r="G47">
        <f>PhiInKM4M_BHR70(G46*$E$16*2)*(1+$D$17)</f>
        <v>308000</v>
      </c>
      <c r="H47">
        <f>PhiInKM4M_BHR70(H46*$E$16*2)*(1+$D$17)</f>
        <v>381500</v>
      </c>
      <c r="I47">
        <f>PhiInKM4M_BHR70(I46*$E$16*2)*(1+$D$17)</f>
        <v>455000</v>
      </c>
    </row>
    <row r="48" spans="1:9" x14ac:dyDescent="0.25">
      <c r="C48" t="s">
        <v>333</v>
      </c>
      <c r="E48">
        <f>E46*$D$19*(1+$D$17)</f>
        <v>33390</v>
      </c>
      <c r="F48">
        <f t="shared" ref="F48:I48" si="13">F46*$D$19*(1+$D$17)</f>
        <v>66780</v>
      </c>
      <c r="G48">
        <f t="shared" si="13"/>
        <v>100170</v>
      </c>
      <c r="H48">
        <f t="shared" si="13"/>
        <v>133560</v>
      </c>
      <c r="I48">
        <f t="shared" si="13"/>
        <v>166950</v>
      </c>
    </row>
    <row r="49" spans="1:9" x14ac:dyDescent="0.25">
      <c r="C49" t="s">
        <v>310</v>
      </c>
      <c r="E49">
        <f>(PhiMayCanMang(E46*2,$C$15/100,$D$15/100) + PhiMangCan(E46*2,$C$15/100,$D$15/100,$D$21))*(1+$D$17)</f>
        <v>79983.043174999999</v>
      </c>
      <c r="F49">
        <f>(PhiMayCanMang(F46*2,$C$15/100,$D$15/100) + PhiMangCan(F46*2,$C$15/100,$D$15/100,$D$21))*(1+$D$17)</f>
        <v>95799.419800000003</v>
      </c>
      <c r="G49">
        <f>(PhiMayCanMang(G46*2,$C$15/100,$D$15/100) + PhiMangCan(G46*2,$C$15/100,$D$15/100,$D$21))*(1+$D$17)</f>
        <v>111615.79449999999</v>
      </c>
      <c r="H49">
        <f>(PhiMayCanMang(H46*2,$C$15/100,$D$15/100) + PhiMangCan(H46*2,$C$15/100,$D$15/100,$D$21))*(1+$D$17)</f>
        <v>127432.17305000001</v>
      </c>
      <c r="I49">
        <f>(PhiMayCanMang(I46*2,$C$15/100,$D$15/100) + PhiMangCan(I46*2,$C$15/100,$D$15/100,$D$21))*(1+$D$17)</f>
        <v>143248.54792499999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194000</v>
      </c>
      <c r="F51" s="25">
        <f t="shared" ref="F51:I51" si="14">LamChanHangNgan(F47+F48+F50)</f>
        <v>301000</v>
      </c>
      <c r="G51" s="25">
        <f t="shared" si="14"/>
        <v>408000</v>
      </c>
      <c r="H51" s="25">
        <f t="shared" si="14"/>
        <v>515000</v>
      </c>
      <c r="I51" s="25">
        <f t="shared" si="14"/>
        <v>621000</v>
      </c>
    </row>
    <row r="52" spans="1:9" x14ac:dyDescent="0.25">
      <c r="C52" t="s">
        <v>330</v>
      </c>
      <c r="E52" s="25">
        <f>LamChanHangNgan(E47+E48+E49+E50)</f>
        <v>274000</v>
      </c>
      <c r="F52" s="25">
        <f t="shared" ref="F52:I52" si="15">LamChanHangNgan(F47+F48+F49+F50)</f>
        <v>397000</v>
      </c>
      <c r="G52" s="25">
        <f t="shared" si="15"/>
        <v>519000</v>
      </c>
      <c r="H52" s="25">
        <f t="shared" si="15"/>
        <v>642000</v>
      </c>
      <c r="I52" s="25">
        <f t="shared" si="15"/>
        <v>765000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16.666666666666668</v>
      </c>
      <c r="F53">
        <f t="shared" ref="F53:I53" si="16">($A53*F$24/2)/$D$16</f>
        <v>33.333333333333336</v>
      </c>
      <c r="G53">
        <f t="shared" si="16"/>
        <v>50</v>
      </c>
      <c r="H53">
        <f t="shared" si="16"/>
        <v>66.666666666666671</v>
      </c>
      <c r="I53">
        <f t="shared" si="16"/>
        <v>83.333333333333329</v>
      </c>
    </row>
    <row r="54" spans="1:9" x14ac:dyDescent="0.25">
      <c r="C54" t="s">
        <v>306</v>
      </c>
      <c r="E54">
        <f>PhiInKM4M_BHR70(E53*$E$16*2)*(1+$D$17)</f>
        <v>169575</v>
      </c>
      <c r="F54">
        <f>PhiInKM4M_BHR70(F53*$E$16*2)*(1+$D$17)</f>
        <v>250425</v>
      </c>
      <c r="G54">
        <f>PhiInKM4M_BHR70(G53*$E$16*2)*(1+$D$17)</f>
        <v>332500</v>
      </c>
      <c r="H54">
        <f>PhiInKM4M_BHR70(H53*$E$16*2)*(1+$D$17)</f>
        <v>414575</v>
      </c>
      <c r="I54">
        <f>PhiInKM4M_BHR70(I53*$E$16*2)*(1+$D$17)</f>
        <v>495425</v>
      </c>
    </row>
    <row r="55" spans="1:9" x14ac:dyDescent="0.25">
      <c r="C55" t="s">
        <v>333</v>
      </c>
      <c r="E55">
        <f>E53*$D$19*(1+$D$17)</f>
        <v>37100</v>
      </c>
      <c r="F55">
        <f t="shared" ref="F55:I55" si="17">F53*$D$19*(1+$D$17)</f>
        <v>74200</v>
      </c>
      <c r="G55">
        <f t="shared" si="17"/>
        <v>111300</v>
      </c>
      <c r="H55">
        <f t="shared" si="17"/>
        <v>148400</v>
      </c>
      <c r="I55">
        <f t="shared" si="17"/>
        <v>185500</v>
      </c>
    </row>
    <row r="56" spans="1:9" x14ac:dyDescent="0.25">
      <c r="C56" t="s">
        <v>310</v>
      </c>
      <c r="E56">
        <f>(PhiMayCanMang(E53*2,$C$15/100,$D$15/100) + PhiMangCan(E53*2,$C$15/100,$D$15/100,$D$21))*(1+$D$17)</f>
        <v>81836.445600000006</v>
      </c>
      <c r="F56">
        <f>(PhiMayCanMang(F53*2,$C$15/100,$D$15/100) + PhiMangCan(F53*2,$C$15/100,$D$15/100,$D$21))*(1+$D$17)</f>
        <v>99369.121775000007</v>
      </c>
      <c r="G56">
        <f>(PhiMayCanMang(G53*2,$C$15/100,$D$15/100) + PhiMangCan(G53*2,$C$15/100,$D$15/100,$D$21))*(1+$D$17)</f>
        <v>117038.901875</v>
      </c>
      <c r="H56">
        <f>(PhiMayCanMang(H53*2,$C$15/100,$D$15/100) + PhiMangCan(H53*2,$C$15/100,$D$15/100,$D$21))*(1+$D$17)</f>
        <v>134708.67777499999</v>
      </c>
      <c r="I56">
        <f>(PhiMayCanMang(I53*2,$C$15/100,$D$15/100) + PhiMangCan(I53*2,$C$15/100,$D$15/100,$D$21))*(1+$D$17)</f>
        <v>152241.35902499998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206000</v>
      </c>
      <c r="F58" s="25">
        <f t="shared" ref="F58:I58" si="18">LamChanHangNgan(F54+F55+F57)</f>
        <v>324000</v>
      </c>
      <c r="G58" s="25">
        <f t="shared" si="18"/>
        <v>443000</v>
      </c>
      <c r="H58" s="25">
        <f t="shared" si="18"/>
        <v>562000</v>
      </c>
      <c r="I58" s="25">
        <f t="shared" si="18"/>
        <v>680000</v>
      </c>
    </row>
    <row r="59" spans="1:9" ht="14.25" customHeight="1" x14ac:dyDescent="0.25">
      <c r="C59" t="s">
        <v>330</v>
      </c>
      <c r="E59" s="25">
        <f>LamChanHangNgan(E54+E55+E56+E57)</f>
        <v>288000</v>
      </c>
      <c r="F59" s="25">
        <f t="shared" ref="F59:I59" si="19">LamChanHangNgan(F54+F55+F56+F57)</f>
        <v>423000</v>
      </c>
      <c r="G59" s="25">
        <f t="shared" si="19"/>
        <v>560000</v>
      </c>
      <c r="H59" s="25">
        <f t="shared" si="19"/>
        <v>697000</v>
      </c>
      <c r="I59" s="25">
        <f t="shared" si="19"/>
        <v>833000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18.333333333333332</v>
      </c>
      <c r="F60">
        <f t="shared" ref="F60:I60" si="20">($A60*F$24/2)/$D$16</f>
        <v>36.666666666666664</v>
      </c>
      <c r="G60">
        <f t="shared" si="20"/>
        <v>55</v>
      </c>
      <c r="H60">
        <f t="shared" si="20"/>
        <v>73.333333333333329</v>
      </c>
      <c r="I60">
        <f t="shared" si="20"/>
        <v>91.666666666666671</v>
      </c>
    </row>
    <row r="61" spans="1:9" x14ac:dyDescent="0.25">
      <c r="C61" t="s">
        <v>306</v>
      </c>
      <c r="E61">
        <f>PhiInKM4M_BHR70(E60*$E$16*2)*(1+$D$17)</f>
        <v>176925</v>
      </c>
      <c r="F61">
        <f>PhiInKM4M_BHR70(F60*$E$16*2)*(1+$D$17)</f>
        <v>267575</v>
      </c>
      <c r="G61">
        <f>PhiInKM4M_BHR70(G60*$E$16*2)*(1+$D$17)</f>
        <v>357000</v>
      </c>
      <c r="H61">
        <f>PhiInKM4M_BHR70(H60*$E$16*2)*(1+$D$17)</f>
        <v>446425</v>
      </c>
      <c r="I61">
        <f>PhiInKM4M_BHR70(I60*$E$16*2)*(1+$D$17)</f>
        <v>537075</v>
      </c>
    </row>
    <row r="62" spans="1:9" x14ac:dyDescent="0.25">
      <c r="C62" t="s">
        <v>333</v>
      </c>
      <c r="E62">
        <f>E60*$D$19*(1+$D$17)</f>
        <v>40810</v>
      </c>
      <c r="F62">
        <f t="shared" ref="F62:I62" si="21">F60*$D$19*(1+$D$17)</f>
        <v>81620</v>
      </c>
      <c r="G62">
        <f t="shared" si="21"/>
        <v>122430</v>
      </c>
      <c r="H62">
        <f t="shared" si="21"/>
        <v>163240</v>
      </c>
      <c r="I62">
        <f t="shared" si="21"/>
        <v>204050</v>
      </c>
    </row>
    <row r="63" spans="1:9" x14ac:dyDescent="0.25">
      <c r="C63" t="s">
        <v>310</v>
      </c>
      <c r="E63">
        <f>(PhiMayCanMang(E60*2,$C$15/100,$D$15/100) + PhiMangCan(E60*2,$C$15/100,$D$15/100,$D$21))*(1+$D$17)</f>
        <v>83552.746025</v>
      </c>
      <c r="F63">
        <f>(PhiMayCanMang(F60*2,$C$15/100,$D$15/100) + PhiMangCan(F60*2,$C$15/100,$D$15/100,$D$21))*(1+$D$17)</f>
        <v>102622.985325</v>
      </c>
      <c r="G63">
        <f>(PhiMayCanMang(G60*2,$C$15/100,$D$15/100) + PhiMangCan(G60*2,$C$15/100,$D$15/100,$D$21))*(1+$D$17)</f>
        <v>122462.00505000001</v>
      </c>
      <c r="H63">
        <f>(PhiMayCanMang(H60*2,$C$15/100,$D$15/100) + PhiMangCan(H60*2,$C$15/100,$D$15/100,$D$21))*(1+$D$17)</f>
        <v>141848.08557499998</v>
      </c>
      <c r="I63">
        <f>(PhiMayCanMang(I60*2,$C$15/100,$D$15/100) + PhiMangCan(I60*2,$C$15/100,$D$15/100,$D$21))*(1+$D$17)</f>
        <v>160918.32574999999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217000</v>
      </c>
      <c r="F65" s="25">
        <f t="shared" ref="F65:I65" si="22">LamChanHangNgan(F61+F62+F64)</f>
        <v>349000</v>
      </c>
      <c r="G65" s="25">
        <f t="shared" si="22"/>
        <v>479000</v>
      </c>
      <c r="H65" s="25">
        <f t="shared" si="22"/>
        <v>609000</v>
      </c>
      <c r="I65" s="25">
        <f t="shared" si="22"/>
        <v>741000</v>
      </c>
    </row>
    <row r="66" spans="1:9" x14ac:dyDescent="0.25">
      <c r="C66" t="s">
        <v>330</v>
      </c>
      <c r="E66" s="25">
        <f>LamChanHangNgan(E61+E62+E63+E64)</f>
        <v>301000</v>
      </c>
      <c r="F66" s="25">
        <f t="shared" ref="F66:I66" si="23">LamChanHangNgan(F61+F62+F63+F64)</f>
        <v>451000</v>
      </c>
      <c r="G66" s="25">
        <f t="shared" si="23"/>
        <v>601000</v>
      </c>
      <c r="H66" s="25">
        <f t="shared" si="23"/>
        <v>751000</v>
      </c>
      <c r="I66" s="25">
        <f t="shared" si="23"/>
        <v>902000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20</v>
      </c>
      <c r="F67">
        <f t="shared" ref="F67:I67" si="24">($A67*F$24/2)/$D$16</f>
        <v>40</v>
      </c>
      <c r="G67">
        <f t="shared" si="24"/>
        <v>60</v>
      </c>
      <c r="H67">
        <f t="shared" si="24"/>
        <v>80</v>
      </c>
      <c r="I67">
        <f t="shared" si="24"/>
        <v>100</v>
      </c>
    </row>
    <row r="68" spans="1:9" x14ac:dyDescent="0.25">
      <c r="C68" t="s">
        <v>306</v>
      </c>
      <c r="E68">
        <f>PhiInKM4M_BHR70(E67*$E$16*2)*(1+$D$17)</f>
        <v>185500</v>
      </c>
      <c r="F68">
        <f>PhiInKM4M_BHR70(F67*$E$16*2)*(1+$D$17)</f>
        <v>283500</v>
      </c>
      <c r="G68">
        <f>PhiInKM4M_BHR70(G67*$E$16*2)*(1+$D$17)</f>
        <v>381500</v>
      </c>
      <c r="H68">
        <f>PhiInKM4M_BHR70(H67*$E$16*2)*(1+$D$17)</f>
        <v>479500</v>
      </c>
      <c r="I68">
        <f>PhiInKM4M_BHR70(I67*$E$16*2)*(1+$D$17)</f>
        <v>577500</v>
      </c>
    </row>
    <row r="69" spans="1:9" x14ac:dyDescent="0.25">
      <c r="C69" t="s">
        <v>333</v>
      </c>
      <c r="E69">
        <f>E67*$D$19*(1+$D$17)</f>
        <v>44520</v>
      </c>
      <c r="F69">
        <f t="shared" ref="F69:I69" si="25">F67*$D$19*(1+$D$17)</f>
        <v>89040</v>
      </c>
      <c r="G69">
        <f t="shared" si="25"/>
        <v>133560</v>
      </c>
      <c r="H69">
        <f t="shared" si="25"/>
        <v>178080</v>
      </c>
      <c r="I69">
        <f t="shared" si="25"/>
        <v>222600</v>
      </c>
    </row>
    <row r="70" spans="1:9" x14ac:dyDescent="0.25">
      <c r="C70" t="s">
        <v>310</v>
      </c>
      <c r="E70">
        <f>(PhiMayCanMang(E67*2,$C$15/100,$D$15/100) + PhiMangCan(E67*2,$C$15/100,$D$15/100,$D$21))*(1+$D$17)</f>
        <v>85406.148625000002</v>
      </c>
      <c r="F70">
        <f>(PhiMayCanMang(F67*2,$C$15/100,$D$15/100) + PhiMangCan(F67*2,$C$15/100,$D$15/100,$D$21))*(1+$D$17)</f>
        <v>106645.63035000001</v>
      </c>
      <c r="G70">
        <f>(PhiMayCanMang(G67*2,$C$15/100,$D$15/100) + PhiMangCan(G67*2,$C$15/100,$D$15/100,$D$21))*(1+$D$17)</f>
        <v>127432.17305000001</v>
      </c>
      <c r="H70">
        <f>(PhiMayCanMang(H67*2,$C$15/100,$D$15/100) + PhiMangCan(H67*2,$C$15/100,$D$15/100,$D$21))*(1+$D$17)</f>
        <v>148671.65302500001</v>
      </c>
      <c r="I70">
        <f>(PhiMayCanMang(I67*2,$C$15/100,$D$15/100) + PhiMangCan(I67*2,$C$15/100,$D$15/100,$D$21))*(1+$D$17)</f>
        <v>169911.137025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230000</v>
      </c>
      <c r="F72" s="25">
        <f t="shared" ref="F72:I72" si="26">LamChanHangNgan(F68+F69+F71)</f>
        <v>372000</v>
      </c>
      <c r="G72" s="25">
        <f t="shared" si="26"/>
        <v>515000</v>
      </c>
      <c r="H72" s="25">
        <f t="shared" si="26"/>
        <v>657000</v>
      </c>
      <c r="I72" s="25">
        <f t="shared" si="26"/>
        <v>800000</v>
      </c>
    </row>
    <row r="73" spans="1:9" x14ac:dyDescent="0.25">
      <c r="C73" t="s">
        <v>330</v>
      </c>
      <c r="E73" s="25">
        <f>LamChanHangNgan(E68+E69+E70+E71)</f>
        <v>315000</v>
      </c>
      <c r="F73" s="25">
        <f t="shared" ref="F73:I73" si="27">LamChanHangNgan(F68+F69+F70+F71)</f>
        <v>479000</v>
      </c>
      <c r="G73" s="25">
        <f t="shared" si="27"/>
        <v>642000</v>
      </c>
      <c r="H73" s="25">
        <f t="shared" si="27"/>
        <v>806000</v>
      </c>
      <c r="I73" s="25">
        <f t="shared" si="27"/>
        <v>970000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C15ADB8B-D963-4456-A3FC-1BE871552D7E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C7DA20C9-E8F0-49C0-BC31-3DE518684D2E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AAE3BBCE-F9FB-4ED5-922A-4C095241C14E}">
      <formula1>OFFSET(GIA_MANG,1,0,,1)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A82D8-D6F7-4934-B112-8E2CE00527CB}">
  <sheetPr codeName="Trang_tính15"/>
  <dimension ref="A1:M28"/>
  <sheetViews>
    <sheetView workbookViewId="0">
      <selection activeCell="E25" sqref="E25"/>
    </sheetView>
  </sheetViews>
  <sheetFormatPr defaultRowHeight="15" x14ac:dyDescent="0.25"/>
  <cols>
    <col min="4" max="4" width="13.42578125" bestFit="1" customWidth="1"/>
    <col min="5" max="9" width="12.140625" bestFit="1" customWidth="1"/>
  </cols>
  <sheetData>
    <row r="1" spans="1:13" x14ac:dyDescent="0.25">
      <c r="A1" t="s">
        <v>364</v>
      </c>
    </row>
    <row r="2" spans="1:13" x14ac:dyDescent="0.25">
      <c r="A2" t="s">
        <v>365</v>
      </c>
      <c r="D2" t="s">
        <v>366</v>
      </c>
    </row>
    <row r="3" spans="1:13" x14ac:dyDescent="0.25">
      <c r="A3" t="s">
        <v>367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45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D25" t="s">
        <v>363</v>
      </c>
      <c r="E25" s="7">
        <f>PhiLDPT_XepDotVoCuonLX(E$23)+$B$41*$C$13/100</f>
        <v>13000</v>
      </c>
      <c r="F25" s="7">
        <f t="shared" ref="F25:I26" si="0">PhiLDPT_XepDotVoCuonLX(F$23)+$B$41*$C$13/100</f>
        <v>13000</v>
      </c>
      <c r="G25" s="7">
        <f t="shared" si="0"/>
        <v>13000</v>
      </c>
      <c r="H25" s="7">
        <f t="shared" si="0"/>
        <v>13000</v>
      </c>
      <c r="I25" s="7">
        <f t="shared" si="0"/>
        <v>13000</v>
      </c>
    </row>
    <row r="26" spans="1:9" x14ac:dyDescent="0.25">
      <c r="D26" t="s">
        <v>316</v>
      </c>
      <c r="E26" s="7">
        <f>PhiLDPT_XepDotVoCuonLX(E$23)+$B$41*$C$13/100</f>
        <v>13000</v>
      </c>
      <c r="F26" s="7">
        <f t="shared" si="0"/>
        <v>13000</v>
      </c>
      <c r="G26" s="7">
        <f t="shared" si="0"/>
        <v>13000</v>
      </c>
      <c r="H26" s="7">
        <f t="shared" si="0"/>
        <v>13000</v>
      </c>
      <c r="I26" s="7">
        <f t="shared" si="0"/>
        <v>13000</v>
      </c>
    </row>
    <row r="27" spans="1:9" x14ac:dyDescent="0.25">
      <c r="D27" t="s">
        <v>317</v>
      </c>
      <c r="E27" s="7">
        <f>E$41*(1+$D$17)</f>
        <v>0</v>
      </c>
      <c r="F27" s="7">
        <f t="shared" ref="F27:I27" si="1">F$41*(1+$D$17)</f>
        <v>0</v>
      </c>
      <c r="G27" s="7">
        <f t="shared" si="1"/>
        <v>0</v>
      </c>
      <c r="H27" s="7">
        <f t="shared" si="1"/>
        <v>0</v>
      </c>
      <c r="I27" s="7">
        <f t="shared" si="1"/>
        <v>0</v>
      </c>
    </row>
    <row r="28" spans="1:9" x14ac:dyDescent="0.25">
      <c r="D28" t="s">
        <v>318</v>
      </c>
      <c r="E28">
        <v>50000</v>
      </c>
      <c r="F28">
        <v>50000</v>
      </c>
      <c r="G28">
        <v>50000</v>
      </c>
      <c r="H28">
        <v>50000</v>
      </c>
      <c r="I28">
        <v>50000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9" xr:uid="{FC5355D7-D5EC-4D75-B2B2-2A42BD8870A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30DBB26F-380C-43D5-A9B0-A2B923A091CB}">
      <formula1>OFFSET(KHO_CAT_SAN_PHAM,1,0,,1)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B1D87-A2DA-4881-AD2C-713C99050DC6}">
  <sheetPr codeName="Trang_tính17"/>
  <dimension ref="A1:I73"/>
  <sheetViews>
    <sheetView topLeftCell="A19" workbookViewId="0">
      <selection activeCell="K26" sqref="K26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15</v>
      </c>
      <c r="C13">
        <v>19</v>
      </c>
      <c r="D13">
        <v>0.3</v>
      </c>
      <c r="E13">
        <v>0</v>
      </c>
      <c r="F13">
        <f>$B13+$E13+$D13*2</f>
        <v>15.6</v>
      </c>
      <c r="G13">
        <f>$C13+$D13*2</f>
        <v>19.600000000000001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4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15</v>
      </c>
      <c r="F25">
        <f t="shared" ref="F25:I25" si="0">($A25*F$24/2)/$D$16</f>
        <v>30</v>
      </c>
      <c r="G25">
        <f t="shared" si="0"/>
        <v>45</v>
      </c>
      <c r="H25">
        <f t="shared" si="0"/>
        <v>60</v>
      </c>
      <c r="I25">
        <f t="shared" si="0"/>
        <v>75</v>
      </c>
    </row>
    <row r="26" spans="1:9" x14ac:dyDescent="0.25">
      <c r="C26" t="s">
        <v>306</v>
      </c>
      <c r="E26" s="7">
        <f>PhiInKM4M_BHR70(E$25*$E$16*2)*(1+$D$17)</f>
        <v>161000</v>
      </c>
      <c r="F26" s="7">
        <f>PhiInKM4M_BHR70(F$25*$E$16*2)*(1+$D$17)</f>
        <v>234500</v>
      </c>
      <c r="G26" s="7">
        <f>PhiInKM4M_BHR70(G$25*$E$16*2)*(1+$D$17)</f>
        <v>308000</v>
      </c>
      <c r="H26" s="7">
        <f>PhiInKM4M_BHR70(H$25*$E$16*2)*(1+$D$17)</f>
        <v>381500</v>
      </c>
      <c r="I26" s="7">
        <f>PhiInKM4M_BHR70(I$25*$E$16*2)*(1+$D$17)</f>
        <v>455000</v>
      </c>
    </row>
    <row r="27" spans="1:9" x14ac:dyDescent="0.25">
      <c r="C27" t="s">
        <v>333</v>
      </c>
      <c r="E27" s="7">
        <f>E$25*$D$19*(1+$D$17)</f>
        <v>33390</v>
      </c>
      <c r="F27" s="7">
        <f>F$25*$D$19*(1+$D$17)</f>
        <v>66780</v>
      </c>
      <c r="G27" s="7">
        <f t="shared" ref="G27:I27" si="1">G$25*$D$19*(1+$D$17)</f>
        <v>100170</v>
      </c>
      <c r="H27" s="7">
        <f t="shared" si="1"/>
        <v>133560</v>
      </c>
      <c r="I27" s="7">
        <f t="shared" si="1"/>
        <v>166950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79983.043174999999</v>
      </c>
      <c r="F28" s="7">
        <f>(PhiMayCanMang(F$25*2,$C$15/100,$D$15/100) + PhiMangCan(F$25*2,$C$15/100,$D$15/100,$D$21))*(1+$D$17)</f>
        <v>95799.419800000003</v>
      </c>
      <c r="G28" s="7">
        <f>(PhiMayCanMang(G$25*2,$C$15/100,$D$15/100) + PhiMangCan(G$25*2,$C$15/100,$D$15/100,$D$21))*(1+$D$17)</f>
        <v>111615.79449999999</v>
      </c>
      <c r="H28" s="7">
        <f>(PhiMayCanMang(H$25*2,$C$15/100,$D$15/100) + PhiMangCan(H$25*2,$C$15/100,$D$15/100,$D$21))*(1+$D$17)</f>
        <v>127432.17305000001</v>
      </c>
      <c r="I28" s="7">
        <f>(PhiMayCanMang(I$25*2,$C$15/100,$D$15/100) + PhiMangCan(I$25*2,$C$15/100,$D$15/100,$D$21))*(1+$D$17)</f>
        <v>143248.54792499999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194000</v>
      </c>
      <c r="F30" s="25">
        <f t="shared" ref="F30:I30" si="2">LamChanHangNgan(F$26+F$27+F$29)</f>
        <v>301000</v>
      </c>
      <c r="G30" s="25">
        <f t="shared" si="2"/>
        <v>408000</v>
      </c>
      <c r="H30" s="25">
        <f t="shared" si="2"/>
        <v>515000</v>
      </c>
      <c r="I30" s="25">
        <f t="shared" si="2"/>
        <v>621000</v>
      </c>
    </row>
    <row r="31" spans="1:9" x14ac:dyDescent="0.25">
      <c r="C31" t="s">
        <v>330</v>
      </c>
      <c r="E31" s="25">
        <f>LamChanHangNgan(E$26+E$27+E$28+E$29)</f>
        <v>274000</v>
      </c>
      <c r="F31" s="25">
        <f t="shared" ref="F31:I31" si="3">LamChanHangNgan(F$26+F$27+F$28+F$29)</f>
        <v>397000</v>
      </c>
      <c r="G31" s="25">
        <f t="shared" si="3"/>
        <v>519000</v>
      </c>
      <c r="H31" s="25">
        <f t="shared" si="3"/>
        <v>642000</v>
      </c>
      <c r="I31" s="25">
        <f t="shared" si="3"/>
        <v>765000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17.5</v>
      </c>
      <c r="F32">
        <f t="shared" ref="F32:I32" si="4">($A32*F$24/2)/$D$16</f>
        <v>35</v>
      </c>
      <c r="G32">
        <f t="shared" si="4"/>
        <v>52.5</v>
      </c>
      <c r="H32">
        <f t="shared" si="4"/>
        <v>70</v>
      </c>
      <c r="I32">
        <f t="shared" si="4"/>
        <v>87.5</v>
      </c>
    </row>
    <row r="33" spans="1:9" x14ac:dyDescent="0.25">
      <c r="C33" t="s">
        <v>306</v>
      </c>
      <c r="E33" s="26">
        <f>PhiInKM4M_BHR70(E32*$E$16*2)*(1+$D$17)</f>
        <v>173250</v>
      </c>
      <c r="F33" s="26">
        <f>PhiInKM4M_BHR70(F32*$E$16*2)*(1+$D$17)</f>
        <v>259000</v>
      </c>
      <c r="G33" s="26">
        <f>PhiInKM4M_BHR70(G32*$E$16*2)*(1+$D$17)</f>
        <v>344750</v>
      </c>
      <c r="H33" s="26">
        <f>PhiInKM4M_BHR70(H32*$E$16*2)*(1+$D$17)</f>
        <v>430500</v>
      </c>
      <c r="I33" s="26">
        <f>PhiInKM4M_BHR70(I32*$E$16*2)*(1+$D$17)</f>
        <v>516250</v>
      </c>
    </row>
    <row r="34" spans="1:9" x14ac:dyDescent="0.25">
      <c r="C34" t="s">
        <v>333</v>
      </c>
      <c r="E34" s="26">
        <f>E32*$D$19*(1+$D$17)</f>
        <v>38955</v>
      </c>
      <c r="F34" s="26">
        <f t="shared" ref="F34:I34" si="5">F32*$D$19*(1+$D$17)</f>
        <v>77910</v>
      </c>
      <c r="G34" s="26">
        <f t="shared" si="5"/>
        <v>116865</v>
      </c>
      <c r="H34" s="26">
        <f t="shared" si="5"/>
        <v>155820</v>
      </c>
      <c r="I34" s="26">
        <f t="shared" si="5"/>
        <v>194775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82468.125249999997</v>
      </c>
      <c r="F35" s="26">
        <f>(PhiMayCanMang(F32*2,$C$15/100,$D$15/100) + PhiMangCan(F32*2,$C$15/100,$D$15/100,$D$21))*(1+$D$17)</f>
        <v>101222.52525000001</v>
      </c>
      <c r="G35" s="26">
        <f>(PhiMayCanMang(G32*2,$C$15/100,$D$15/100) + PhiMangCan(G32*2,$C$15/100,$D$15/100,$D$21))*(1+$D$17)</f>
        <v>119523.98377500002</v>
      </c>
      <c r="H35" s="26">
        <f>(PhiMayCanMang(H32*2,$C$15/100,$D$15/100) + PhiMangCan(H32*2,$C$15/100,$D$15/100,$D$21))*(1+$D$17)</f>
        <v>138278.3836</v>
      </c>
      <c r="I35" s="26">
        <f>(PhiMayCanMang(I32*2,$C$15/100,$D$15/100) + PhiMangCan(I32*2,$C$15/100,$D$15/100,$D$21))*(1+$D$17)</f>
        <v>156579.84230000002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212000</v>
      </c>
      <c r="F37" s="42">
        <f t="shared" ref="F37:I37" si="6">LamChanHangNgan(F33+F34+F36)</f>
        <v>336000</v>
      </c>
      <c r="G37" s="42">
        <f t="shared" si="6"/>
        <v>461000</v>
      </c>
      <c r="H37" s="42">
        <f t="shared" si="6"/>
        <v>586000</v>
      </c>
      <c r="I37" s="42">
        <f t="shared" si="6"/>
        <v>711000</v>
      </c>
    </row>
    <row r="38" spans="1:9" x14ac:dyDescent="0.25">
      <c r="C38" t="s">
        <v>330</v>
      </c>
      <c r="E38" s="42">
        <f>LamChanHangNgan(E33+E34+E35+E36)</f>
        <v>294000</v>
      </c>
      <c r="F38" s="42">
        <f t="shared" ref="F38:I38" si="7">LamChanHangNgan(F33+F34+F35+F36)</f>
        <v>438000</v>
      </c>
      <c r="G38" s="42">
        <f t="shared" si="7"/>
        <v>581000</v>
      </c>
      <c r="H38" s="42">
        <f t="shared" si="7"/>
        <v>724000</v>
      </c>
      <c r="I38" s="42">
        <f t="shared" si="7"/>
        <v>867000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20</v>
      </c>
      <c r="F39">
        <f t="shared" ref="F39:I39" si="8">($A39*F$24/2)/$D$16</f>
        <v>40</v>
      </c>
      <c r="G39">
        <f t="shared" si="8"/>
        <v>60</v>
      </c>
      <c r="H39">
        <f t="shared" si="8"/>
        <v>80</v>
      </c>
      <c r="I39">
        <f t="shared" si="8"/>
        <v>100</v>
      </c>
    </row>
    <row r="40" spans="1:9" x14ac:dyDescent="0.25">
      <c r="C40" t="s">
        <v>306</v>
      </c>
      <c r="E40">
        <f>PhiInKM4M_BHR70(E39*$E$16*2)*(1+$D$17)</f>
        <v>185500</v>
      </c>
      <c r="F40">
        <f>PhiInKM4M_BHR70(F39*$E$16*2)*(1+$D$17)</f>
        <v>283500</v>
      </c>
      <c r="G40">
        <f>PhiInKM4M_BHR70(G39*$E$16*2)*(1+$D$17)</f>
        <v>381500</v>
      </c>
      <c r="H40">
        <f>PhiInKM4M_BHR70(H39*$E$16*2)*(1+$D$17)</f>
        <v>479500</v>
      </c>
      <c r="I40">
        <f>PhiInKM4M_BHR70(I39*$E$16*2)*(1+$D$17)</f>
        <v>577500</v>
      </c>
    </row>
    <row r="41" spans="1:9" x14ac:dyDescent="0.25">
      <c r="C41" t="s">
        <v>333</v>
      </c>
      <c r="E41">
        <f>E39*$D$19*(1+$D$17)</f>
        <v>44520</v>
      </c>
      <c r="F41">
        <f t="shared" ref="F41:I41" si="9">F39*$D$19*(1+$D$17)</f>
        <v>89040</v>
      </c>
      <c r="G41">
        <f t="shared" si="9"/>
        <v>133560</v>
      </c>
      <c r="H41">
        <f t="shared" si="9"/>
        <v>178080</v>
      </c>
      <c r="I41">
        <f t="shared" si="9"/>
        <v>222600</v>
      </c>
    </row>
    <row r="42" spans="1:9" x14ac:dyDescent="0.25">
      <c r="C42" t="s">
        <v>310</v>
      </c>
      <c r="E42">
        <f>(PhiMayCanMang(E39*2,$C$15/100,$D$15/100) + PhiMangCan(E39*2,$C$15/100,$D$15/100,$D$21))*(1+$D$17)</f>
        <v>85406.148625000002</v>
      </c>
      <c r="F42">
        <f>(PhiMayCanMang(F39*2,$C$15/100,$D$15/100) + PhiMangCan(F39*2,$C$15/100,$D$15/100,$D$21))*(1+$D$17)</f>
        <v>106645.63035000001</v>
      </c>
      <c r="G42">
        <f>(PhiMayCanMang(G39*2,$C$15/100,$D$15/100) + PhiMangCan(G39*2,$C$15/100,$D$15/100,$D$21))*(1+$D$17)</f>
        <v>127432.17305000001</v>
      </c>
      <c r="H42">
        <f>(PhiMayCanMang(H39*2,$C$15/100,$D$15/100) + PhiMangCan(H39*2,$C$15/100,$D$15/100,$D$21))*(1+$D$17)</f>
        <v>148671.65302500001</v>
      </c>
      <c r="I42">
        <f>(PhiMayCanMang(I39*2,$C$15/100,$D$15/100) + PhiMangCan(I39*2,$C$15/100,$D$15/100,$D$21))*(1+$D$17)</f>
        <v>169911.137025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230000</v>
      </c>
      <c r="F44" s="25">
        <f t="shared" ref="F44:I44" si="10">LamChanHangNgan(F40+F41+F43)</f>
        <v>372000</v>
      </c>
      <c r="G44" s="25">
        <f t="shared" si="10"/>
        <v>515000</v>
      </c>
      <c r="H44" s="25">
        <f t="shared" si="10"/>
        <v>657000</v>
      </c>
      <c r="I44" s="25">
        <f t="shared" si="10"/>
        <v>800000</v>
      </c>
    </row>
    <row r="45" spans="1:9" x14ac:dyDescent="0.25">
      <c r="C45" t="s">
        <v>330</v>
      </c>
      <c r="E45" s="25">
        <f>LamChanHangNgan(E40+E41+E42+E43)</f>
        <v>315000</v>
      </c>
      <c r="F45" s="25">
        <f t="shared" ref="F45:I45" si="11">LamChanHangNgan(F40+F41+F42+F43)</f>
        <v>479000</v>
      </c>
      <c r="G45" s="25">
        <f t="shared" si="11"/>
        <v>642000</v>
      </c>
      <c r="H45" s="25">
        <f t="shared" si="11"/>
        <v>806000</v>
      </c>
      <c r="I45" s="25">
        <f t="shared" si="11"/>
        <v>970000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22.5</v>
      </c>
      <c r="F46">
        <f t="shared" ref="F46:I46" si="12">($A46*F$24/2)/$D$16</f>
        <v>45</v>
      </c>
      <c r="G46">
        <f t="shared" si="12"/>
        <v>67.5</v>
      </c>
      <c r="H46">
        <f t="shared" si="12"/>
        <v>90</v>
      </c>
      <c r="I46">
        <f t="shared" si="12"/>
        <v>112.5</v>
      </c>
    </row>
    <row r="47" spans="1:9" x14ac:dyDescent="0.25">
      <c r="C47" t="s">
        <v>306</v>
      </c>
      <c r="E47">
        <f>PhiInKM4M_BHR70(E46*$E$16*2)*(1+$D$17)</f>
        <v>197750</v>
      </c>
      <c r="F47">
        <f>PhiInKM4M_BHR70(F46*$E$16*2)*(1+$D$17)</f>
        <v>308000</v>
      </c>
      <c r="G47">
        <f>PhiInKM4M_BHR70(G46*$E$16*2)*(1+$D$17)</f>
        <v>418250</v>
      </c>
      <c r="H47">
        <f>PhiInKM4M_BHR70(H46*$E$16*2)*(1+$D$17)</f>
        <v>528500</v>
      </c>
      <c r="I47">
        <f>PhiInKM4M_BHR70(I46*$E$16*2)*(1+$D$17)</f>
        <v>638750</v>
      </c>
    </row>
    <row r="48" spans="1:9" x14ac:dyDescent="0.25">
      <c r="C48" t="s">
        <v>333</v>
      </c>
      <c r="E48">
        <f>E46*$D$19*(1+$D$17)</f>
        <v>50085</v>
      </c>
      <c r="F48">
        <f t="shared" ref="F48:I48" si="13">F46*$D$19*(1+$D$17)</f>
        <v>100170</v>
      </c>
      <c r="G48">
        <f t="shared" si="13"/>
        <v>150255</v>
      </c>
      <c r="H48">
        <f t="shared" si="13"/>
        <v>200340</v>
      </c>
      <c r="I48">
        <f t="shared" si="13"/>
        <v>250425</v>
      </c>
    </row>
    <row r="49" spans="1:9" x14ac:dyDescent="0.25">
      <c r="C49" t="s">
        <v>310</v>
      </c>
      <c r="E49">
        <f>(PhiMayCanMang(E46*2,$C$15/100,$D$15/100) + PhiMangCan(E46*2,$C$15/100,$D$15/100,$D$21))*(1+$D$17)</f>
        <v>87891.230525000006</v>
      </c>
      <c r="F49">
        <f>(PhiMayCanMang(F46*2,$C$15/100,$D$15/100) + PhiMangCan(F46*2,$C$15/100,$D$15/100,$D$21))*(1+$D$17)</f>
        <v>111615.79449999999</v>
      </c>
      <c r="G49">
        <f>(PhiMayCanMang(G46*2,$C$15/100,$D$15/100) + PhiMangCan(G46*2,$C$15/100,$D$15/100,$D$21))*(1+$D$17)</f>
        <v>135340.35847499999</v>
      </c>
      <c r="H49">
        <f>(PhiMayCanMang(H46*2,$C$15/100,$D$15/100) + PhiMangCan(H46*2,$C$15/100,$D$15/100,$D$21))*(1+$D$17)</f>
        <v>159517.863575</v>
      </c>
      <c r="I49">
        <f>(PhiMayCanMang(I46*2,$C$15/100,$D$15/100) + PhiMangCan(I46*2,$C$15/100,$D$15/100,$D$21))*(1+$D$17)</f>
        <v>183242.431575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247000</v>
      </c>
      <c r="F51" s="25">
        <f t="shared" ref="F51:I51" si="14">LamChanHangNgan(F47+F48+F50)</f>
        <v>408000</v>
      </c>
      <c r="G51" s="25">
        <f t="shared" si="14"/>
        <v>568000</v>
      </c>
      <c r="H51" s="25">
        <f t="shared" si="14"/>
        <v>728000</v>
      </c>
      <c r="I51" s="25">
        <f t="shared" si="14"/>
        <v>889000</v>
      </c>
    </row>
    <row r="52" spans="1:9" x14ac:dyDescent="0.25">
      <c r="C52" t="s">
        <v>330</v>
      </c>
      <c r="E52" s="25">
        <f>LamChanHangNgan(E47+E48+E49+E50)</f>
        <v>335000</v>
      </c>
      <c r="F52" s="25">
        <f t="shared" ref="F52:I52" si="15">LamChanHangNgan(F47+F48+F49+F50)</f>
        <v>519000</v>
      </c>
      <c r="G52" s="25">
        <f t="shared" si="15"/>
        <v>703000</v>
      </c>
      <c r="H52" s="25">
        <f t="shared" si="15"/>
        <v>888000</v>
      </c>
      <c r="I52" s="25">
        <f t="shared" si="15"/>
        <v>1072000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25</v>
      </c>
      <c r="F53">
        <f t="shared" ref="F53:I53" si="16">($A53*F$24/2)/$D$16</f>
        <v>50</v>
      </c>
      <c r="G53">
        <f t="shared" si="16"/>
        <v>75</v>
      </c>
      <c r="H53">
        <f t="shared" si="16"/>
        <v>100</v>
      </c>
      <c r="I53">
        <f t="shared" si="16"/>
        <v>125</v>
      </c>
    </row>
    <row r="54" spans="1:9" x14ac:dyDescent="0.25">
      <c r="C54" t="s">
        <v>306</v>
      </c>
      <c r="E54">
        <f>PhiInKM4M_BHR70(E53*$E$16*2)*(1+$D$17)</f>
        <v>210000</v>
      </c>
      <c r="F54">
        <f>PhiInKM4M_BHR70(F53*$E$16*2)*(1+$D$17)</f>
        <v>332500</v>
      </c>
      <c r="G54">
        <f>PhiInKM4M_BHR70(G53*$E$16*2)*(1+$D$17)</f>
        <v>455000</v>
      </c>
      <c r="H54">
        <f>PhiInKM4M_BHR70(H53*$E$16*2)*(1+$D$17)</f>
        <v>577500</v>
      </c>
      <c r="I54">
        <f>PhiInKM4M_BHR70(I53*$E$16*2)*(1+$D$17)</f>
        <v>700000</v>
      </c>
    </row>
    <row r="55" spans="1:9" x14ac:dyDescent="0.25">
      <c r="C55" t="s">
        <v>333</v>
      </c>
      <c r="E55">
        <f>E53*$D$19*(1+$D$17)</f>
        <v>55650</v>
      </c>
      <c r="F55">
        <f t="shared" ref="F55:I55" si="17">F53*$D$19*(1+$D$17)</f>
        <v>111300</v>
      </c>
      <c r="G55">
        <f t="shared" si="17"/>
        <v>166950</v>
      </c>
      <c r="H55">
        <f t="shared" si="17"/>
        <v>222600</v>
      </c>
      <c r="I55">
        <f t="shared" si="17"/>
        <v>278250</v>
      </c>
    </row>
    <row r="56" spans="1:9" x14ac:dyDescent="0.25">
      <c r="C56" t="s">
        <v>310</v>
      </c>
      <c r="E56">
        <f>(PhiMayCanMang(E53*2,$C$15/100,$D$15/100) + PhiMangCan(E53*2,$C$15/100,$D$15/100,$D$21))*(1+$D$17)</f>
        <v>90376.313649999996</v>
      </c>
      <c r="F56">
        <f>(PhiMayCanMang(F53*2,$C$15/100,$D$15/100) + PhiMangCan(F53*2,$C$15/100,$D$15/100,$D$21))*(1+$D$17)</f>
        <v>117038.901875</v>
      </c>
      <c r="G56">
        <f>(PhiMayCanMang(G53*2,$C$15/100,$D$15/100) + PhiMangCan(G53*2,$C$15/100,$D$15/100,$D$21))*(1+$D$17)</f>
        <v>143248.54792499999</v>
      </c>
      <c r="H56">
        <f>(PhiMayCanMang(H53*2,$C$15/100,$D$15/100) + PhiMangCan(H53*2,$C$15/100,$D$15/100,$D$21))*(1+$D$17)</f>
        <v>169911.137025</v>
      </c>
      <c r="I56">
        <f>(PhiMayCanMang(I53*2,$C$15/100,$D$15/100) + PhiMangCan(I53*2,$C$15/100,$D$15/100,$D$21))*(1+$D$17)</f>
        <v>196120.780975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265000</v>
      </c>
      <c r="F58" s="25">
        <f t="shared" ref="F58:I58" si="18">LamChanHangNgan(F54+F55+F57)</f>
        <v>443000</v>
      </c>
      <c r="G58" s="25">
        <f t="shared" si="18"/>
        <v>621000</v>
      </c>
      <c r="H58" s="25">
        <f t="shared" si="18"/>
        <v>800000</v>
      </c>
      <c r="I58" s="25">
        <f t="shared" si="18"/>
        <v>978000</v>
      </c>
    </row>
    <row r="59" spans="1:9" ht="14.25" customHeight="1" x14ac:dyDescent="0.25">
      <c r="C59" t="s">
        <v>330</v>
      </c>
      <c r="E59" s="25">
        <f>LamChanHangNgan(E54+E55+E56+E57)</f>
        <v>356000</v>
      </c>
      <c r="F59" s="25">
        <f t="shared" ref="F59:I59" si="19">LamChanHangNgan(F54+F55+F56+F57)</f>
        <v>560000</v>
      </c>
      <c r="G59" s="25">
        <f t="shared" si="19"/>
        <v>765000</v>
      </c>
      <c r="H59" s="25">
        <f t="shared" si="19"/>
        <v>970000</v>
      </c>
      <c r="I59" s="25">
        <f t="shared" si="19"/>
        <v>1174000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27.5</v>
      </c>
      <c r="F60">
        <f t="shared" ref="F60:I60" si="20">($A60*F$24/2)/$D$16</f>
        <v>55</v>
      </c>
      <c r="G60">
        <f t="shared" si="20"/>
        <v>82.5</v>
      </c>
      <c r="H60">
        <f t="shared" si="20"/>
        <v>110</v>
      </c>
      <c r="I60">
        <f t="shared" si="20"/>
        <v>137.5</v>
      </c>
    </row>
    <row r="61" spans="1:9" x14ac:dyDescent="0.25">
      <c r="C61" t="s">
        <v>306</v>
      </c>
      <c r="E61">
        <f>PhiInKM4M_BHR70(E60*$E$16*2)*(1+$D$17)</f>
        <v>222250</v>
      </c>
      <c r="F61">
        <f>PhiInKM4M_BHR70(F60*$E$16*2)*(1+$D$17)</f>
        <v>357000</v>
      </c>
      <c r="G61">
        <f>PhiInKM4M_BHR70(G60*$E$16*2)*(1+$D$17)</f>
        <v>491750</v>
      </c>
      <c r="H61">
        <f>PhiInKM4M_BHR70(H60*$E$16*2)*(1+$D$17)</f>
        <v>626500</v>
      </c>
      <c r="I61">
        <f>PhiInKM4M_BHR70(I60*$E$16*2)*(1+$D$17)</f>
        <v>761250</v>
      </c>
    </row>
    <row r="62" spans="1:9" x14ac:dyDescent="0.25">
      <c r="C62" t="s">
        <v>333</v>
      </c>
      <c r="E62">
        <f>E60*$D$19*(1+$D$17)</f>
        <v>61215</v>
      </c>
      <c r="F62">
        <f t="shared" ref="F62:I62" si="21">F60*$D$19*(1+$D$17)</f>
        <v>122430</v>
      </c>
      <c r="G62">
        <f t="shared" si="21"/>
        <v>183645</v>
      </c>
      <c r="H62">
        <f t="shared" si="21"/>
        <v>244860</v>
      </c>
      <c r="I62">
        <f t="shared" si="21"/>
        <v>306075</v>
      </c>
    </row>
    <row r="63" spans="1:9" x14ac:dyDescent="0.25">
      <c r="C63" t="s">
        <v>310</v>
      </c>
      <c r="E63">
        <f>(PhiMayCanMang(E60*2,$C$15/100,$D$15/100) + PhiMangCan(E60*2,$C$15/100,$D$15/100,$D$21))*(1+$D$17)</f>
        <v>93314.335800000001</v>
      </c>
      <c r="F63">
        <f>(PhiMayCanMang(F60*2,$C$15/100,$D$15/100) + PhiMangCan(F60*2,$C$15/100,$D$15/100,$D$21))*(1+$D$17)</f>
        <v>122462.00505000001</v>
      </c>
      <c r="G63">
        <f>(PhiMayCanMang(G60*2,$C$15/100,$D$15/100) + PhiMangCan(G60*2,$C$15/100,$D$15/100,$D$21))*(1+$D$17)</f>
        <v>151609.67832499999</v>
      </c>
      <c r="H63">
        <f>(PhiMayCanMang(H60*2,$C$15/100,$D$15/100) + PhiMangCan(H60*2,$C$15/100,$D$15/100,$D$21))*(1+$D$17)</f>
        <v>180304.40224999998</v>
      </c>
      <c r="I63">
        <f>(PhiMayCanMang(I60*2,$C$15/100,$D$15/100) + PhiMangCan(I60*2,$C$15/100,$D$15/100,$D$21))*(1+$D$17)</f>
        <v>209452.07954999999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283000</v>
      </c>
      <c r="F65" s="25">
        <f t="shared" ref="F65:I65" si="22">LamChanHangNgan(F61+F62+F64)</f>
        <v>479000</v>
      </c>
      <c r="G65" s="25">
        <f t="shared" si="22"/>
        <v>675000</v>
      </c>
      <c r="H65" s="25">
        <f t="shared" si="22"/>
        <v>871000</v>
      </c>
      <c r="I65" s="25">
        <f t="shared" si="22"/>
        <v>1067000</v>
      </c>
    </row>
    <row r="66" spans="1:9" x14ac:dyDescent="0.25">
      <c r="C66" t="s">
        <v>330</v>
      </c>
      <c r="E66" s="25">
        <f>LamChanHangNgan(E61+E62+E63+E64)</f>
        <v>376000</v>
      </c>
      <c r="F66" s="25">
        <f t="shared" ref="F66:I66" si="23">LamChanHangNgan(F61+F62+F63+F64)</f>
        <v>601000</v>
      </c>
      <c r="G66" s="25">
        <f t="shared" si="23"/>
        <v>827000</v>
      </c>
      <c r="H66" s="25">
        <f t="shared" si="23"/>
        <v>1051000</v>
      </c>
      <c r="I66" s="25">
        <f t="shared" si="23"/>
        <v>1276000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30</v>
      </c>
      <c r="F67">
        <f t="shared" ref="F67:I67" si="24">($A67*F$24/2)/$D$16</f>
        <v>60</v>
      </c>
      <c r="G67">
        <f t="shared" si="24"/>
        <v>90</v>
      </c>
      <c r="H67">
        <f t="shared" si="24"/>
        <v>120</v>
      </c>
      <c r="I67">
        <f t="shared" si="24"/>
        <v>150</v>
      </c>
    </row>
    <row r="68" spans="1:9" x14ac:dyDescent="0.25">
      <c r="C68" t="s">
        <v>306</v>
      </c>
      <c r="E68">
        <f>PhiInKM4M_BHR70(E67*$E$16*2)*(1+$D$17)</f>
        <v>234500</v>
      </c>
      <c r="F68">
        <f>PhiInKM4M_BHR70(F67*$E$16*2)*(1+$D$17)</f>
        <v>381500</v>
      </c>
      <c r="G68">
        <f>PhiInKM4M_BHR70(G67*$E$16*2)*(1+$D$17)</f>
        <v>528500</v>
      </c>
      <c r="H68">
        <f>PhiInKM4M_BHR70(H67*$E$16*2)*(1+$D$17)</f>
        <v>675500</v>
      </c>
      <c r="I68">
        <f>PhiInKM4M_BHR70(I67*$E$16*2)*(1+$D$17)</f>
        <v>822500</v>
      </c>
    </row>
    <row r="69" spans="1:9" x14ac:dyDescent="0.25">
      <c r="C69" t="s">
        <v>333</v>
      </c>
      <c r="E69">
        <f>E67*$D$19*(1+$D$17)</f>
        <v>66780</v>
      </c>
      <c r="F69">
        <f t="shared" ref="F69:I69" si="25">F67*$D$19*(1+$D$17)</f>
        <v>133560</v>
      </c>
      <c r="G69">
        <f t="shared" si="25"/>
        <v>200340</v>
      </c>
      <c r="H69">
        <f t="shared" si="25"/>
        <v>267120</v>
      </c>
      <c r="I69">
        <f t="shared" si="25"/>
        <v>333900</v>
      </c>
    </row>
    <row r="70" spans="1:9" x14ac:dyDescent="0.25">
      <c r="C70" t="s">
        <v>310</v>
      </c>
      <c r="E70">
        <f>(PhiMayCanMang(E67*2,$C$15/100,$D$15/100) + PhiMangCan(E67*2,$C$15/100,$D$15/100,$D$21))*(1+$D$17)</f>
        <v>95799.419800000003</v>
      </c>
      <c r="F70">
        <f>(PhiMayCanMang(F67*2,$C$15/100,$D$15/100) + PhiMangCan(F67*2,$C$15/100,$D$15/100,$D$21))*(1+$D$17)</f>
        <v>127432.17305000001</v>
      </c>
      <c r="G70">
        <f>(PhiMayCanMang(G67*2,$C$15/100,$D$15/100) + PhiMangCan(G67*2,$C$15/100,$D$15/100,$D$21))*(1+$D$17)</f>
        <v>159517.863575</v>
      </c>
      <c r="H70">
        <f>(PhiMayCanMang(H67*2,$C$15/100,$D$15/100) + PhiMangCan(H67*2,$C$15/100,$D$15/100,$D$21))*(1+$D$17)</f>
        <v>191150.62084999998</v>
      </c>
      <c r="I70">
        <f>(PhiMayCanMang(I67*2,$C$15/100,$D$15/100) + PhiMangCan(I67*2,$C$15/100,$D$15/100,$D$21))*(1+$D$17)</f>
        <v>222783.37007499998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301000</v>
      </c>
      <c r="F72" s="25">
        <f t="shared" ref="F72:I72" si="26">LamChanHangNgan(F68+F69+F71)</f>
        <v>515000</v>
      </c>
      <c r="G72" s="25">
        <f t="shared" si="26"/>
        <v>728000</v>
      </c>
      <c r="H72" s="25">
        <f t="shared" si="26"/>
        <v>942000</v>
      </c>
      <c r="I72" s="25">
        <f t="shared" si="26"/>
        <v>1156000</v>
      </c>
    </row>
    <row r="73" spans="1:9" x14ac:dyDescent="0.25">
      <c r="C73" t="s">
        <v>330</v>
      </c>
      <c r="E73" s="25">
        <f>LamChanHangNgan(E68+E69+E70+E71)</f>
        <v>397000</v>
      </c>
      <c r="F73" s="25">
        <f t="shared" ref="F73:I73" si="27">LamChanHangNgan(F68+F69+F70+F71)</f>
        <v>642000</v>
      </c>
      <c r="G73" s="25">
        <f t="shared" si="27"/>
        <v>888000</v>
      </c>
      <c r="H73" s="25">
        <f t="shared" si="27"/>
        <v>1133000</v>
      </c>
      <c r="I73" s="25">
        <f t="shared" si="27"/>
        <v>1379000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676ACABF-ABC4-4E34-84C4-770BA55DA6D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59B54508-4DDF-445C-B6FE-85FF79F2FBC0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4E7E932A-1E9F-4872-8EB4-564B061591AC}">
      <formula1>OFFSET(GIA_GIAY_CO_BAN,1,0,,1)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422E8-40C3-44C4-9650-8FCA3418DEC1}">
  <sheetPr codeName="Trang_tính18"/>
  <dimension ref="A1:I73"/>
  <sheetViews>
    <sheetView topLeftCell="A15" workbookViewId="0">
      <selection activeCell="D29" sqref="D29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19</v>
      </c>
      <c r="C13">
        <v>30</v>
      </c>
      <c r="D13">
        <v>0.3</v>
      </c>
      <c r="E13">
        <v>0</v>
      </c>
      <c r="F13">
        <f>$B13+$E13+$D13*2</f>
        <v>19.600000000000001</v>
      </c>
      <c r="G13">
        <f>$C13+$D13*2</f>
        <v>30.6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301000</v>
      </c>
      <c r="F30" s="25">
        <f t="shared" ref="F30:I30" si="2">LamChanHangNgan(F$26+F$27+F$29)</f>
        <v>515000</v>
      </c>
      <c r="G30" s="25">
        <f t="shared" si="2"/>
        <v>728000</v>
      </c>
      <c r="H30" s="25">
        <f t="shared" si="2"/>
        <v>942000</v>
      </c>
      <c r="I30" s="25">
        <f t="shared" si="2"/>
        <v>1156000</v>
      </c>
    </row>
    <row r="31" spans="1:9" x14ac:dyDescent="0.25">
      <c r="C31" t="s">
        <v>330</v>
      </c>
      <c r="E31" s="25">
        <f>LamChanHangNgan(E$26+E$27+E$28+E$29)</f>
        <v>397000</v>
      </c>
      <c r="F31" s="25">
        <f t="shared" ref="F31:I31" si="3">LamChanHangNgan(F$26+F$27+F$28+F$29)</f>
        <v>642000</v>
      </c>
      <c r="G31" s="25">
        <f t="shared" si="3"/>
        <v>888000</v>
      </c>
      <c r="H31" s="25">
        <f t="shared" si="3"/>
        <v>1133000</v>
      </c>
      <c r="I31" s="25">
        <f t="shared" si="3"/>
        <v>1379000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4">($A32*F$24/2)/$D$16</f>
        <v>70</v>
      </c>
      <c r="G32">
        <f t="shared" si="4"/>
        <v>105</v>
      </c>
      <c r="H32">
        <f t="shared" si="4"/>
        <v>140</v>
      </c>
      <c r="I32">
        <f t="shared" si="4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5">F32*$D$19*(1+$D$17)</f>
        <v>155820</v>
      </c>
      <c r="G34" s="26">
        <f t="shared" si="5"/>
        <v>233730</v>
      </c>
      <c r="H34" s="26">
        <f t="shared" si="5"/>
        <v>311640</v>
      </c>
      <c r="I34" s="26">
        <f t="shared" si="5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336000</v>
      </c>
      <c r="F37" s="42">
        <f t="shared" ref="F37:I37" si="6">LamChanHangNgan(F33+F34+F36)</f>
        <v>586000</v>
      </c>
      <c r="G37" s="42">
        <f t="shared" si="6"/>
        <v>835000</v>
      </c>
      <c r="H37" s="42">
        <f t="shared" si="6"/>
        <v>1085000</v>
      </c>
      <c r="I37" s="42">
        <f t="shared" si="6"/>
        <v>1334000</v>
      </c>
    </row>
    <row r="38" spans="1:9" x14ac:dyDescent="0.25">
      <c r="C38" t="s">
        <v>330</v>
      </c>
      <c r="E38" s="42">
        <f>LamChanHangNgan(E33+E34+E35+E36)</f>
        <v>438000</v>
      </c>
      <c r="F38" s="42">
        <f t="shared" ref="F38:I38" si="7">LamChanHangNgan(F33+F34+F35+F36)</f>
        <v>724000</v>
      </c>
      <c r="G38" s="42">
        <f t="shared" si="7"/>
        <v>1011000</v>
      </c>
      <c r="H38" s="42">
        <f t="shared" si="7"/>
        <v>1297000</v>
      </c>
      <c r="I38" s="42">
        <f t="shared" si="7"/>
        <v>1583000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8">($A39*F$24/2)/$D$16</f>
        <v>80</v>
      </c>
      <c r="G39">
        <f t="shared" si="8"/>
        <v>120</v>
      </c>
      <c r="H39">
        <f t="shared" si="8"/>
        <v>160</v>
      </c>
      <c r="I39">
        <f t="shared" si="8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9">F39*$D$19*(1+$D$17)</f>
        <v>178080</v>
      </c>
      <c r="G41">
        <f t="shared" si="9"/>
        <v>267120</v>
      </c>
      <c r="H41">
        <f t="shared" si="9"/>
        <v>356160</v>
      </c>
      <c r="I41">
        <f t="shared" si="9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372000</v>
      </c>
      <c r="F44" s="25">
        <f t="shared" ref="F44:I44" si="10">LamChanHangNgan(F40+F41+F43)</f>
        <v>657000</v>
      </c>
      <c r="G44" s="25">
        <f t="shared" si="10"/>
        <v>942000</v>
      </c>
      <c r="H44" s="25">
        <f t="shared" si="10"/>
        <v>1227000</v>
      </c>
      <c r="I44" s="25">
        <f t="shared" si="10"/>
        <v>1512000</v>
      </c>
    </row>
    <row r="45" spans="1:9" x14ac:dyDescent="0.25">
      <c r="C45" t="s">
        <v>330</v>
      </c>
      <c r="E45" s="25">
        <f>LamChanHangNgan(E40+E41+E42+E43)</f>
        <v>479000</v>
      </c>
      <c r="F45" s="25">
        <f t="shared" ref="F45:I45" si="11">LamChanHangNgan(F40+F41+F42+F43)</f>
        <v>806000</v>
      </c>
      <c r="G45" s="25">
        <f t="shared" si="11"/>
        <v>1133000</v>
      </c>
      <c r="H45" s="25">
        <f t="shared" si="11"/>
        <v>1460000</v>
      </c>
      <c r="I45" s="25">
        <f t="shared" si="11"/>
        <v>1788000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2">($A46*F$24/2)/$D$16</f>
        <v>90</v>
      </c>
      <c r="G46">
        <f t="shared" si="12"/>
        <v>135</v>
      </c>
      <c r="H46">
        <f t="shared" si="12"/>
        <v>180</v>
      </c>
      <c r="I46">
        <f t="shared" si="12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3">F46*$D$19*(1+$D$17)</f>
        <v>200340</v>
      </c>
      <c r="G48">
        <f t="shared" si="13"/>
        <v>300510</v>
      </c>
      <c r="H48">
        <f t="shared" si="13"/>
        <v>400680</v>
      </c>
      <c r="I48">
        <f t="shared" si="13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408000</v>
      </c>
      <c r="F51" s="25">
        <f t="shared" ref="F51:I51" si="14">LamChanHangNgan(F47+F48+F50)</f>
        <v>728000</v>
      </c>
      <c r="G51" s="25">
        <f t="shared" si="14"/>
        <v>1049000</v>
      </c>
      <c r="H51" s="25">
        <f t="shared" si="14"/>
        <v>1370000</v>
      </c>
      <c r="I51" s="25">
        <f t="shared" si="14"/>
        <v>1690000</v>
      </c>
    </row>
    <row r="52" spans="1:9" x14ac:dyDescent="0.25">
      <c r="C52" t="s">
        <v>330</v>
      </c>
      <c r="E52" s="25">
        <f>LamChanHangNgan(E47+E48+E49+E50)</f>
        <v>519000</v>
      </c>
      <c r="F52" s="25">
        <f t="shared" ref="F52:I52" si="15">LamChanHangNgan(F47+F48+F49+F50)</f>
        <v>888000</v>
      </c>
      <c r="G52" s="25">
        <f t="shared" si="15"/>
        <v>1256000</v>
      </c>
      <c r="H52" s="25">
        <f t="shared" si="15"/>
        <v>1624000</v>
      </c>
      <c r="I52" s="25">
        <f t="shared" si="15"/>
        <v>1992000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16">($A53*F$24/2)/$D$16</f>
        <v>100</v>
      </c>
      <c r="G53">
        <f t="shared" si="16"/>
        <v>150</v>
      </c>
      <c r="H53">
        <f t="shared" si="16"/>
        <v>200</v>
      </c>
      <c r="I53">
        <f t="shared" si="1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17">F53*$D$19*(1+$D$17)</f>
        <v>222600</v>
      </c>
      <c r="G55">
        <f t="shared" si="17"/>
        <v>333900</v>
      </c>
      <c r="H55">
        <f t="shared" si="17"/>
        <v>445200</v>
      </c>
      <c r="I55">
        <f t="shared" si="1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443000</v>
      </c>
      <c r="F58" s="25">
        <f t="shared" ref="F58:I58" si="18">LamChanHangNgan(F54+F55+F57)</f>
        <v>800000</v>
      </c>
      <c r="G58" s="25">
        <f t="shared" si="18"/>
        <v>1156000</v>
      </c>
      <c r="H58" s="25">
        <f t="shared" si="18"/>
        <v>1512000</v>
      </c>
      <c r="I58" s="25">
        <f t="shared" si="18"/>
        <v>1869000</v>
      </c>
    </row>
    <row r="59" spans="1:9" ht="14.25" customHeight="1" x14ac:dyDescent="0.25">
      <c r="C59" t="s">
        <v>330</v>
      </c>
      <c r="E59" s="25">
        <f>LamChanHangNgan(E54+E55+E56+E57)</f>
        <v>560000</v>
      </c>
      <c r="F59" s="25">
        <f t="shared" ref="F59:I59" si="19">LamChanHangNgan(F54+F55+F56+F57)</f>
        <v>970000</v>
      </c>
      <c r="G59" s="25">
        <f t="shared" si="19"/>
        <v>1379000</v>
      </c>
      <c r="H59" s="25">
        <f t="shared" si="19"/>
        <v>1788000</v>
      </c>
      <c r="I59" s="25">
        <f t="shared" si="19"/>
        <v>2197000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20">($A60*F$24/2)/$D$16</f>
        <v>110</v>
      </c>
      <c r="G60">
        <f t="shared" si="20"/>
        <v>165</v>
      </c>
      <c r="H60">
        <f t="shared" si="20"/>
        <v>220</v>
      </c>
      <c r="I60">
        <f t="shared" si="20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21">F60*$D$19*(1+$D$17)</f>
        <v>244860</v>
      </c>
      <c r="G62">
        <f t="shared" si="21"/>
        <v>367290</v>
      </c>
      <c r="H62">
        <f t="shared" si="21"/>
        <v>489720</v>
      </c>
      <c r="I62">
        <f t="shared" si="21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479000</v>
      </c>
      <c r="F65" s="25">
        <f t="shared" ref="F65:I65" si="22">LamChanHangNgan(F61+F62+F64)</f>
        <v>871000</v>
      </c>
      <c r="G65" s="25">
        <f t="shared" si="22"/>
        <v>1263000</v>
      </c>
      <c r="H65" s="25">
        <f t="shared" si="22"/>
        <v>1655000</v>
      </c>
      <c r="I65" s="25">
        <f t="shared" si="22"/>
        <v>2047000</v>
      </c>
    </row>
    <row r="66" spans="1:9" x14ac:dyDescent="0.25">
      <c r="C66" t="s">
        <v>330</v>
      </c>
      <c r="E66" s="25">
        <f>LamChanHangNgan(E61+E62+E63+E64)</f>
        <v>601000</v>
      </c>
      <c r="F66" s="25">
        <f t="shared" ref="F66:I66" si="23">LamChanHangNgan(F61+F62+F63+F64)</f>
        <v>1051000</v>
      </c>
      <c r="G66" s="25">
        <f t="shared" si="23"/>
        <v>1501000</v>
      </c>
      <c r="H66" s="25">
        <f t="shared" si="23"/>
        <v>1952000</v>
      </c>
      <c r="I66" s="25">
        <f t="shared" si="23"/>
        <v>2401000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24">($A67*F$24/2)/$D$16</f>
        <v>120</v>
      </c>
      <c r="G67">
        <f t="shared" si="24"/>
        <v>180</v>
      </c>
      <c r="H67">
        <f t="shared" si="24"/>
        <v>240</v>
      </c>
      <c r="I67">
        <f t="shared" si="24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25">F67*$D$19*(1+$D$17)</f>
        <v>267120</v>
      </c>
      <c r="G69">
        <f t="shared" si="25"/>
        <v>400680</v>
      </c>
      <c r="H69">
        <f t="shared" si="25"/>
        <v>534240</v>
      </c>
      <c r="I69">
        <f t="shared" si="25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515000</v>
      </c>
      <c r="F72" s="25">
        <f t="shared" ref="F72:I72" si="26">LamChanHangNgan(F68+F69+F71)</f>
        <v>942000</v>
      </c>
      <c r="G72" s="25">
        <f t="shared" si="26"/>
        <v>1370000</v>
      </c>
      <c r="H72" s="25">
        <f t="shared" si="26"/>
        <v>1797000</v>
      </c>
      <c r="I72" s="25">
        <f t="shared" si="26"/>
        <v>2225000</v>
      </c>
    </row>
    <row r="73" spans="1:9" x14ac:dyDescent="0.25">
      <c r="C73" t="s">
        <v>330</v>
      </c>
      <c r="E73" s="25">
        <f>LamChanHangNgan(E68+E69+E70+E71)</f>
        <v>642000</v>
      </c>
      <c r="F73" s="25">
        <f t="shared" ref="F73:I73" si="27">LamChanHangNgan(F68+F69+F70+F71)</f>
        <v>1133000</v>
      </c>
      <c r="G73" s="25">
        <f t="shared" si="27"/>
        <v>1624000</v>
      </c>
      <c r="H73" s="25">
        <f t="shared" si="27"/>
        <v>2115000</v>
      </c>
      <c r="I73" s="25">
        <f t="shared" si="27"/>
        <v>2606000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D8C85FF1-6DE8-4757-9E06-02778266D71F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DA04A0E-DB65-4750-B475-6480E8C57816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E087B56D-980B-463B-882F-8480F67EC0A3}">
      <formula1>OFFSET(GIA_MANG,1,0,,1)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15A7C-0847-46E7-8F94-E73B31AC4E8A}">
  <sheetPr codeName="Trang_tính19"/>
  <dimension ref="A1:I73"/>
  <sheetViews>
    <sheetView topLeftCell="A7" workbookViewId="0">
      <selection activeCell="D15" sqref="D15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15</v>
      </c>
      <c r="C13">
        <v>34</v>
      </c>
      <c r="D13">
        <v>0.3</v>
      </c>
      <c r="E13">
        <v>0</v>
      </c>
      <c r="F13">
        <f>$B13+$E13+$D13*2</f>
        <v>15.6</v>
      </c>
      <c r="G13">
        <f>$C13+$D13*2</f>
        <v>34.6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301000</v>
      </c>
      <c r="F30" s="25">
        <f t="shared" ref="F30:I30" si="2">LamChanHangNgan(F$26+F$27+F$29)</f>
        <v>515000</v>
      </c>
      <c r="G30" s="25">
        <f t="shared" si="2"/>
        <v>728000</v>
      </c>
      <c r="H30" s="25">
        <f t="shared" si="2"/>
        <v>942000</v>
      </c>
      <c r="I30" s="25">
        <f t="shared" si="2"/>
        <v>1156000</v>
      </c>
    </row>
    <row r="31" spans="1:9" x14ac:dyDescent="0.25">
      <c r="C31" t="s">
        <v>330</v>
      </c>
      <c r="E31" s="25">
        <f>LamChanHangNgan(E$26+E$27+E$28+E$29)</f>
        <v>397000</v>
      </c>
      <c r="F31" s="25">
        <f t="shared" ref="F31:I31" si="3">LamChanHangNgan(F$26+F$27+F$28+F$29)</f>
        <v>642000</v>
      </c>
      <c r="G31" s="25">
        <f t="shared" si="3"/>
        <v>888000</v>
      </c>
      <c r="H31" s="25">
        <f t="shared" si="3"/>
        <v>1133000</v>
      </c>
      <c r="I31" s="25">
        <f t="shared" si="3"/>
        <v>1379000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4">($A32*F$24/2)/$D$16</f>
        <v>70</v>
      </c>
      <c r="G32">
        <f t="shared" si="4"/>
        <v>105</v>
      </c>
      <c r="H32">
        <f t="shared" si="4"/>
        <v>140</v>
      </c>
      <c r="I32">
        <f t="shared" si="4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5">F32*$D$19*(1+$D$17)</f>
        <v>155820</v>
      </c>
      <c r="G34" s="26">
        <f t="shared" si="5"/>
        <v>233730</v>
      </c>
      <c r="H34" s="26">
        <f t="shared" si="5"/>
        <v>311640</v>
      </c>
      <c r="I34" s="26">
        <f t="shared" si="5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336000</v>
      </c>
      <c r="F37" s="42">
        <f t="shared" ref="F37:I37" si="6">LamChanHangNgan(F33+F34+F36)</f>
        <v>586000</v>
      </c>
      <c r="G37" s="42">
        <f t="shared" si="6"/>
        <v>835000</v>
      </c>
      <c r="H37" s="42">
        <f t="shared" si="6"/>
        <v>1085000</v>
      </c>
      <c r="I37" s="42">
        <f t="shared" si="6"/>
        <v>1334000</v>
      </c>
    </row>
    <row r="38" spans="1:9" x14ac:dyDescent="0.25">
      <c r="C38" t="s">
        <v>330</v>
      </c>
      <c r="E38" s="42">
        <f>LamChanHangNgan(E33+E34+E35+E36)</f>
        <v>438000</v>
      </c>
      <c r="F38" s="42">
        <f t="shared" ref="F38:I38" si="7">LamChanHangNgan(F33+F34+F35+F36)</f>
        <v>724000</v>
      </c>
      <c r="G38" s="42">
        <f t="shared" si="7"/>
        <v>1011000</v>
      </c>
      <c r="H38" s="42">
        <f t="shared" si="7"/>
        <v>1297000</v>
      </c>
      <c r="I38" s="42">
        <f t="shared" si="7"/>
        <v>1583000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8">($A39*F$24/2)/$D$16</f>
        <v>80</v>
      </c>
      <c r="G39">
        <f t="shared" si="8"/>
        <v>120</v>
      </c>
      <c r="H39">
        <f t="shared" si="8"/>
        <v>160</v>
      </c>
      <c r="I39">
        <f t="shared" si="8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9">F39*$D$19*(1+$D$17)</f>
        <v>178080</v>
      </c>
      <c r="G41">
        <f t="shared" si="9"/>
        <v>267120</v>
      </c>
      <c r="H41">
        <f t="shared" si="9"/>
        <v>356160</v>
      </c>
      <c r="I41">
        <f t="shared" si="9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372000</v>
      </c>
      <c r="F44" s="25">
        <f t="shared" ref="F44:I44" si="10">LamChanHangNgan(F40+F41+F43)</f>
        <v>657000</v>
      </c>
      <c r="G44" s="25">
        <f t="shared" si="10"/>
        <v>942000</v>
      </c>
      <c r="H44" s="25">
        <f t="shared" si="10"/>
        <v>1227000</v>
      </c>
      <c r="I44" s="25">
        <f t="shared" si="10"/>
        <v>1512000</v>
      </c>
    </row>
    <row r="45" spans="1:9" x14ac:dyDescent="0.25">
      <c r="C45" t="s">
        <v>330</v>
      </c>
      <c r="E45" s="25">
        <f>LamChanHangNgan(E40+E41+E42+E43)</f>
        <v>479000</v>
      </c>
      <c r="F45" s="25">
        <f t="shared" ref="F45:I45" si="11">LamChanHangNgan(F40+F41+F42+F43)</f>
        <v>806000</v>
      </c>
      <c r="G45" s="25">
        <f t="shared" si="11"/>
        <v>1133000</v>
      </c>
      <c r="H45" s="25">
        <f t="shared" si="11"/>
        <v>1460000</v>
      </c>
      <c r="I45" s="25">
        <f t="shared" si="11"/>
        <v>1788000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2">($A46*F$24/2)/$D$16</f>
        <v>90</v>
      </c>
      <c r="G46">
        <f t="shared" si="12"/>
        <v>135</v>
      </c>
      <c r="H46">
        <f t="shared" si="12"/>
        <v>180</v>
      </c>
      <c r="I46">
        <f t="shared" si="12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3">F46*$D$19*(1+$D$17)</f>
        <v>200340</v>
      </c>
      <c r="G48">
        <f t="shared" si="13"/>
        <v>300510</v>
      </c>
      <c r="H48">
        <f t="shared" si="13"/>
        <v>400680</v>
      </c>
      <c r="I48">
        <f t="shared" si="13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408000</v>
      </c>
      <c r="F51" s="25">
        <f t="shared" ref="F51:I51" si="14">LamChanHangNgan(F47+F48+F50)</f>
        <v>728000</v>
      </c>
      <c r="G51" s="25">
        <f t="shared" si="14"/>
        <v>1049000</v>
      </c>
      <c r="H51" s="25">
        <f t="shared" si="14"/>
        <v>1370000</v>
      </c>
      <c r="I51" s="25">
        <f t="shared" si="14"/>
        <v>1690000</v>
      </c>
    </row>
    <row r="52" spans="1:9" x14ac:dyDescent="0.25">
      <c r="C52" t="s">
        <v>330</v>
      </c>
      <c r="E52" s="25">
        <f>LamChanHangNgan(E47+E48+E49+E50)</f>
        <v>519000</v>
      </c>
      <c r="F52" s="25">
        <f t="shared" ref="F52:I52" si="15">LamChanHangNgan(F47+F48+F49+F50)</f>
        <v>888000</v>
      </c>
      <c r="G52" s="25">
        <f t="shared" si="15"/>
        <v>1256000</v>
      </c>
      <c r="H52" s="25">
        <f t="shared" si="15"/>
        <v>1624000</v>
      </c>
      <c r="I52" s="25">
        <f t="shared" si="15"/>
        <v>1992000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16">($A53*F$24/2)/$D$16</f>
        <v>100</v>
      </c>
      <c r="G53">
        <f t="shared" si="16"/>
        <v>150</v>
      </c>
      <c r="H53">
        <f t="shared" si="16"/>
        <v>200</v>
      </c>
      <c r="I53">
        <f t="shared" si="1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17">F53*$D$19*(1+$D$17)</f>
        <v>222600</v>
      </c>
      <c r="G55">
        <f t="shared" si="17"/>
        <v>333900</v>
      </c>
      <c r="H55">
        <f t="shared" si="17"/>
        <v>445200</v>
      </c>
      <c r="I55">
        <f t="shared" si="1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443000</v>
      </c>
      <c r="F58" s="25">
        <f t="shared" ref="F58:I58" si="18">LamChanHangNgan(F54+F55+F57)</f>
        <v>800000</v>
      </c>
      <c r="G58" s="25">
        <f t="shared" si="18"/>
        <v>1156000</v>
      </c>
      <c r="H58" s="25">
        <f t="shared" si="18"/>
        <v>1512000</v>
      </c>
      <c r="I58" s="25">
        <f t="shared" si="18"/>
        <v>1869000</v>
      </c>
    </row>
    <row r="59" spans="1:9" ht="14.25" customHeight="1" x14ac:dyDescent="0.25">
      <c r="C59" t="s">
        <v>330</v>
      </c>
      <c r="E59" s="25">
        <f>LamChanHangNgan(E54+E55+E56+E57)</f>
        <v>560000</v>
      </c>
      <c r="F59" s="25">
        <f t="shared" ref="F59:I59" si="19">LamChanHangNgan(F54+F55+F56+F57)</f>
        <v>970000</v>
      </c>
      <c r="G59" s="25">
        <f t="shared" si="19"/>
        <v>1379000</v>
      </c>
      <c r="H59" s="25">
        <f t="shared" si="19"/>
        <v>1788000</v>
      </c>
      <c r="I59" s="25">
        <f t="shared" si="19"/>
        <v>2197000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20">($A60*F$24/2)/$D$16</f>
        <v>110</v>
      </c>
      <c r="G60">
        <f t="shared" si="20"/>
        <v>165</v>
      </c>
      <c r="H60">
        <f t="shared" si="20"/>
        <v>220</v>
      </c>
      <c r="I60">
        <f t="shared" si="20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21">F60*$D$19*(1+$D$17)</f>
        <v>244860</v>
      </c>
      <c r="G62">
        <f t="shared" si="21"/>
        <v>367290</v>
      </c>
      <c r="H62">
        <f t="shared" si="21"/>
        <v>489720</v>
      </c>
      <c r="I62">
        <f t="shared" si="21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479000</v>
      </c>
      <c r="F65" s="25">
        <f t="shared" ref="F65:I65" si="22">LamChanHangNgan(F61+F62+F64)</f>
        <v>871000</v>
      </c>
      <c r="G65" s="25">
        <f t="shared" si="22"/>
        <v>1263000</v>
      </c>
      <c r="H65" s="25">
        <f t="shared" si="22"/>
        <v>1655000</v>
      </c>
      <c r="I65" s="25">
        <f t="shared" si="22"/>
        <v>2047000</v>
      </c>
    </row>
    <row r="66" spans="1:9" x14ac:dyDescent="0.25">
      <c r="C66" t="s">
        <v>330</v>
      </c>
      <c r="E66" s="25">
        <f>LamChanHangNgan(E61+E62+E63+E64)</f>
        <v>601000</v>
      </c>
      <c r="F66" s="25">
        <f t="shared" ref="F66:I66" si="23">LamChanHangNgan(F61+F62+F63+F64)</f>
        <v>1051000</v>
      </c>
      <c r="G66" s="25">
        <f t="shared" si="23"/>
        <v>1501000</v>
      </c>
      <c r="H66" s="25">
        <f t="shared" si="23"/>
        <v>1952000</v>
      </c>
      <c r="I66" s="25">
        <f t="shared" si="23"/>
        <v>2401000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24">($A67*F$24/2)/$D$16</f>
        <v>120</v>
      </c>
      <c r="G67">
        <f t="shared" si="24"/>
        <v>180</v>
      </c>
      <c r="H67">
        <f t="shared" si="24"/>
        <v>240</v>
      </c>
      <c r="I67">
        <f t="shared" si="24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25">F67*$D$19*(1+$D$17)</f>
        <v>267120</v>
      </c>
      <c r="G69">
        <f t="shared" si="25"/>
        <v>400680</v>
      </c>
      <c r="H69">
        <f t="shared" si="25"/>
        <v>534240</v>
      </c>
      <c r="I69">
        <f t="shared" si="25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515000</v>
      </c>
      <c r="F72" s="25">
        <f t="shared" ref="F72:I72" si="26">LamChanHangNgan(F68+F69+F71)</f>
        <v>942000</v>
      </c>
      <c r="G72" s="25">
        <f t="shared" si="26"/>
        <v>1370000</v>
      </c>
      <c r="H72" s="25">
        <f t="shared" si="26"/>
        <v>1797000</v>
      </c>
      <c r="I72" s="25">
        <f t="shared" si="26"/>
        <v>2225000</v>
      </c>
    </row>
    <row r="73" spans="1:9" x14ac:dyDescent="0.25">
      <c r="C73" t="s">
        <v>330</v>
      </c>
      <c r="E73" s="25">
        <f>LamChanHangNgan(E68+E69+E70+E71)</f>
        <v>642000</v>
      </c>
      <c r="F73" s="25">
        <f t="shared" ref="F73:I73" si="27">LamChanHangNgan(F68+F69+F70+F71)</f>
        <v>1133000</v>
      </c>
      <c r="G73" s="25">
        <f t="shared" si="27"/>
        <v>1624000</v>
      </c>
      <c r="H73" s="25">
        <f t="shared" si="27"/>
        <v>2115000</v>
      </c>
      <c r="I73" s="25">
        <f t="shared" si="27"/>
        <v>2606000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288B32-910E-469F-9E8B-46CB21B2C4A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63C2DB1F-4C53-4178-9E0D-8BF3D7169D80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E3FA2C8F-EE3C-4472-A8FB-FDE14F09FF39}">
      <formula1>OFFSET(GIA_GIAY_CO_BAN,1,0,,1)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1EB56-9FD3-4579-9283-29F5BE6E6695}">
  <sheetPr codeName="Trang_tính6"/>
  <dimension ref="A1:I73"/>
  <sheetViews>
    <sheetView workbookViewId="0">
      <selection activeCell="I34" sqref="I34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324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329</v>
      </c>
      <c r="E30" s="25">
        <f>LamChanHangNgan(E$26+E$27+E$29)</f>
        <v>415000</v>
      </c>
      <c r="F30" s="25">
        <f t="shared" ref="F30:I30" si="3">LamChanHangNgan(F$26+F$27+F$29)</f>
        <v>636000</v>
      </c>
      <c r="G30" s="25">
        <f t="shared" si="3"/>
        <v>856000</v>
      </c>
      <c r="H30" s="25">
        <f t="shared" si="3"/>
        <v>1076000</v>
      </c>
      <c r="I30" s="25">
        <f t="shared" si="3"/>
        <v>1297000</v>
      </c>
    </row>
    <row r="31" spans="1:9" x14ac:dyDescent="0.25">
      <c r="C31" t="s">
        <v>330</v>
      </c>
      <c r="E31" s="25">
        <f>LamChanHangNgan(E$26+E$27+E$28+E$29)</f>
        <v>511000</v>
      </c>
      <c r="F31" s="25">
        <f t="shared" ref="F31:I31" si="4">LamChanHangNgan(F$26+F$27+F$28+F$29)</f>
        <v>763000</v>
      </c>
      <c r="G31" s="25">
        <f t="shared" si="4"/>
        <v>1015000</v>
      </c>
      <c r="H31" s="25">
        <f t="shared" si="4"/>
        <v>1267000</v>
      </c>
      <c r="I31" s="25">
        <f t="shared" si="4"/>
        <v>1519000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5">($A32*F$24/2)/$D$16</f>
        <v>70</v>
      </c>
      <c r="G32">
        <f t="shared" si="5"/>
        <v>105</v>
      </c>
      <c r="H32">
        <f t="shared" si="5"/>
        <v>140</v>
      </c>
      <c r="I32">
        <f t="shared" si="5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6">F32*$D$19*(1+$D$17)</f>
        <v>155820</v>
      </c>
      <c r="G34" s="26">
        <f t="shared" si="6"/>
        <v>233730</v>
      </c>
      <c r="H34" s="26">
        <f t="shared" si="6"/>
        <v>311640</v>
      </c>
      <c r="I34" s="26">
        <f t="shared" si="6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>
        <f>PhiMayCanGap(E32*$D$16)*(1+$D$17)</f>
        <v>115572.916725</v>
      </c>
      <c r="F36" s="26">
        <f t="shared" ref="F36:I36" si="7">PhiMayCanGap(F32*$D$16)*(1+$D$17)</f>
        <v>123229.166725</v>
      </c>
      <c r="G36" s="26">
        <f t="shared" si="7"/>
        <v>130885.416725</v>
      </c>
      <c r="H36" s="26">
        <f t="shared" si="7"/>
        <v>138541.66672500002</v>
      </c>
      <c r="I36" s="26">
        <f t="shared" si="7"/>
        <v>146197.91672500002</v>
      </c>
    </row>
    <row r="37" spans="1:9" x14ac:dyDescent="0.25">
      <c r="C37" t="s">
        <v>329</v>
      </c>
      <c r="E37" s="42">
        <f>LamChanHangNgan(E33+E34+E36)</f>
        <v>452000</v>
      </c>
      <c r="F37" s="42">
        <f t="shared" ref="F37:I37" si="8">LamChanHangNgan(F33+F34+F36)</f>
        <v>709000</v>
      </c>
      <c r="G37" s="42">
        <f t="shared" si="8"/>
        <v>966000</v>
      </c>
      <c r="H37" s="42">
        <f t="shared" si="8"/>
        <v>1223000</v>
      </c>
      <c r="I37" s="42">
        <f t="shared" si="8"/>
        <v>1480000</v>
      </c>
    </row>
    <row r="38" spans="1:9" x14ac:dyDescent="0.25">
      <c r="C38" t="s">
        <v>330</v>
      </c>
      <c r="E38" s="42">
        <f>LamChanHangNgan(E33+E34+E35+E36)</f>
        <v>553000</v>
      </c>
      <c r="F38" s="42">
        <f t="shared" ref="F38:I38" si="9">LamChanHangNgan(F33+F34+F35+F36)</f>
        <v>847000</v>
      </c>
      <c r="G38" s="42">
        <f t="shared" si="9"/>
        <v>1141000</v>
      </c>
      <c r="H38" s="42">
        <f t="shared" si="9"/>
        <v>1436000</v>
      </c>
      <c r="I38" s="42">
        <f t="shared" si="9"/>
        <v>1729000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10">($A39*F$24/2)/$D$16</f>
        <v>80</v>
      </c>
      <c r="G39">
        <f t="shared" si="10"/>
        <v>120</v>
      </c>
      <c r="H39">
        <f t="shared" si="10"/>
        <v>160</v>
      </c>
      <c r="I39">
        <f t="shared" si="10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11">F39*$D$19*(1+$D$17)</f>
        <v>178080</v>
      </c>
      <c r="G41">
        <f t="shared" si="11"/>
        <v>267120</v>
      </c>
      <c r="H41">
        <f t="shared" si="11"/>
        <v>356160</v>
      </c>
      <c r="I41">
        <f t="shared" si="11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  <c r="E43">
        <f>PhiMayCanGap(E39*$D$16)*(1+$D$17)</f>
        <v>116666.666725</v>
      </c>
      <c r="F43">
        <f t="shared" ref="F43:I43" si="12">PhiMayCanGap(F39*$D$16)*(1+$D$17)</f>
        <v>125416.666725</v>
      </c>
      <c r="G43">
        <f t="shared" si="12"/>
        <v>134166.66672500002</v>
      </c>
      <c r="H43">
        <f t="shared" si="12"/>
        <v>142916.66672500002</v>
      </c>
      <c r="I43">
        <f t="shared" si="12"/>
        <v>151666.66672500002</v>
      </c>
    </row>
    <row r="44" spans="1:9" x14ac:dyDescent="0.25">
      <c r="C44" t="s">
        <v>329</v>
      </c>
      <c r="E44" s="25">
        <f>LamChanHangNgan(E40+E41+E43)</f>
        <v>489000</v>
      </c>
      <c r="F44" s="25">
        <f t="shared" ref="F44" si="13">LamChanHangNgan(F40+F41+F43)</f>
        <v>782000</v>
      </c>
      <c r="G44" s="25">
        <f t="shared" ref="G44" si="14">LamChanHangNgan(G40+G41+G43)</f>
        <v>1076000</v>
      </c>
      <c r="H44" s="25">
        <f t="shared" ref="H44" si="15">LamChanHangNgan(H40+H41+H43)</f>
        <v>1370000</v>
      </c>
      <c r="I44" s="25">
        <f t="shared" ref="I44" si="16">LamChanHangNgan(I40+I41+I43)</f>
        <v>1664000</v>
      </c>
    </row>
    <row r="45" spans="1:9" x14ac:dyDescent="0.25">
      <c r="C45" t="s">
        <v>330</v>
      </c>
      <c r="E45" s="25">
        <f>LamChanHangNgan(E40+E41+E42+E43)</f>
        <v>595000</v>
      </c>
      <c r="F45" s="25">
        <f t="shared" ref="F45:I45" si="17">LamChanHangNgan(F40+F41+F42+F43)</f>
        <v>931000</v>
      </c>
      <c r="G45" s="25">
        <f t="shared" si="17"/>
        <v>1267000</v>
      </c>
      <c r="H45" s="25">
        <f t="shared" si="17"/>
        <v>1603000</v>
      </c>
      <c r="I45" s="25">
        <f t="shared" si="17"/>
        <v>1940000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8">($A46*F$24/2)/$D$16</f>
        <v>90</v>
      </c>
      <c r="G46">
        <f t="shared" si="18"/>
        <v>135</v>
      </c>
      <c r="H46">
        <f t="shared" si="18"/>
        <v>180</v>
      </c>
      <c r="I46">
        <f t="shared" si="18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9">F46*$D$19*(1+$D$17)</f>
        <v>200340</v>
      </c>
      <c r="G48">
        <f t="shared" si="19"/>
        <v>300510</v>
      </c>
      <c r="H48">
        <f t="shared" si="19"/>
        <v>400680</v>
      </c>
      <c r="I48">
        <f t="shared" si="19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  <c r="E50">
        <f>PhiMayCanGap(E46*$D$16)*(1+$D$17)</f>
        <v>117760.416725</v>
      </c>
      <c r="F50">
        <f t="shared" ref="F50:I50" si="20">PhiMayCanGap(F46*$D$16)*(1+$D$17)</f>
        <v>127604.166725</v>
      </c>
      <c r="G50">
        <f t="shared" si="20"/>
        <v>137447.91672500002</v>
      </c>
      <c r="H50">
        <f t="shared" si="20"/>
        <v>147291.66672500002</v>
      </c>
      <c r="I50">
        <f t="shared" si="20"/>
        <v>157135.41672500002</v>
      </c>
    </row>
    <row r="51" spans="1:9" x14ac:dyDescent="0.25">
      <c r="C51" t="s">
        <v>329</v>
      </c>
      <c r="E51" s="25">
        <f>LamChanHangNgan(E47+E48+E50)</f>
        <v>525000</v>
      </c>
      <c r="F51" s="25">
        <f t="shared" ref="F51" si="21">LamChanHangNgan(F47+F48+F50)</f>
        <v>856000</v>
      </c>
      <c r="G51" s="25">
        <f t="shared" ref="G51" si="22">LamChanHangNgan(G47+G48+G50)</f>
        <v>1186000</v>
      </c>
      <c r="H51" s="25">
        <f t="shared" ref="H51" si="23">LamChanHangNgan(H47+H48+H50)</f>
        <v>1517000</v>
      </c>
      <c r="I51" s="25">
        <f t="shared" ref="I51" si="24">LamChanHangNgan(I47+I48+I50)</f>
        <v>1847000</v>
      </c>
    </row>
    <row r="52" spans="1:9" x14ac:dyDescent="0.25">
      <c r="C52" t="s">
        <v>330</v>
      </c>
      <c r="E52" s="25">
        <f>LamChanHangNgan(E47+E48+E49+E50)</f>
        <v>637000</v>
      </c>
      <c r="F52" s="25">
        <f t="shared" ref="F52:I52" si="25">LamChanHangNgan(F47+F48+F49+F50)</f>
        <v>1015000</v>
      </c>
      <c r="G52" s="25">
        <f t="shared" si="25"/>
        <v>1393000</v>
      </c>
      <c r="H52" s="25">
        <f t="shared" si="25"/>
        <v>1771000</v>
      </c>
      <c r="I52" s="25">
        <f t="shared" si="25"/>
        <v>2149000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26">($A53*F$24/2)/$D$16</f>
        <v>100</v>
      </c>
      <c r="G53">
        <f t="shared" si="26"/>
        <v>150</v>
      </c>
      <c r="H53">
        <f t="shared" si="26"/>
        <v>200</v>
      </c>
      <c r="I53">
        <f t="shared" si="2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27">F53*$D$19*(1+$D$17)</f>
        <v>222600</v>
      </c>
      <c r="G55">
        <f t="shared" si="27"/>
        <v>333900</v>
      </c>
      <c r="H55">
        <f t="shared" si="27"/>
        <v>445200</v>
      </c>
      <c r="I55">
        <f t="shared" si="2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  <c r="E57">
        <f>PhiMayCanGap(E53*$D$16)*(1+$D$17)</f>
        <v>118854.166725</v>
      </c>
      <c r="F57">
        <f t="shared" ref="F57:I57" si="28">PhiMayCanGap(F53*$D$16)*(1+$D$17)</f>
        <v>129791.666725</v>
      </c>
      <c r="G57">
        <f t="shared" si="28"/>
        <v>140729.16672500002</v>
      </c>
      <c r="H57">
        <f t="shared" si="28"/>
        <v>151666.66672500002</v>
      </c>
      <c r="I57">
        <f t="shared" si="28"/>
        <v>162604.16672500002</v>
      </c>
    </row>
    <row r="58" spans="1:9" x14ac:dyDescent="0.25">
      <c r="C58" t="s">
        <v>329</v>
      </c>
      <c r="E58" s="25">
        <f>LamChanHangNgan(E54+E55+E57)</f>
        <v>562000</v>
      </c>
      <c r="F58" s="25">
        <f t="shared" ref="F58" si="29">LamChanHangNgan(F54+F55+F57)</f>
        <v>929000</v>
      </c>
      <c r="G58" s="25">
        <f t="shared" ref="G58" si="30">LamChanHangNgan(G54+G55+G57)</f>
        <v>1297000</v>
      </c>
      <c r="H58" s="25">
        <f t="shared" ref="H58" si="31">LamChanHangNgan(H54+H55+H57)</f>
        <v>1664000</v>
      </c>
      <c r="I58" s="25">
        <f t="shared" ref="I58" si="32">LamChanHangNgan(I54+I55+I57)</f>
        <v>2031000</v>
      </c>
    </row>
    <row r="59" spans="1:9" ht="14.25" customHeight="1" x14ac:dyDescent="0.25">
      <c r="C59" t="s">
        <v>330</v>
      </c>
      <c r="E59" s="25">
        <f>LamChanHangNgan(E54+E55+E56+E57)</f>
        <v>679000</v>
      </c>
      <c r="F59" s="25">
        <f t="shared" ref="F59:I59" si="33">LamChanHangNgan(F54+F55+F56+F57)</f>
        <v>1099000</v>
      </c>
      <c r="G59" s="25">
        <f t="shared" si="33"/>
        <v>1519000</v>
      </c>
      <c r="H59" s="25">
        <f t="shared" si="33"/>
        <v>1940000</v>
      </c>
      <c r="I59" s="25">
        <f t="shared" si="33"/>
        <v>2360000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34">($A60*F$24/2)/$D$16</f>
        <v>110</v>
      </c>
      <c r="G60">
        <f t="shared" si="34"/>
        <v>165</v>
      </c>
      <c r="H60">
        <f t="shared" si="34"/>
        <v>220</v>
      </c>
      <c r="I60">
        <f t="shared" si="34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35">F60*$D$19*(1+$D$17)</f>
        <v>244860</v>
      </c>
      <c r="G62">
        <f t="shared" si="35"/>
        <v>367290</v>
      </c>
      <c r="H62">
        <f t="shared" si="35"/>
        <v>489720</v>
      </c>
      <c r="I62">
        <f t="shared" si="35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  <c r="E64">
        <f>PhiMayCanGap(E60*$D$16)*(1+$D$17)</f>
        <v>119947.916725</v>
      </c>
      <c r="F64">
        <f t="shared" ref="F64:I64" si="36">PhiMayCanGap(F60*$D$16)*(1+$D$17)</f>
        <v>131979.16672500002</v>
      </c>
      <c r="G64">
        <f t="shared" si="36"/>
        <v>144010.41672500002</v>
      </c>
      <c r="H64">
        <f t="shared" si="36"/>
        <v>156041.66672500002</v>
      </c>
      <c r="I64">
        <f t="shared" si="36"/>
        <v>168072.91672500002</v>
      </c>
    </row>
    <row r="65" spans="1:9" x14ac:dyDescent="0.25">
      <c r="C65" t="s">
        <v>329</v>
      </c>
      <c r="E65" s="25">
        <f>LamChanHangNgan(E61+E62+E64)</f>
        <v>599000</v>
      </c>
      <c r="F65" s="25">
        <f t="shared" ref="F65" si="37">LamChanHangNgan(F61+F62+F64)</f>
        <v>1003000</v>
      </c>
      <c r="G65" s="25">
        <f t="shared" ref="G65" si="38">LamChanHangNgan(G61+G62+G64)</f>
        <v>1407000</v>
      </c>
      <c r="H65" s="25">
        <f t="shared" ref="H65" si="39">LamChanHangNgan(H61+H62+H64)</f>
        <v>1811000</v>
      </c>
      <c r="I65" s="25">
        <f t="shared" ref="I65" si="40">LamChanHangNgan(I61+I62+I64)</f>
        <v>2215000</v>
      </c>
    </row>
    <row r="66" spans="1:9" x14ac:dyDescent="0.25">
      <c r="C66" t="s">
        <v>330</v>
      </c>
      <c r="E66" s="25">
        <f>LamChanHangNgan(E61+E62+E63+E64)</f>
        <v>721000</v>
      </c>
      <c r="F66" s="25">
        <f t="shared" ref="F66:I66" si="41">LamChanHangNgan(F61+F62+F63+F64)</f>
        <v>1183000</v>
      </c>
      <c r="G66" s="25">
        <f t="shared" si="41"/>
        <v>1645000</v>
      </c>
      <c r="H66" s="25">
        <f t="shared" si="41"/>
        <v>2108000</v>
      </c>
      <c r="I66" s="25">
        <f t="shared" si="41"/>
        <v>2569000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42">($A67*F$24/2)/$D$16</f>
        <v>120</v>
      </c>
      <c r="G67">
        <f t="shared" si="42"/>
        <v>180</v>
      </c>
      <c r="H67">
        <f t="shared" si="42"/>
        <v>240</v>
      </c>
      <c r="I67">
        <f t="shared" si="42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43">F67*$D$19*(1+$D$17)</f>
        <v>267120</v>
      </c>
      <c r="G69">
        <f t="shared" si="43"/>
        <v>400680</v>
      </c>
      <c r="H69">
        <f t="shared" si="43"/>
        <v>534240</v>
      </c>
      <c r="I69">
        <f t="shared" si="43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  <c r="E71">
        <f>PhiMayCanGap(E67*$D$16)*(1+$D$17)</f>
        <v>121041.666725</v>
      </c>
      <c r="F71">
        <f t="shared" ref="F71:I71" si="44">PhiMayCanGap(F67*$D$16)*(1+$D$17)</f>
        <v>134166.66672500002</v>
      </c>
      <c r="G71">
        <f t="shared" si="44"/>
        <v>147291.66672500002</v>
      </c>
      <c r="H71">
        <f t="shared" si="44"/>
        <v>160416.66672500002</v>
      </c>
      <c r="I71">
        <f t="shared" si="44"/>
        <v>173541.66672500002</v>
      </c>
    </row>
    <row r="72" spans="1:9" x14ac:dyDescent="0.25">
      <c r="C72" t="s">
        <v>329</v>
      </c>
      <c r="E72" s="25">
        <f>LamChanHangNgan(E68+E69+E71)</f>
        <v>636000</v>
      </c>
      <c r="F72" s="25">
        <f t="shared" ref="F72" si="45">LamChanHangNgan(F68+F69+F71)</f>
        <v>1076000</v>
      </c>
      <c r="G72" s="25">
        <f t="shared" ref="G72" si="46">LamChanHangNgan(G68+G69+G71)</f>
        <v>1517000</v>
      </c>
      <c r="H72" s="25">
        <f t="shared" ref="H72" si="47">LamChanHangNgan(H68+H69+H71)</f>
        <v>1958000</v>
      </c>
      <c r="I72" s="25">
        <f t="shared" ref="I72" si="48">LamChanHangNgan(I68+I69+I71)</f>
        <v>2398000</v>
      </c>
    </row>
    <row r="73" spans="1:9" x14ac:dyDescent="0.25">
      <c r="C73" t="s">
        <v>330</v>
      </c>
      <c r="E73" s="25">
        <f>LamChanHangNgan(E68+E69+E70+E71)</f>
        <v>763000</v>
      </c>
      <c r="F73" s="25">
        <f t="shared" ref="F73:I73" si="49">LamChanHangNgan(F68+F69+F70+F71)</f>
        <v>1267000</v>
      </c>
      <c r="G73" s="25">
        <f t="shared" si="49"/>
        <v>1771000</v>
      </c>
      <c r="H73" s="25">
        <f t="shared" si="49"/>
        <v>2276000</v>
      </c>
      <c r="I73" s="25">
        <f t="shared" si="49"/>
        <v>2780000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05A0C76E-6BE4-4F44-813B-C12B50AAD01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79D27939-64AA-4C7A-9AEF-1450E536A1F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4B529BED-D1DA-4967-B143-8EDF47FF3D05}">
      <formula1>OFFSET(GIA_MANG,1,0,,1)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57A01-165E-4A2B-B25A-F1764CDBDCC5}">
  <sheetPr codeName="Trang_tính7"/>
  <dimension ref="A1:M37"/>
  <sheetViews>
    <sheetView workbookViewId="0">
      <selection sqref="A1:M19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6" width="13.42578125" bestFit="1" customWidth="1"/>
    <col min="7" max="8" width="15" bestFit="1" customWidth="1"/>
    <col min="9" max="9" width="13.4257812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347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348</v>
      </c>
      <c r="E26" s="7">
        <f>PhiInKM4M_BHR70(E$25*$E$16)*(1+$D$17)</f>
        <v>112000</v>
      </c>
      <c r="F26" s="7">
        <f>PhiInKM4M_BHR70(F$25*$E$16)*(1+$D$17)</f>
        <v>136500</v>
      </c>
      <c r="G26" s="7">
        <f>PhiInKM4M_BHR70(G$25*$E$16)*(1+$D$17)</f>
        <v>161000</v>
      </c>
      <c r="H26" s="7">
        <f>PhiInKM4M_BHR70(H$25*$E$16)*(1+$D$17)</f>
        <v>185500</v>
      </c>
      <c r="I26" s="7">
        <f>PhiInKM4M_BHR70(I$25*$E$16)*(1+$D$17)</f>
        <v>210000</v>
      </c>
    </row>
    <row r="27" spans="1:9" x14ac:dyDescent="0.25">
      <c r="C27" t="s">
        <v>333</v>
      </c>
      <c r="E27" s="7">
        <f>E$25*$D$19*(1+$D$17)</f>
        <v>22260</v>
      </c>
      <c r="F27" s="7">
        <f>F$25*$D$19*(1+$D$17)</f>
        <v>44520</v>
      </c>
      <c r="G27" s="7">
        <f t="shared" ref="G27:I27" si="1">G$25*$D$19*(1+$D$17)</f>
        <v>66780</v>
      </c>
      <c r="H27" s="7">
        <f t="shared" si="1"/>
        <v>89040</v>
      </c>
      <c r="I27" s="7">
        <f t="shared" si="1"/>
        <v>111300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351</v>
      </c>
      <c r="E29" s="7">
        <f>SUM(E26:E28)</f>
        <v>208819.93702499999</v>
      </c>
      <c r="F29" s="7">
        <f t="shared" ref="F29:I29" si="2">SUM(F26:F28)</f>
        <v>266426.14862500003</v>
      </c>
      <c r="G29" s="7">
        <f t="shared" si="2"/>
        <v>323579.41980000003</v>
      </c>
      <c r="H29" s="7">
        <f t="shared" si="2"/>
        <v>381185.63034999999</v>
      </c>
      <c r="I29" s="7">
        <f t="shared" si="2"/>
        <v>438338.90187499998</v>
      </c>
    </row>
    <row r="30" spans="1:9" x14ac:dyDescent="0.25">
      <c r="C30" t="s">
        <v>349</v>
      </c>
      <c r="E30" s="7">
        <f>E24*2*$D$22</f>
        <v>24000</v>
      </c>
      <c r="F30" s="7">
        <f t="shared" ref="F30:I30" si="3">F24*2*$D$22</f>
        <v>48000</v>
      </c>
      <c r="G30" s="7">
        <f t="shared" si="3"/>
        <v>72000</v>
      </c>
      <c r="H30" s="7">
        <f t="shared" si="3"/>
        <v>96000</v>
      </c>
      <c r="I30" s="7">
        <f t="shared" si="3"/>
        <v>120000</v>
      </c>
    </row>
    <row r="31" spans="1:9" x14ac:dyDescent="0.25">
      <c r="C31" t="s">
        <v>350</v>
      </c>
      <c r="E31" s="7">
        <f>(PhiLamBiaCungMayY(E24)+E30)*(1+$D$17)</f>
        <v>286149.30539999995</v>
      </c>
      <c r="F31" s="7">
        <f t="shared" ref="F31:I31" si="4">(PhiLamBiaCungMayY(F24)+F30)*(1+$D$17)</f>
        <v>333131.94425</v>
      </c>
      <c r="G31" s="7">
        <f t="shared" si="4"/>
        <v>380114.58327499998</v>
      </c>
      <c r="H31" s="7">
        <f t="shared" si="4"/>
        <v>427097.22212499997</v>
      </c>
      <c r="I31" s="7">
        <f t="shared" si="4"/>
        <v>474079.86097499996</v>
      </c>
    </row>
    <row r="32" spans="1:9" x14ac:dyDescent="0.25">
      <c r="C32" t="s">
        <v>352</v>
      </c>
      <c r="E32" s="43">
        <f>E29+E31</f>
        <v>494969.24242499995</v>
      </c>
      <c r="F32" s="43">
        <f t="shared" ref="F32:I32" si="5">F29+F31</f>
        <v>599558.09287500009</v>
      </c>
      <c r="G32" s="43">
        <f t="shared" si="5"/>
        <v>703694.00307500002</v>
      </c>
      <c r="H32" s="43">
        <f t="shared" si="5"/>
        <v>808282.85247499996</v>
      </c>
      <c r="I32" s="43">
        <f t="shared" si="5"/>
        <v>912418.76284999994</v>
      </c>
    </row>
    <row r="33" spans="3:9" x14ac:dyDescent="0.25">
      <c r="E33" s="43"/>
      <c r="F33" s="43"/>
      <c r="G33" s="43"/>
      <c r="H33" s="43"/>
      <c r="I33" s="43"/>
    </row>
    <row r="34" spans="3:9" x14ac:dyDescent="0.25">
      <c r="C34" t="s">
        <v>353</v>
      </c>
      <c r="E34" s="32">
        <f>PhiLDPT_VoCuonBatVit(E24) * (1+$D$17)</f>
        <v>25277.777875</v>
      </c>
      <c r="F34" s="32">
        <f t="shared" ref="F34:I34" si="6">PhiLDPT_VoCuonBatVit(F24) * (1+$D$17)</f>
        <v>27805.555574999998</v>
      </c>
      <c r="G34" s="32">
        <f t="shared" si="6"/>
        <v>30333.333624999999</v>
      </c>
      <c r="H34" s="32">
        <f t="shared" si="6"/>
        <v>32861.111149999997</v>
      </c>
      <c r="I34" s="32">
        <f t="shared" si="6"/>
        <v>35388.88955</v>
      </c>
    </row>
    <row r="35" spans="3:9" x14ac:dyDescent="0.25">
      <c r="C35" t="s">
        <v>354</v>
      </c>
      <c r="E35" s="25">
        <f>LamChanHangNgan(E32+E34)</f>
        <v>520000</v>
      </c>
      <c r="F35" s="25">
        <f t="shared" ref="F35:I35" si="7">LamChanHangNgan(F32+F34)</f>
        <v>627000</v>
      </c>
      <c r="G35" s="25">
        <f t="shared" si="7"/>
        <v>734000</v>
      </c>
      <c r="H35" s="25">
        <f t="shared" si="7"/>
        <v>841000</v>
      </c>
      <c r="I35" s="25">
        <f t="shared" si="7"/>
        <v>947000</v>
      </c>
    </row>
    <row r="37" spans="3:9" x14ac:dyDescent="0.25">
      <c r="D37" t="s">
        <v>356</v>
      </c>
      <c r="E37" s="7">
        <f>LamChanHangNgan(E35/E24)</f>
        <v>52000</v>
      </c>
      <c r="F37" s="7">
        <f t="shared" ref="F37:I37" si="8">LamChanHangNgan(F35/F24)</f>
        <v>31000</v>
      </c>
      <c r="G37" s="7">
        <f t="shared" si="8"/>
        <v>24000</v>
      </c>
      <c r="H37" s="7">
        <f t="shared" si="8"/>
        <v>21000</v>
      </c>
      <c r="I37" s="7">
        <f t="shared" si="8"/>
        <v>18000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3EEAD395-2BC2-4E4E-B93F-8F1C4A321C73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B9D4F52-673E-418D-A198-B96265CE4E54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7224F471-3B90-4779-A4B5-DE0AEFA61447}">
      <formula1>OFFSET(GIA_GIAY_CO_BAN,1,0,,1)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E69A2-EABB-4A4B-9460-8B58E88684C5}">
  <sheetPr codeName="Trang_tính8"/>
  <dimension ref="A1:I80"/>
  <sheetViews>
    <sheetView topLeftCell="A49" workbookViewId="0">
      <selection activeCell="K69" sqref="K69"/>
    </sheetView>
  </sheetViews>
  <sheetFormatPr defaultRowHeight="15" x14ac:dyDescent="0.25"/>
  <cols>
    <col min="1" max="1" width="20" bestFit="1" customWidth="1"/>
    <col min="2" max="2" width="18.5703125" customWidth="1"/>
    <col min="3" max="3" width="19" customWidth="1"/>
    <col min="4" max="4" width="15.85546875" bestFit="1" customWidth="1"/>
    <col min="5" max="5" width="18.5703125" bestFit="1" customWidth="1"/>
    <col min="6" max="6" width="15" bestFit="1" customWidth="1"/>
    <col min="7" max="7" width="15.140625" bestFit="1" customWidth="1"/>
    <col min="8" max="9" width="15.85546875" bestFit="1" customWidth="1"/>
  </cols>
  <sheetData>
    <row r="1" spans="1:7" x14ac:dyDescent="0.25">
      <c r="A1" t="s">
        <v>357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358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40</v>
      </c>
      <c r="C13">
        <v>28</v>
      </c>
      <c r="D13">
        <v>0.3</v>
      </c>
      <c r="E13">
        <v>2.5</v>
      </c>
      <c r="F13">
        <f>$B13+$E13+$D13*2</f>
        <v>43.1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154</v>
      </c>
      <c r="C19" t="s">
        <v>147</v>
      </c>
      <c r="D19">
        <v>1056</v>
      </c>
      <c r="E19" s="7">
        <f>D19*(1+D17)</f>
        <v>1848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 s="1">
        <v>10</v>
      </c>
      <c r="F24" s="1">
        <v>20</v>
      </c>
      <c r="G24" s="1">
        <v>30</v>
      </c>
      <c r="H24" s="1">
        <v>40</v>
      </c>
      <c r="I24" s="1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60</v>
      </c>
      <c r="F25">
        <f t="shared" ref="F25:I25" si="0">($A25*F$24/2)/$D$16</f>
        <v>120</v>
      </c>
      <c r="G25">
        <f t="shared" si="0"/>
        <v>180</v>
      </c>
      <c r="H25">
        <f t="shared" si="0"/>
        <v>240</v>
      </c>
      <c r="I25">
        <f t="shared" si="0"/>
        <v>300</v>
      </c>
    </row>
    <row r="26" spans="1:9" x14ac:dyDescent="0.25">
      <c r="C26" t="s">
        <v>306</v>
      </c>
      <c r="E26" s="7">
        <f>PhiInKM4M_BHR70(E$25*$E$16*2)*(1+$D$17)</f>
        <v>381500</v>
      </c>
      <c r="F26" s="7">
        <f>PhiInKM4M_BHR70(F$25*$E$16*2)*(1+$D$17)</f>
        <v>675500</v>
      </c>
      <c r="G26" s="7">
        <f>PhiInKM4M_BHR70(G$25*$E$16*2)*(1+$D$17)</f>
        <v>969500</v>
      </c>
      <c r="H26" s="7">
        <f>PhiInKM4M_BHR70(H$25*$E$16*2)*(1+$D$17)</f>
        <v>1263500</v>
      </c>
      <c r="I26" s="7">
        <f>PhiInKM4M_BHR70(I$25*$E$16*2)*(1+$D$17)</f>
        <v>1557500</v>
      </c>
    </row>
    <row r="27" spans="1:9" x14ac:dyDescent="0.25">
      <c r="C27" t="s">
        <v>333</v>
      </c>
      <c r="E27" s="7">
        <f>E$25*$D$19*(1+$D$17)</f>
        <v>110880</v>
      </c>
      <c r="F27" s="7">
        <f>F$25*$D$19*(1+$D$17)</f>
        <v>221760</v>
      </c>
      <c r="G27" s="7">
        <f t="shared" ref="G27:I27" si="1">G$25*$D$19*(1+$D$17)</f>
        <v>332640</v>
      </c>
      <c r="H27" s="7">
        <f t="shared" si="1"/>
        <v>443520</v>
      </c>
      <c r="I27" s="7">
        <f t="shared" si="1"/>
        <v>554400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127432.17305000001</v>
      </c>
      <c r="F28" s="7">
        <f>(PhiMayCanMang(F$25*2,$C$15/100,$D$15/100) + PhiMangCan(F$25*2,$C$15/100,$D$15/100,$D$21))*(1+$D$17)</f>
        <v>191150.62084999998</v>
      </c>
      <c r="G28" s="7">
        <f>(PhiMayCanMang(G$25*2,$C$15/100,$D$15/100) + PhiMangCan(G$25*2,$C$15/100,$D$15/100,$D$21))*(1+$D$17)</f>
        <v>254416.11947500001</v>
      </c>
      <c r="H28" s="7">
        <f>(PhiMayCanMang(H$25*2,$C$15/100,$D$15/100) + PhiMangCan(H$25*2,$C$15/100,$D$15/100,$D$21))*(1+$D$17)</f>
        <v>318134.57514999993</v>
      </c>
      <c r="I28" s="7">
        <f>(PhiMayCanMang(I$25*2,$C$15/100,$D$15/100) + PhiMangCan(I$25*2,$C$15/100,$D$15/100,$D$21))*(1+$D$17)</f>
        <v>381400.073775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359</v>
      </c>
      <c r="E30" s="7">
        <f>PhiLamRuotCuonMP_Tay(E$24, E25/E$24)*(1+$D$17)</f>
        <v>238350</v>
      </c>
      <c r="F30" s="7">
        <f t="shared" ref="F30:I30" si="3">PhiLamRuotCuonMP_Tay(F$24, F25/F$24)*(1+$D$17)</f>
        <v>448350</v>
      </c>
      <c r="G30" s="7">
        <f t="shared" si="3"/>
        <v>658350</v>
      </c>
      <c r="H30" s="7">
        <f t="shared" si="3"/>
        <v>868350</v>
      </c>
      <c r="I30" s="7">
        <f t="shared" si="3"/>
        <v>1078350</v>
      </c>
    </row>
    <row r="31" spans="1:9" x14ac:dyDescent="0.25">
      <c r="C31" t="s">
        <v>329</v>
      </c>
      <c r="E31" s="25">
        <f>LamChanHangNgan(E$26+E$27+E$29+E30)</f>
        <v>845000</v>
      </c>
      <c r="F31" s="25">
        <f t="shared" ref="F31:I31" si="4">LamChanHangNgan(F$26+F$27+F$29+F30)</f>
        <v>1466000</v>
      </c>
      <c r="G31" s="25">
        <f t="shared" si="4"/>
        <v>2088000</v>
      </c>
      <c r="H31" s="25">
        <f t="shared" si="4"/>
        <v>2709000</v>
      </c>
      <c r="I31" s="25">
        <f t="shared" si="4"/>
        <v>3330000</v>
      </c>
    </row>
    <row r="32" spans="1:9" x14ac:dyDescent="0.25">
      <c r="C32" t="s">
        <v>330</v>
      </c>
      <c r="E32" s="25">
        <f>LamChanHangNgan(E$26+E$27+E$28+E$29+E30)</f>
        <v>972000</v>
      </c>
      <c r="F32" s="25">
        <f t="shared" ref="F32:I32" si="5">LamChanHangNgan(F$26+F$27+F$28+F$29+F30)</f>
        <v>1657000</v>
      </c>
      <c r="G32" s="25">
        <f t="shared" si="5"/>
        <v>2342000</v>
      </c>
      <c r="H32" s="25">
        <f t="shared" si="5"/>
        <v>3027000</v>
      </c>
      <c r="I32" s="25">
        <f t="shared" si="5"/>
        <v>3712000</v>
      </c>
    </row>
    <row r="33" spans="1:9" x14ac:dyDescent="0.25">
      <c r="A33">
        <v>14</v>
      </c>
      <c r="B33">
        <f>$A33*E$24</f>
        <v>140</v>
      </c>
      <c r="C33" t="s">
        <v>332</v>
      </c>
      <c r="E33">
        <f>($A33*E$24/2)/$D$16</f>
        <v>70</v>
      </c>
      <c r="F33">
        <f t="shared" ref="F33:I33" si="6">($A33*F$24/2)/$D$16</f>
        <v>140</v>
      </c>
      <c r="G33">
        <f t="shared" si="6"/>
        <v>210</v>
      </c>
      <c r="H33">
        <f t="shared" si="6"/>
        <v>280</v>
      </c>
      <c r="I33">
        <f t="shared" si="6"/>
        <v>350</v>
      </c>
    </row>
    <row r="34" spans="1:9" x14ac:dyDescent="0.25">
      <c r="C34" t="s">
        <v>306</v>
      </c>
      <c r="E34" s="26">
        <f>PhiInKM4M_BHR70(E33*$E$16*2)*(1+$D$17)</f>
        <v>430500</v>
      </c>
      <c r="F34" s="26">
        <f>PhiInKM4M_BHR70(F33*$E$16*2)*(1+$D$17)</f>
        <v>773500</v>
      </c>
      <c r="G34" s="26">
        <f>PhiInKM4M_BHR70(G33*$E$16*2)*(1+$D$17)</f>
        <v>1116500</v>
      </c>
      <c r="H34" s="26">
        <f>PhiInKM4M_BHR70(H33*$E$16*2)*(1+$D$17)</f>
        <v>1459500</v>
      </c>
      <c r="I34" s="26">
        <f>PhiInKM4M_BHR70(I33*$E$16*2)*(1+$D$17)</f>
        <v>1802500</v>
      </c>
    </row>
    <row r="35" spans="1:9" x14ac:dyDescent="0.25">
      <c r="C35" t="s">
        <v>333</v>
      </c>
      <c r="E35" s="26">
        <f>E33*$D$19*(1+$D$17)</f>
        <v>129360</v>
      </c>
      <c r="F35" s="26">
        <f t="shared" ref="F35:I35" si="7">F33*$D$19*(1+$D$17)</f>
        <v>258720</v>
      </c>
      <c r="G35" s="26">
        <f t="shared" si="7"/>
        <v>388080</v>
      </c>
      <c r="H35" s="26">
        <f t="shared" si="7"/>
        <v>517440</v>
      </c>
      <c r="I35" s="26">
        <f t="shared" si="7"/>
        <v>646800</v>
      </c>
    </row>
    <row r="36" spans="1:9" x14ac:dyDescent="0.25">
      <c r="C36" t="s">
        <v>310</v>
      </c>
      <c r="E36" s="26">
        <f>(PhiMayCanMang(E33*2,$C$15/100,$D$15/100) + PhiMangCan(E33*2,$C$15/100,$D$15/100,$D$21))*(1+$D$17)</f>
        <v>138278.3836</v>
      </c>
      <c r="F36" s="26">
        <f>(PhiMayCanMang(F33*2,$C$15/100,$D$15/100) + PhiMangCan(F33*2,$C$15/100,$D$15/100,$D$21))*(1+$D$17)</f>
        <v>212390.10082499997</v>
      </c>
      <c r="G36" s="26">
        <f>(PhiMayCanMang(G33*2,$C$15/100,$D$15/100) + PhiMangCan(G33*2,$C$15/100,$D$15/100,$D$21))*(1+$D$17)</f>
        <v>286048.87675</v>
      </c>
      <c r="H36" s="26">
        <f>(PhiMayCanMang(H33*2,$C$15/100,$D$15/100) + PhiMangCan(H33*2,$C$15/100,$D$15/100,$D$21))*(1+$D$17)</f>
        <v>360160.59379999997</v>
      </c>
      <c r="I36" s="26">
        <f>(PhiMayCanMang(I33*2,$C$15/100,$D$15/100) + PhiMangCan(I33*2,$C$15/100,$D$15/100,$D$21))*(1+$D$17)</f>
        <v>434272.31102499994</v>
      </c>
    </row>
    <row r="37" spans="1:9" x14ac:dyDescent="0.25">
      <c r="C37" t="s">
        <v>334</v>
      </c>
      <c r="E37" s="26">
        <f>PhiMayCanGap(E33*$D$16)*(1+$D$17)</f>
        <v>115572.916725</v>
      </c>
      <c r="F37" s="26">
        <f t="shared" ref="F37:I37" si="8">PhiMayCanGap(F33*$D$16)*(1+$D$17)</f>
        <v>123229.166725</v>
      </c>
      <c r="G37" s="26">
        <f t="shared" si="8"/>
        <v>130885.416725</v>
      </c>
      <c r="H37" s="26">
        <f t="shared" si="8"/>
        <v>138541.66672500002</v>
      </c>
      <c r="I37" s="26">
        <f t="shared" si="8"/>
        <v>146197.91672500002</v>
      </c>
    </row>
    <row r="38" spans="1:9" x14ac:dyDescent="0.25">
      <c r="C38" t="s">
        <v>359</v>
      </c>
      <c r="E38" s="26">
        <f>PhiLamRuotCuonMP_Tay(E$24, E33/E$24)*(1+$D$17)</f>
        <v>260575</v>
      </c>
      <c r="F38" s="26">
        <f t="shared" ref="F38:I38" si="9">PhiLamRuotCuonMP_Tay(F$24, F33/F$24)*(1+$D$17)</f>
        <v>492450</v>
      </c>
      <c r="G38" s="26">
        <f t="shared" si="9"/>
        <v>724325</v>
      </c>
      <c r="H38" s="26">
        <f t="shared" si="9"/>
        <v>956200</v>
      </c>
      <c r="I38" s="26">
        <f t="shared" si="9"/>
        <v>1188075</v>
      </c>
    </row>
    <row r="39" spans="1:9" x14ac:dyDescent="0.25">
      <c r="C39" t="s">
        <v>329</v>
      </c>
      <c r="E39" s="42">
        <f>LamChanHangNgan(E34+E35+E37+E38)</f>
        <v>936000</v>
      </c>
      <c r="F39" s="42">
        <f t="shared" ref="F39:I39" si="10">LamChanHangNgan(F34+F35+F37+F38)</f>
        <v>1647000</v>
      </c>
      <c r="G39" s="42">
        <f t="shared" si="10"/>
        <v>2359000</v>
      </c>
      <c r="H39" s="42">
        <f t="shared" si="10"/>
        <v>3071000</v>
      </c>
      <c r="I39" s="42">
        <f t="shared" si="10"/>
        <v>3783000</v>
      </c>
    </row>
    <row r="40" spans="1:9" x14ac:dyDescent="0.25">
      <c r="C40" t="s">
        <v>330</v>
      </c>
      <c r="E40" s="42">
        <f>LamChanHangNgan(E34+E35+E36+E37+E38)</f>
        <v>1074000</v>
      </c>
      <c r="F40" s="42">
        <f t="shared" ref="F40:I40" si="11">LamChanHangNgan(F34+F35+F36+F37+F38)</f>
        <v>1860000</v>
      </c>
      <c r="G40" s="42">
        <f t="shared" si="11"/>
        <v>2645000</v>
      </c>
      <c r="H40" s="42">
        <f t="shared" si="11"/>
        <v>3431000</v>
      </c>
      <c r="I40" s="42">
        <f t="shared" si="11"/>
        <v>4217000</v>
      </c>
    </row>
    <row r="41" spans="1:9" x14ac:dyDescent="0.25">
      <c r="A41">
        <v>16</v>
      </c>
      <c r="B41">
        <f>$A41*E$24</f>
        <v>160</v>
      </c>
      <c r="C41" t="s">
        <v>332</v>
      </c>
      <c r="E41">
        <f>($A41*E$24/2)/$D$16</f>
        <v>80</v>
      </c>
      <c r="F41">
        <f t="shared" ref="F41:I41" si="12">($A41*F$24/2)/$D$16</f>
        <v>160</v>
      </c>
      <c r="G41">
        <f t="shared" si="12"/>
        <v>240</v>
      </c>
      <c r="H41">
        <f t="shared" si="12"/>
        <v>320</v>
      </c>
      <c r="I41">
        <f t="shared" si="12"/>
        <v>400</v>
      </c>
    </row>
    <row r="42" spans="1:9" x14ac:dyDescent="0.25">
      <c r="C42" t="s">
        <v>306</v>
      </c>
      <c r="E42">
        <f>PhiInKM4M_BHR70(E41*$E$16*2)*(1+$D$17)</f>
        <v>479500</v>
      </c>
      <c r="F42">
        <f>PhiInKM4M_BHR70(F41*$E$16*2)*(1+$D$17)</f>
        <v>871500</v>
      </c>
      <c r="G42">
        <f>PhiInKM4M_BHR70(G41*$E$16*2)*(1+$D$17)</f>
        <v>1263500</v>
      </c>
      <c r="H42">
        <f>PhiInKM4M_BHR70(H41*$E$16*2)*(1+$D$17)</f>
        <v>1655500</v>
      </c>
      <c r="I42">
        <f>PhiInKM4M_BHR70(I41*$E$16*2)*(1+$D$17)</f>
        <v>2047500</v>
      </c>
    </row>
    <row r="43" spans="1:9" x14ac:dyDescent="0.25">
      <c r="C43" t="s">
        <v>333</v>
      </c>
      <c r="E43">
        <f>E41*$D$19*(1+$D$17)</f>
        <v>147840</v>
      </c>
      <c r="F43">
        <f t="shared" ref="F43:I43" si="13">F41*$D$19*(1+$D$17)</f>
        <v>295680</v>
      </c>
      <c r="G43">
        <f t="shared" si="13"/>
        <v>443520</v>
      </c>
      <c r="H43">
        <f t="shared" si="13"/>
        <v>591360</v>
      </c>
      <c r="I43">
        <f t="shared" si="13"/>
        <v>739200</v>
      </c>
    </row>
    <row r="44" spans="1:9" x14ac:dyDescent="0.25">
      <c r="C44" t="s">
        <v>310</v>
      </c>
      <c r="E44">
        <f>(PhiMayCanMang(E41*2,$C$15/100,$D$15/100) + PhiMangCan(E41*2,$C$15/100,$D$15/100,$D$21))*(1+$D$17)</f>
        <v>148671.65302500001</v>
      </c>
      <c r="F44">
        <f>(PhiMayCanMang(F41*2,$C$15/100,$D$15/100) + PhiMangCan(F41*2,$C$15/100,$D$15/100,$D$21))*(1+$D$17)</f>
        <v>233176.63949999999</v>
      </c>
      <c r="G44">
        <f>(PhiMayCanMang(G41*2,$C$15/100,$D$15/100) + PhiMangCan(G41*2,$C$15/100,$D$15/100,$D$21))*(1+$D$17)</f>
        <v>318134.57514999993</v>
      </c>
      <c r="H44">
        <f>(PhiMayCanMang(H41*2,$C$15/100,$D$15/100) + PhiMangCan(H41*2,$C$15/100,$D$15/100,$D$21))*(1+$D$17)</f>
        <v>402639.55374999996</v>
      </c>
      <c r="I44">
        <f>(PhiMayCanMang(I41*2,$C$15/100,$D$15/100) + PhiMangCan(I41*2,$C$15/100,$D$15/100,$D$21))*(1+$D$17)</f>
        <v>487144.54827500007</v>
      </c>
    </row>
    <row r="45" spans="1:9" x14ac:dyDescent="0.25">
      <c r="C45" t="s">
        <v>334</v>
      </c>
      <c r="E45">
        <f>PhiMayCanGap(E41*$D$16)*(1+$D$17)</f>
        <v>116666.666725</v>
      </c>
      <c r="F45">
        <f t="shared" ref="F45:I45" si="14">PhiMayCanGap(F41*$D$16)*(1+$D$17)</f>
        <v>125416.666725</v>
      </c>
      <c r="G45">
        <f t="shared" si="14"/>
        <v>134166.66672500002</v>
      </c>
      <c r="H45">
        <f t="shared" si="14"/>
        <v>142916.66672500002</v>
      </c>
      <c r="I45">
        <f t="shared" si="14"/>
        <v>151666.66672500002</v>
      </c>
    </row>
    <row r="46" spans="1:9" x14ac:dyDescent="0.25">
      <c r="C46" t="s">
        <v>359</v>
      </c>
      <c r="E46" s="26">
        <f>PhiLamRuotCuonMP_Tay(E$24, E41/E$24)*(1+$D$17)</f>
        <v>282800</v>
      </c>
      <c r="F46" s="26">
        <f t="shared" ref="F46:I46" si="15">PhiLamRuotCuonMP_Tay(F$24, F41/F$24)*(1+$D$17)</f>
        <v>536550</v>
      </c>
      <c r="G46" s="26">
        <f t="shared" si="15"/>
        <v>790300</v>
      </c>
      <c r="H46" s="26">
        <f t="shared" si="15"/>
        <v>1044050</v>
      </c>
      <c r="I46" s="26">
        <f t="shared" si="15"/>
        <v>1297800</v>
      </c>
    </row>
    <row r="47" spans="1:9" x14ac:dyDescent="0.25">
      <c r="C47" t="s">
        <v>329</v>
      </c>
      <c r="E47" s="42">
        <f>LamChanHangNgan(E42+E43+E45+E46)</f>
        <v>1026000</v>
      </c>
      <c r="F47" s="42">
        <f t="shared" ref="F47" si="16">LamChanHangNgan(F42+F43+F45+F46)</f>
        <v>1829000</v>
      </c>
      <c r="G47" s="42">
        <f t="shared" ref="G47" si="17">LamChanHangNgan(G42+G43+G45+G46)</f>
        <v>2631000</v>
      </c>
      <c r="H47" s="42">
        <f t="shared" ref="H47" si="18">LamChanHangNgan(H42+H43+H45+H46)</f>
        <v>3433000</v>
      </c>
      <c r="I47" s="42">
        <f t="shared" ref="I47" si="19">LamChanHangNgan(I42+I43+I45+I46)</f>
        <v>4236000</v>
      </c>
    </row>
    <row r="48" spans="1:9" x14ac:dyDescent="0.25">
      <c r="C48" t="s">
        <v>330</v>
      </c>
      <c r="E48" s="42">
        <f>LamChanHangNgan(E42+E43+E44+E45+E46)</f>
        <v>1175000</v>
      </c>
      <c r="F48" s="42">
        <f t="shared" ref="F48:I48" si="20">LamChanHangNgan(F42+F43+F44+F45+F46)</f>
        <v>2062000</v>
      </c>
      <c r="G48" s="42">
        <f t="shared" si="20"/>
        <v>2949000</v>
      </c>
      <c r="H48" s="42">
        <f t="shared" si="20"/>
        <v>3836000</v>
      </c>
      <c r="I48" s="42">
        <f t="shared" si="20"/>
        <v>4723000</v>
      </c>
    </row>
    <row r="49" spans="1:9" x14ac:dyDescent="0.25">
      <c r="A49">
        <v>18</v>
      </c>
      <c r="B49">
        <f>$A49*E$24</f>
        <v>180</v>
      </c>
      <c r="C49" t="s">
        <v>332</v>
      </c>
      <c r="E49">
        <f>($A49*E$24/2)/$D$16</f>
        <v>90</v>
      </c>
      <c r="F49">
        <f t="shared" ref="F49:I49" si="21">($A49*F$24/2)/$D$16</f>
        <v>180</v>
      </c>
      <c r="G49">
        <f t="shared" si="21"/>
        <v>270</v>
      </c>
      <c r="H49">
        <f t="shared" si="21"/>
        <v>360</v>
      </c>
      <c r="I49">
        <f t="shared" si="21"/>
        <v>450</v>
      </c>
    </row>
    <row r="50" spans="1:9" x14ac:dyDescent="0.25">
      <c r="C50" t="s">
        <v>306</v>
      </c>
      <c r="E50">
        <f>PhiInKM4M_BHR70(E49*$E$16*2)*(1+$D$17)</f>
        <v>528500</v>
      </c>
      <c r="F50">
        <f>PhiInKM4M_BHR70(F49*$E$16*2)*(1+$D$17)</f>
        <v>969500</v>
      </c>
      <c r="G50">
        <f>PhiInKM4M_BHR70(G49*$E$16*2)*(1+$D$17)</f>
        <v>1410500</v>
      </c>
      <c r="H50">
        <f>PhiInKM4M_BHR70(H49*$E$16*2)*(1+$D$17)</f>
        <v>1851500</v>
      </c>
      <c r="I50">
        <f>PhiInKM4M_BHR70(I49*$E$16*2)*(1+$D$17)</f>
        <v>2292500</v>
      </c>
    </row>
    <row r="51" spans="1:9" x14ac:dyDescent="0.25">
      <c r="C51" t="s">
        <v>333</v>
      </c>
      <c r="E51">
        <f>E49*$D$19*(1+$D$17)</f>
        <v>166320</v>
      </c>
      <c r="F51">
        <f t="shared" ref="F51:I51" si="22">F49*$D$19*(1+$D$17)</f>
        <v>332640</v>
      </c>
      <c r="G51">
        <f t="shared" si="22"/>
        <v>498960</v>
      </c>
      <c r="H51">
        <f t="shared" si="22"/>
        <v>665280</v>
      </c>
      <c r="I51">
        <f t="shared" si="22"/>
        <v>831600</v>
      </c>
    </row>
    <row r="52" spans="1:9" x14ac:dyDescent="0.25">
      <c r="C52" t="s">
        <v>310</v>
      </c>
      <c r="E52">
        <f>(PhiMayCanMang(E49*2,$C$15/100,$D$15/100) + PhiMangCan(E49*2,$C$15/100,$D$15/100,$D$21))*(1+$D$17)</f>
        <v>159517.863575</v>
      </c>
      <c r="F52">
        <f>(PhiMayCanMang(F49*2,$C$15/100,$D$15/100) + PhiMangCan(F49*2,$C$15/100,$D$15/100,$D$21))*(1+$D$17)</f>
        <v>254416.11947500001</v>
      </c>
      <c r="G52">
        <f>(PhiMayCanMang(G49*2,$C$15/100,$D$15/100) + PhiMangCan(G49*2,$C$15/100,$D$15/100,$D$21))*(1+$D$17)</f>
        <v>349767.31650000002</v>
      </c>
      <c r="H52">
        <f>(PhiMayCanMang(H49*2,$C$15/100,$D$15/100) + PhiMangCan(H49*2,$C$15/100,$D$15/100,$D$21))*(1+$D$17)</f>
        <v>444665.5724</v>
      </c>
      <c r="I52">
        <f>(PhiMayCanMang(I49*2,$C$15/100,$D$15/100) + PhiMangCan(I49*2,$C$15/100,$D$15/100,$D$21))*(1+$D$17)</f>
        <v>540016.78535000002</v>
      </c>
    </row>
    <row r="53" spans="1:9" x14ac:dyDescent="0.25">
      <c r="C53" t="s">
        <v>334</v>
      </c>
      <c r="E53">
        <f>PhiMayCanGap(E49*$D$16)*(1+$D$17)</f>
        <v>117760.416725</v>
      </c>
      <c r="F53">
        <f t="shared" ref="F53:I53" si="23">PhiMayCanGap(F49*$D$16)*(1+$D$17)</f>
        <v>127604.166725</v>
      </c>
      <c r="G53">
        <f t="shared" si="23"/>
        <v>137447.91672500002</v>
      </c>
      <c r="H53">
        <f t="shared" si="23"/>
        <v>147291.66672500002</v>
      </c>
      <c r="I53">
        <f t="shared" si="23"/>
        <v>157135.41672500002</v>
      </c>
    </row>
    <row r="54" spans="1:9" x14ac:dyDescent="0.25">
      <c r="C54" t="s">
        <v>359</v>
      </c>
      <c r="E54" s="26">
        <f>PhiLamRuotCuonMP_Tay(E$24, E49/E$24)*(1+$D$17)</f>
        <v>305025</v>
      </c>
      <c r="F54" s="26">
        <f t="shared" ref="F54:I54" si="24">PhiLamRuotCuonMP_Tay(F$24, F49/F$24)*(1+$D$17)</f>
        <v>580650</v>
      </c>
      <c r="G54" s="26">
        <f t="shared" si="24"/>
        <v>856275</v>
      </c>
      <c r="H54" s="26">
        <f t="shared" si="24"/>
        <v>1131900</v>
      </c>
      <c r="I54" s="26">
        <f t="shared" si="24"/>
        <v>1407525</v>
      </c>
    </row>
    <row r="55" spans="1:9" x14ac:dyDescent="0.25">
      <c r="C55" t="s">
        <v>329</v>
      </c>
      <c r="E55" s="42">
        <f>LamChanHangNgan(E50+E51+E53+E54)</f>
        <v>1117000</v>
      </c>
      <c r="F55" s="42">
        <f t="shared" ref="F55" si="25">LamChanHangNgan(F50+F51+F53+F54)</f>
        <v>2010000</v>
      </c>
      <c r="G55" s="42">
        <f t="shared" ref="G55" si="26">LamChanHangNgan(G50+G51+G53+G54)</f>
        <v>2903000</v>
      </c>
      <c r="H55" s="42">
        <f t="shared" ref="H55" si="27">LamChanHangNgan(H50+H51+H53+H54)</f>
        <v>3795000</v>
      </c>
      <c r="I55" s="42">
        <f t="shared" ref="I55" si="28">LamChanHangNgan(I50+I51+I53+I54)</f>
        <v>4688000</v>
      </c>
    </row>
    <row r="56" spans="1:9" x14ac:dyDescent="0.25">
      <c r="C56" t="s">
        <v>330</v>
      </c>
      <c r="E56" s="42">
        <f>LamChanHangNgan(E50+E51+E52+E53+E54)</f>
        <v>1277000</v>
      </c>
      <c r="F56" s="42">
        <f t="shared" ref="F56:I56" si="29">LamChanHangNgan(F50+F51+F52+F53+F54)</f>
        <v>2264000</v>
      </c>
      <c r="G56" s="42">
        <f t="shared" si="29"/>
        <v>3252000</v>
      </c>
      <c r="H56" s="42">
        <f t="shared" si="29"/>
        <v>4240000</v>
      </c>
      <c r="I56" s="42">
        <f t="shared" si="29"/>
        <v>5228000</v>
      </c>
    </row>
    <row r="57" spans="1:9" x14ac:dyDescent="0.25">
      <c r="A57">
        <v>20</v>
      </c>
      <c r="B57">
        <f>$A57*E$24</f>
        <v>200</v>
      </c>
      <c r="C57" t="s">
        <v>332</v>
      </c>
      <c r="E57">
        <f>($A57*E$24/2)/$D$16</f>
        <v>100</v>
      </c>
      <c r="F57">
        <f t="shared" ref="F57:I57" si="30">($A57*F$24/2)/$D$16</f>
        <v>200</v>
      </c>
      <c r="G57">
        <f t="shared" si="30"/>
        <v>300</v>
      </c>
      <c r="H57">
        <f t="shared" si="30"/>
        <v>400</v>
      </c>
      <c r="I57">
        <f t="shared" si="30"/>
        <v>500</v>
      </c>
    </row>
    <row r="58" spans="1:9" x14ac:dyDescent="0.25">
      <c r="C58" t="s">
        <v>306</v>
      </c>
      <c r="E58">
        <f>PhiInKM4M_BHR70(E57*$E$16*2)*(1+$D$17)</f>
        <v>577500</v>
      </c>
      <c r="F58">
        <f>PhiInKM4M_BHR70(F57*$E$16*2)*(1+$D$17)</f>
        <v>1067500</v>
      </c>
      <c r="G58">
        <f>PhiInKM4M_BHR70(G57*$E$16*2)*(1+$D$17)</f>
        <v>1557500</v>
      </c>
      <c r="H58">
        <f>PhiInKM4M_BHR70(H57*$E$16*2)*(1+$D$17)</f>
        <v>2047500</v>
      </c>
      <c r="I58">
        <f>PhiInKM4M_BHR70(I57*$E$16*2)*(1+$D$17)</f>
        <v>2537500</v>
      </c>
    </row>
    <row r="59" spans="1:9" x14ac:dyDescent="0.25">
      <c r="C59" t="s">
        <v>333</v>
      </c>
      <c r="E59">
        <f>E57*$D$19*(1+$D$17)</f>
        <v>184800</v>
      </c>
      <c r="F59">
        <f t="shared" ref="F59:I59" si="31">F57*$D$19*(1+$D$17)</f>
        <v>369600</v>
      </c>
      <c r="G59">
        <f t="shared" si="31"/>
        <v>554400</v>
      </c>
      <c r="H59">
        <f t="shared" si="31"/>
        <v>739200</v>
      </c>
      <c r="I59">
        <f t="shared" si="31"/>
        <v>924000</v>
      </c>
    </row>
    <row r="60" spans="1:9" x14ac:dyDescent="0.25">
      <c r="C60" t="s">
        <v>310</v>
      </c>
      <c r="E60">
        <f>(PhiMayCanMang(E57*2,$C$15/100,$D$15/100) + PhiMangCan(E57*2,$C$15/100,$D$15/100,$D$21))*(1+$D$17)</f>
        <v>169911.137025</v>
      </c>
      <c r="F60">
        <f>(PhiMayCanMang(F57*2,$C$15/100,$D$15/100) + PhiMangCan(F57*2,$C$15/100,$D$15/100,$D$21))*(1+$D$17)</f>
        <v>275655.60732499999</v>
      </c>
      <c r="G60">
        <f>(PhiMayCanMang(G57*2,$C$15/100,$D$15/100) + PhiMangCan(G57*2,$C$15/100,$D$15/100,$D$21))*(1+$D$17)</f>
        <v>381400.073775</v>
      </c>
      <c r="H60">
        <f>(PhiMayCanMang(H57*2,$C$15/100,$D$15/100) + PhiMangCan(H57*2,$C$15/100,$D$15/100,$D$21))*(1+$D$17)</f>
        <v>487144.54827500007</v>
      </c>
      <c r="I60">
        <f>(PhiMayCanMang(I57*2,$C$15/100,$D$15/100) + PhiMangCan(I57*2,$C$15/100,$D$15/100,$D$21))*(1+$D$17)</f>
        <v>592889.00667499995</v>
      </c>
    </row>
    <row r="61" spans="1:9" x14ac:dyDescent="0.25">
      <c r="C61" t="s">
        <v>334</v>
      </c>
      <c r="E61">
        <f>PhiMayCanGap(E57*$D$16)*(1+$D$17)</f>
        <v>118854.166725</v>
      </c>
      <c r="F61">
        <f t="shared" ref="F61:I61" si="32">PhiMayCanGap(F57*$D$16)*(1+$D$17)</f>
        <v>129791.666725</v>
      </c>
      <c r="G61">
        <f t="shared" si="32"/>
        <v>140729.16672500002</v>
      </c>
      <c r="H61">
        <f t="shared" si="32"/>
        <v>151666.66672500002</v>
      </c>
      <c r="I61">
        <f t="shared" si="32"/>
        <v>162604.16672500002</v>
      </c>
    </row>
    <row r="62" spans="1:9" x14ac:dyDescent="0.25">
      <c r="C62" t="s">
        <v>359</v>
      </c>
      <c r="E62" s="26">
        <f>PhiLamRuotCuonMP_Tay(E$24, E57/E$24)*(1+$D$17)</f>
        <v>327250</v>
      </c>
      <c r="F62" s="26">
        <f t="shared" ref="F62:I62" si="33">PhiLamRuotCuonMP_Tay(F$24, F57/F$24)*(1+$D$17)</f>
        <v>624750</v>
      </c>
      <c r="G62" s="26">
        <f t="shared" si="33"/>
        <v>922250</v>
      </c>
      <c r="H62" s="26">
        <f t="shared" si="33"/>
        <v>1219750</v>
      </c>
      <c r="I62" s="26">
        <f t="shared" si="33"/>
        <v>1517250</v>
      </c>
    </row>
    <row r="63" spans="1:9" x14ac:dyDescent="0.25">
      <c r="C63" t="s">
        <v>329</v>
      </c>
      <c r="E63" s="42">
        <f>LamChanHangNgan(E58+E59+E61+E62)</f>
        <v>1208000</v>
      </c>
      <c r="F63" s="42">
        <f t="shared" ref="F63" si="34">LamChanHangNgan(F58+F59+F61+F62)</f>
        <v>2191000</v>
      </c>
      <c r="G63" s="42">
        <f t="shared" ref="G63" si="35">LamChanHangNgan(G58+G59+G61+G62)</f>
        <v>3174000</v>
      </c>
      <c r="H63" s="42">
        <f t="shared" ref="H63" si="36">LamChanHangNgan(H58+H59+H61+H62)</f>
        <v>4158000</v>
      </c>
      <c r="I63" s="42">
        <f t="shared" ref="I63" si="37">LamChanHangNgan(I58+I59+I61+I62)</f>
        <v>5141000</v>
      </c>
    </row>
    <row r="64" spans="1:9" ht="14.25" customHeight="1" x14ac:dyDescent="0.25">
      <c r="C64" t="s">
        <v>330</v>
      </c>
      <c r="E64" s="42">
        <f>LamChanHangNgan(E58+E59+E60+E61+E62)</f>
        <v>1378000</v>
      </c>
      <c r="F64" s="42">
        <f t="shared" ref="F64:I64" si="38">LamChanHangNgan(F58+F59+F60+F61+F62)</f>
        <v>2467000</v>
      </c>
      <c r="G64" s="42">
        <f t="shared" si="38"/>
        <v>3556000</v>
      </c>
      <c r="H64" s="42">
        <f t="shared" si="38"/>
        <v>4645000</v>
      </c>
      <c r="I64" s="42">
        <f t="shared" si="38"/>
        <v>5734000</v>
      </c>
    </row>
    <row r="65" spans="1:9" x14ac:dyDescent="0.25">
      <c r="A65">
        <v>22</v>
      </c>
      <c r="B65">
        <f>$A65*E$24</f>
        <v>220</v>
      </c>
      <c r="C65" t="s">
        <v>332</v>
      </c>
      <c r="E65">
        <f>($A65*E$24/2)/$D$16</f>
        <v>110</v>
      </c>
      <c r="F65">
        <f t="shared" ref="F65:I65" si="39">($A65*F$24/2)/$D$16</f>
        <v>220</v>
      </c>
      <c r="G65">
        <f t="shared" si="39"/>
        <v>330</v>
      </c>
      <c r="H65">
        <f t="shared" si="39"/>
        <v>440</v>
      </c>
      <c r="I65">
        <f t="shared" si="39"/>
        <v>550</v>
      </c>
    </row>
    <row r="66" spans="1:9" x14ac:dyDescent="0.25">
      <c r="C66" t="s">
        <v>306</v>
      </c>
      <c r="E66">
        <f>PhiInKM4M_BHR70(E65*$E$16*2)*(1+$D$17)</f>
        <v>626500</v>
      </c>
      <c r="F66">
        <f>PhiInKM4M_BHR70(F65*$E$16*2)*(1+$D$17)</f>
        <v>1165500</v>
      </c>
      <c r="G66">
        <f>PhiInKM4M_BHR70(G65*$E$16*2)*(1+$D$17)</f>
        <v>1704500</v>
      </c>
      <c r="H66">
        <f>PhiInKM4M_BHR70(H65*$E$16*2)*(1+$D$17)</f>
        <v>2243500</v>
      </c>
      <c r="I66">
        <f>PhiInKM4M_BHR70(I65*$E$16*2)*(1+$D$17)</f>
        <v>2782500</v>
      </c>
    </row>
    <row r="67" spans="1:9" x14ac:dyDescent="0.25">
      <c r="C67" t="s">
        <v>333</v>
      </c>
      <c r="E67">
        <f>E65*$D$19*(1+$D$17)</f>
        <v>203280</v>
      </c>
      <c r="F67">
        <f t="shared" ref="F67:I67" si="40">F65*$D$19*(1+$D$17)</f>
        <v>406560</v>
      </c>
      <c r="G67">
        <f t="shared" si="40"/>
        <v>609840</v>
      </c>
      <c r="H67">
        <f t="shared" si="40"/>
        <v>813120</v>
      </c>
      <c r="I67">
        <f t="shared" si="40"/>
        <v>1016400</v>
      </c>
    </row>
    <row r="68" spans="1:9" x14ac:dyDescent="0.25">
      <c r="C68" t="s">
        <v>310</v>
      </c>
      <c r="E68">
        <f>(PhiMayCanMang(E65*2,$C$15/100,$D$15/100) + PhiMangCan(E65*2,$C$15/100,$D$15/100,$D$21))*(1+$D$17)</f>
        <v>180304.40224999998</v>
      </c>
      <c r="F68">
        <f>(PhiMayCanMang(F65*2,$C$15/100,$D$15/100) + PhiMangCan(F65*2,$C$15/100,$D$15/100,$D$21))*(1+$D$17)</f>
        <v>296895.07925000001</v>
      </c>
      <c r="G68">
        <f>(PhiMayCanMang(G65*2,$C$15/100,$D$15/100) + PhiMangCan(G65*2,$C$15/100,$D$15/100,$D$21))*(1+$D$17)</f>
        <v>413032.83104999998</v>
      </c>
      <c r="H68">
        <f>(PhiMayCanMang(H65*2,$C$15/100,$D$15/100) + PhiMangCan(H65*2,$C$15/100,$D$15/100,$D$21))*(1+$D$17)</f>
        <v>529623.49212499987</v>
      </c>
      <c r="I68">
        <f>(PhiMayCanMang(I65*2,$C$15/100,$D$15/100) + PhiMangCan(I65*2,$C$15/100,$D$15/100,$D$21))*(1+$D$17)</f>
        <v>645761.25985000003</v>
      </c>
    </row>
    <row r="69" spans="1:9" x14ac:dyDescent="0.25">
      <c r="C69" t="s">
        <v>334</v>
      </c>
      <c r="E69">
        <f>PhiMayCanGap(E65*$D$16)*(1+$D$17)</f>
        <v>119947.916725</v>
      </c>
      <c r="F69">
        <f t="shared" ref="F69:I69" si="41">PhiMayCanGap(F65*$D$16)*(1+$D$17)</f>
        <v>131979.16672500002</v>
      </c>
      <c r="G69">
        <f t="shared" si="41"/>
        <v>144010.41672500002</v>
      </c>
      <c r="H69">
        <f t="shared" si="41"/>
        <v>156041.66672500002</v>
      </c>
      <c r="I69">
        <f t="shared" si="41"/>
        <v>168072.91672500002</v>
      </c>
    </row>
    <row r="70" spans="1:9" x14ac:dyDescent="0.25">
      <c r="C70" t="s">
        <v>359</v>
      </c>
      <c r="E70" s="26">
        <f>PhiLamRuotCuonMP_Tay(E$24, E65/E$24)*(1+$D$17)</f>
        <v>349475</v>
      </c>
      <c r="F70" s="26">
        <f t="shared" ref="F70:I70" si="42">PhiLamRuotCuonMP_Tay(F$24, F65/F$24)*(1+$D$17)</f>
        <v>668850</v>
      </c>
      <c r="G70" s="26">
        <f t="shared" si="42"/>
        <v>988225</v>
      </c>
      <c r="H70" s="26">
        <f t="shared" si="42"/>
        <v>1307600</v>
      </c>
      <c r="I70" s="26">
        <f t="shared" si="42"/>
        <v>1626975</v>
      </c>
    </row>
    <row r="71" spans="1:9" x14ac:dyDescent="0.25">
      <c r="C71" t="s">
        <v>329</v>
      </c>
      <c r="E71" s="42">
        <f>LamChanHangNgan(E66+E67+E69+E70)</f>
        <v>1299000</v>
      </c>
      <c r="F71" s="42">
        <f t="shared" ref="F71" si="43">LamChanHangNgan(F66+F67+F69+F70)</f>
        <v>2372000</v>
      </c>
      <c r="G71" s="42">
        <f t="shared" ref="G71" si="44">LamChanHangNgan(G66+G67+G69+G70)</f>
        <v>3446000</v>
      </c>
      <c r="H71" s="42">
        <f t="shared" ref="H71" si="45">LamChanHangNgan(H66+H67+H69+H70)</f>
        <v>4520000</v>
      </c>
      <c r="I71" s="42">
        <f t="shared" ref="I71" si="46">LamChanHangNgan(I66+I67+I69+I70)</f>
        <v>5593000</v>
      </c>
    </row>
    <row r="72" spans="1:9" x14ac:dyDescent="0.25">
      <c r="C72" t="s">
        <v>330</v>
      </c>
      <c r="E72" s="42">
        <f>LamChanHangNgan(E66+E67+E68+E69+E70)</f>
        <v>1479000</v>
      </c>
      <c r="F72" s="42">
        <f t="shared" ref="F72:I72" si="47">LamChanHangNgan(F66+F67+F68+F69+F70)</f>
        <v>2669000</v>
      </c>
      <c r="G72" s="42">
        <f t="shared" si="47"/>
        <v>3859000</v>
      </c>
      <c r="H72" s="42">
        <f t="shared" si="47"/>
        <v>5049000</v>
      </c>
      <c r="I72" s="42">
        <f t="shared" si="47"/>
        <v>6239000</v>
      </c>
    </row>
    <row r="73" spans="1:9" x14ac:dyDescent="0.25">
      <c r="A73">
        <v>24</v>
      </c>
      <c r="B73">
        <f>$A73*E$24</f>
        <v>240</v>
      </c>
      <c r="C73" t="s">
        <v>332</v>
      </c>
      <c r="E73">
        <f>($A73*E$24/2)/$D$16</f>
        <v>120</v>
      </c>
      <c r="F73">
        <f t="shared" ref="F73:I73" si="48">($A73*F$24/2)/$D$16</f>
        <v>240</v>
      </c>
      <c r="G73">
        <f t="shared" si="48"/>
        <v>360</v>
      </c>
      <c r="H73">
        <f t="shared" si="48"/>
        <v>480</v>
      </c>
      <c r="I73">
        <f t="shared" si="48"/>
        <v>600</v>
      </c>
    </row>
    <row r="74" spans="1:9" x14ac:dyDescent="0.25">
      <c r="C74" t="s">
        <v>306</v>
      </c>
      <c r="E74">
        <f>PhiInKM4M_BHR70(E73*$E$16*2)*(1+$D$17)</f>
        <v>675500</v>
      </c>
      <c r="F74">
        <f>PhiInKM4M_BHR70(F73*$E$16*2)*(1+$D$17)</f>
        <v>1263500</v>
      </c>
      <c r="G74">
        <f>PhiInKM4M_BHR70(G73*$E$16*2)*(1+$D$17)</f>
        <v>1851500</v>
      </c>
      <c r="H74">
        <f>PhiInKM4M_BHR70(H73*$E$16*2)*(1+$D$17)</f>
        <v>2439500</v>
      </c>
      <c r="I74">
        <f>PhiInKM4M_BHR70(I73*$E$16*2)*(1+$D$17)</f>
        <v>3027500</v>
      </c>
    </row>
    <row r="75" spans="1:9" x14ac:dyDescent="0.25">
      <c r="C75" t="s">
        <v>333</v>
      </c>
      <c r="E75">
        <f>E73*$D$19*(1+$D$17)</f>
        <v>221760</v>
      </c>
      <c r="F75">
        <f t="shared" ref="F75:I75" si="49">F73*$D$19*(1+$D$17)</f>
        <v>443520</v>
      </c>
      <c r="G75">
        <f t="shared" si="49"/>
        <v>665280</v>
      </c>
      <c r="H75">
        <f t="shared" si="49"/>
        <v>887040</v>
      </c>
      <c r="I75">
        <f t="shared" si="49"/>
        <v>1108800</v>
      </c>
    </row>
    <row r="76" spans="1:9" x14ac:dyDescent="0.25">
      <c r="C76" t="s">
        <v>310</v>
      </c>
      <c r="E76">
        <f>(PhiMayCanMang(E73*2,$C$15/100,$D$15/100) + PhiMangCan(E73*2,$C$15/100,$D$15/100,$D$21))*(1+$D$17)</f>
        <v>191150.62084999998</v>
      </c>
      <c r="F76">
        <f>(PhiMayCanMang(F73*2,$C$15/100,$D$15/100) + PhiMangCan(F73*2,$C$15/100,$D$15/100,$D$21))*(1+$D$17)</f>
        <v>318134.57514999993</v>
      </c>
      <c r="G76">
        <f>(PhiMayCanMang(G73*2,$C$15/100,$D$15/100) + PhiMangCan(G73*2,$C$15/100,$D$15/100,$D$21))*(1+$D$17)</f>
        <v>444665.5724</v>
      </c>
      <c r="H76">
        <f>(PhiMayCanMang(H73*2,$C$15/100,$D$15/100) + PhiMangCan(H73*2,$C$15/100,$D$15/100,$D$21))*(1+$D$17)</f>
        <v>571649.54279999994</v>
      </c>
      <c r="I76">
        <f>(PhiMayCanMang(I73*2,$C$15/100,$D$15/100) + PhiMangCan(I73*2,$C$15/100,$D$15/100,$D$21))*(1+$D$17)</f>
        <v>698633.48117499996</v>
      </c>
    </row>
    <row r="77" spans="1:9" x14ac:dyDescent="0.25">
      <c r="C77" t="s">
        <v>334</v>
      </c>
      <c r="E77">
        <f>PhiMayCanGap(E73*$D$16)*(1+$D$17)</f>
        <v>121041.666725</v>
      </c>
      <c r="F77">
        <f t="shared" ref="F77:I77" si="50">PhiMayCanGap(F73*$D$16)*(1+$D$17)</f>
        <v>134166.66672500002</v>
      </c>
      <c r="G77">
        <f t="shared" si="50"/>
        <v>147291.66672500002</v>
      </c>
      <c r="H77">
        <f t="shared" si="50"/>
        <v>160416.66672500002</v>
      </c>
      <c r="I77">
        <f t="shared" si="50"/>
        <v>173541.66672500002</v>
      </c>
    </row>
    <row r="78" spans="1:9" x14ac:dyDescent="0.25">
      <c r="C78" t="s">
        <v>359</v>
      </c>
      <c r="E78" s="26">
        <f>PhiLamRuotCuonMP_Tay(E$24, E73/E$24)*(1+$D$17)</f>
        <v>371700</v>
      </c>
      <c r="F78" s="26">
        <f t="shared" ref="F78:I78" si="51">PhiLamRuotCuonMP_Tay(F$24, F73/F$24)*(1+$D$17)</f>
        <v>712950</v>
      </c>
      <c r="G78" s="26">
        <f t="shared" si="51"/>
        <v>1054200</v>
      </c>
      <c r="H78" s="26">
        <f t="shared" si="51"/>
        <v>1395450</v>
      </c>
      <c r="I78" s="26">
        <f t="shared" si="51"/>
        <v>1736700</v>
      </c>
    </row>
    <row r="79" spans="1:9" x14ac:dyDescent="0.25">
      <c r="C79" t="s">
        <v>329</v>
      </c>
      <c r="E79" s="42">
        <f>LamChanHangNgan(E74+E75+E77+E78)</f>
        <v>1390000</v>
      </c>
      <c r="F79" s="42">
        <f t="shared" ref="F79" si="52">LamChanHangNgan(F74+F75+F77+F78)</f>
        <v>2554000</v>
      </c>
      <c r="G79" s="42">
        <f t="shared" ref="G79" si="53">LamChanHangNgan(G74+G75+G77+G78)</f>
        <v>3718000</v>
      </c>
      <c r="H79" s="42">
        <f t="shared" ref="H79" si="54">LamChanHangNgan(H74+H75+H77+H78)</f>
        <v>4882000</v>
      </c>
      <c r="I79" s="42">
        <f t="shared" ref="I79" si="55">LamChanHangNgan(I74+I75+I77+I78)</f>
        <v>6046000</v>
      </c>
    </row>
    <row r="80" spans="1:9" x14ac:dyDescent="0.25">
      <c r="C80" t="s">
        <v>330</v>
      </c>
      <c r="E80" s="42">
        <f>LamChanHangNgan(E74+E75+E76+E77+E78)</f>
        <v>1581000</v>
      </c>
      <c r="F80" s="42">
        <f t="shared" ref="F80:I80" si="56">LamChanHangNgan(F74+F75+F76+F77+F78)</f>
        <v>2872000</v>
      </c>
      <c r="G80" s="42">
        <f t="shared" si="56"/>
        <v>4162000</v>
      </c>
      <c r="H80" s="42">
        <f t="shared" si="56"/>
        <v>5454000</v>
      </c>
      <c r="I80" s="42">
        <f t="shared" si="56"/>
        <v>6745000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9DCDDD-11DE-40EA-8259-DCB686C3978D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687D00A-2DB4-4BB8-A33E-CBF9253AC8C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C2B8C956-5679-4A16-B350-BDEB257B21E3}">
      <formula1>OFFSET(GIA_GIAY_CO_BAN,1,0,,1)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2B13-9B56-40DD-9A16-8093F94A634E}">
  <sheetPr codeName="Trang_tính9"/>
  <dimension ref="A1:M36"/>
  <sheetViews>
    <sheetView topLeftCell="A4" workbookViewId="0">
      <selection activeCell="M12" sqref="M12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9" width="1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361</v>
      </c>
      <c r="B19" t="s">
        <v>152</v>
      </c>
      <c r="C19" t="s">
        <v>145</v>
      </c>
      <c r="D19">
        <v>628</v>
      </c>
      <c r="E19" s="7">
        <f>D19*(1+D17)</f>
        <v>1099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347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348</v>
      </c>
      <c r="E26" s="7">
        <f>PhiInKM4M_BHR70(E$25*$E$16)*(1+$D$17)</f>
        <v>112000</v>
      </c>
      <c r="F26" s="7">
        <f>PhiInKM4M_BHR70(F$25*$E$16)*(1+$D$17)</f>
        <v>136500</v>
      </c>
      <c r="G26" s="7">
        <f>PhiInKM4M_BHR70(G$25*$E$16)*(1+$D$17)</f>
        <v>161000</v>
      </c>
      <c r="H26" s="7">
        <f>PhiInKM4M_BHR70(H$25*$E$16)*(1+$D$17)</f>
        <v>185500</v>
      </c>
      <c r="I26" s="7">
        <f>PhiInKM4M_BHR70(I$25*$E$16)*(1+$D$17)</f>
        <v>210000</v>
      </c>
    </row>
    <row r="27" spans="1:9" x14ac:dyDescent="0.25">
      <c r="C27" t="s">
        <v>333</v>
      </c>
      <c r="E27" s="7">
        <f>E$25*$D$19*(1+$D$17)</f>
        <v>10990</v>
      </c>
      <c r="F27" s="7">
        <f>F$25*$D$19*(1+$D$17)</f>
        <v>21980</v>
      </c>
      <c r="G27" s="7">
        <f t="shared" ref="G27:I27" si="1">G$25*$D$19*(1+$D$17)</f>
        <v>32970</v>
      </c>
      <c r="H27" s="7">
        <f t="shared" si="1"/>
        <v>43960</v>
      </c>
      <c r="I27" s="7">
        <f t="shared" si="1"/>
        <v>54950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351</v>
      </c>
      <c r="E29" s="7">
        <f>SUM(E26:E28)</f>
        <v>197549.93702499999</v>
      </c>
      <c r="F29" s="7">
        <f t="shared" ref="F29:I29" si="2">SUM(F26:F28)</f>
        <v>243886.148625</v>
      </c>
      <c r="G29" s="7">
        <f t="shared" si="2"/>
        <v>289769.41980000003</v>
      </c>
      <c r="H29" s="7">
        <f t="shared" si="2"/>
        <v>336105.63034999999</v>
      </c>
      <c r="I29" s="7">
        <f t="shared" si="2"/>
        <v>381988.90187499998</v>
      </c>
    </row>
    <row r="30" spans="1:9" x14ac:dyDescent="0.25">
      <c r="C30" t="s">
        <v>349</v>
      </c>
      <c r="E30" s="7">
        <f>E24*2*$D$22</f>
        <v>24000</v>
      </c>
      <c r="F30" s="7">
        <f t="shared" ref="F30:I30" si="3">F24*2*$D$22</f>
        <v>48000</v>
      </c>
      <c r="G30" s="7">
        <f t="shared" si="3"/>
        <v>72000</v>
      </c>
      <c r="H30" s="7">
        <f t="shared" si="3"/>
        <v>96000</v>
      </c>
      <c r="I30" s="7">
        <f t="shared" si="3"/>
        <v>120000</v>
      </c>
    </row>
    <row r="31" spans="1:9" x14ac:dyDescent="0.25">
      <c r="C31" t="s">
        <v>350</v>
      </c>
      <c r="E31" s="7">
        <f>(PhiLamBiaCungMayY(E24)+E30)*(1+$D$17)</f>
        <v>286149.30539999995</v>
      </c>
      <c r="F31" s="7">
        <f t="shared" ref="F31:I31" si="4">(PhiLamBiaCungMayY(F24)+F30)*(1+$D$17)</f>
        <v>333131.94425</v>
      </c>
      <c r="G31" s="7">
        <f t="shared" si="4"/>
        <v>380114.58327499998</v>
      </c>
      <c r="H31" s="7">
        <f t="shared" si="4"/>
        <v>427097.22212499997</v>
      </c>
      <c r="I31" s="7">
        <f t="shared" si="4"/>
        <v>474079.86097499996</v>
      </c>
    </row>
    <row r="32" spans="1:9" x14ac:dyDescent="0.25">
      <c r="C32" t="s">
        <v>352</v>
      </c>
      <c r="E32" s="43">
        <f>E29+E31</f>
        <v>483699.24242499995</v>
      </c>
      <c r="F32" s="43">
        <f t="shared" ref="F32:I32" si="5">F29+F31</f>
        <v>577018.09287499997</v>
      </c>
      <c r="G32" s="43">
        <f t="shared" si="5"/>
        <v>669884.00307500002</v>
      </c>
      <c r="H32" s="43">
        <f t="shared" si="5"/>
        <v>763202.85247499996</v>
      </c>
      <c r="I32" s="43">
        <f t="shared" si="5"/>
        <v>856068.76284999994</v>
      </c>
    </row>
    <row r="33" spans="3:9" x14ac:dyDescent="0.25">
      <c r="C33" t="s">
        <v>353</v>
      </c>
      <c r="E33" s="32">
        <f>PhiLDPT_VoCuonBatVit(E23) * (1+$D$17)</f>
        <v>22750</v>
      </c>
      <c r="F33" s="32">
        <f t="shared" ref="F33:I33" si="6">PhiLDPT_VoCuonBatVit(F23) * (1+$D$17)</f>
        <v>22750</v>
      </c>
      <c r="G33" s="32">
        <f t="shared" si="6"/>
        <v>22750</v>
      </c>
      <c r="H33" s="32">
        <f t="shared" si="6"/>
        <v>22750</v>
      </c>
      <c r="I33" s="32">
        <f t="shared" si="6"/>
        <v>22750</v>
      </c>
    </row>
    <row r="34" spans="3:9" x14ac:dyDescent="0.25">
      <c r="C34" t="s">
        <v>360</v>
      </c>
      <c r="E34" s="25">
        <f>LamChanHangNgan(E32+E33)</f>
        <v>506000</v>
      </c>
      <c r="F34" s="25">
        <f>LamChanHangNgan(F32+F33)</f>
        <v>599000</v>
      </c>
      <c r="G34" s="25">
        <f>LamChanHangNgan(G32+G33)</f>
        <v>692000</v>
      </c>
      <c r="H34" s="25">
        <f>LamChanHangNgan(H32+H33)</f>
        <v>785000</v>
      </c>
      <c r="I34" s="25">
        <f>LamChanHangNgan(I32+I33)</f>
        <v>878000</v>
      </c>
    </row>
    <row r="36" spans="3:9" x14ac:dyDescent="0.25">
      <c r="D36" t="s">
        <v>356</v>
      </c>
      <c r="E36" s="7">
        <f>LamChanHangNgan(E34/E24)</f>
        <v>50000</v>
      </c>
      <c r="F36" s="7">
        <f>LamChanHangNgan(F34/F24)</f>
        <v>29000</v>
      </c>
      <c r="G36" s="7">
        <f>LamChanHangNgan(G34/G24)</f>
        <v>23000</v>
      </c>
      <c r="H36" s="7">
        <f>LamChanHangNgan(H34/H24)</f>
        <v>19000</v>
      </c>
      <c r="I36" s="7">
        <f>LamChanHangNgan(I34/I24)</f>
        <v>17000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A13" xr:uid="{F111C6F3-C0D2-41F0-AF02-8EB1414706BF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C6E81686-CB9A-4CE6-99C7-263660EEF9B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6B2A2547-7B00-437F-80A1-2A3887DCFD29}">
      <formula1>OFFSET(GIA_GIAY_CO_BAN,1,0,,1)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O14" sqref="O1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48</v>
      </c>
    </row>
    <row r="2" spans="1:18" x14ac:dyDescent="0.25">
      <c r="A2" s="1" t="s">
        <v>49</v>
      </c>
      <c r="B2" s="9"/>
      <c r="E2" t="s">
        <v>50</v>
      </c>
      <c r="H2" t="s">
        <v>51</v>
      </c>
      <c r="O2" t="s">
        <v>295</v>
      </c>
    </row>
    <row r="3" spans="1:18" x14ac:dyDescent="0.25">
      <c r="A3" t="s">
        <v>52</v>
      </c>
      <c r="B3" t="s">
        <v>53</v>
      </c>
      <c r="C3" t="s">
        <v>54</v>
      </c>
      <c r="D3" t="s">
        <v>55</v>
      </c>
      <c r="E3" t="s">
        <v>56</v>
      </c>
      <c r="G3" t="s">
        <v>57</v>
      </c>
      <c r="H3" t="s">
        <v>58</v>
      </c>
      <c r="I3" t="s">
        <v>59</v>
      </c>
      <c r="J3" t="s">
        <v>60</v>
      </c>
      <c r="K3" t="s">
        <v>61</v>
      </c>
      <c r="L3" t="s">
        <v>62</v>
      </c>
      <c r="O3" t="s">
        <v>57</v>
      </c>
      <c r="P3" t="s">
        <v>296</v>
      </c>
      <c r="Q3" t="s">
        <v>297</v>
      </c>
      <c r="R3" t="s">
        <v>298</v>
      </c>
    </row>
    <row r="4" spans="1:18" x14ac:dyDescent="0.25">
      <c r="A4" t="s">
        <v>63</v>
      </c>
      <c r="B4" t="s">
        <v>64</v>
      </c>
      <c r="C4" s="7">
        <v>450000</v>
      </c>
      <c r="D4" s="18">
        <f>5/60</f>
        <v>8.3333333333333329E-2</v>
      </c>
      <c r="G4" t="str">
        <f>I4&amp;"-"&amp;H4</f>
        <v>MI01-30x21</v>
      </c>
      <c r="H4" t="s">
        <v>65</v>
      </c>
      <c r="I4" t="s">
        <v>63</v>
      </c>
      <c r="J4" t="s">
        <v>66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67</v>
      </c>
      <c r="B5" t="s">
        <v>68</v>
      </c>
      <c r="C5" s="7">
        <v>500000</v>
      </c>
      <c r="D5" s="18">
        <f>5/60</f>
        <v>8.3333333333333329E-2</v>
      </c>
      <c r="G5" t="str">
        <f t="shared" ref="G5:G11" si="0">I5&amp;"-"&amp;H5</f>
        <v>MI01-32x23</v>
      </c>
      <c r="H5" t="s">
        <v>69</v>
      </c>
      <c r="I5" t="s">
        <v>63</v>
      </c>
      <c r="J5" t="s">
        <v>70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71</v>
      </c>
      <c r="B6" t="s">
        <v>72</v>
      </c>
      <c r="C6" s="7">
        <v>600000</v>
      </c>
      <c r="D6" s="18">
        <f>5/60</f>
        <v>8.3333333333333329E-2</v>
      </c>
      <c r="G6" t="str">
        <f t="shared" si="0"/>
        <v>MI01-32x26</v>
      </c>
      <c r="H6" t="s">
        <v>73</v>
      </c>
      <c r="I6" t="s">
        <v>63</v>
      </c>
      <c r="J6" t="s">
        <v>74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75</v>
      </c>
      <c r="I7" t="s">
        <v>63</v>
      </c>
      <c r="J7" t="s">
        <v>76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77</v>
      </c>
      <c r="I8" t="s">
        <v>63</v>
      </c>
      <c r="J8" t="s">
        <v>78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79</v>
      </c>
      <c r="I9" t="s">
        <v>63</v>
      </c>
      <c r="J9" t="s">
        <v>80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81</v>
      </c>
      <c r="I10" t="s">
        <v>63</v>
      </c>
      <c r="J10" t="s">
        <v>82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83</v>
      </c>
      <c r="I11" t="s">
        <v>63</v>
      </c>
      <c r="J11" t="s">
        <v>84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65</v>
      </c>
      <c r="I12" t="s">
        <v>67</v>
      </c>
      <c r="J12" t="s">
        <v>66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69</v>
      </c>
      <c r="I13" t="s">
        <v>67</v>
      </c>
      <c r="J13" t="s">
        <v>70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73</v>
      </c>
      <c r="I14" t="s">
        <v>67</v>
      </c>
      <c r="J14" t="s">
        <v>74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75</v>
      </c>
      <c r="I15" t="s">
        <v>67</v>
      </c>
      <c r="J15" t="s">
        <v>76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77</v>
      </c>
      <c r="I16" t="s">
        <v>67</v>
      </c>
      <c r="J16" t="s">
        <v>78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79</v>
      </c>
      <c r="I17" t="s">
        <v>67</v>
      </c>
      <c r="J17" t="s">
        <v>80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81</v>
      </c>
      <c r="I18" t="s">
        <v>67</v>
      </c>
      <c r="J18" t="s">
        <v>82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83</v>
      </c>
      <c r="I19" t="s">
        <v>67</v>
      </c>
      <c r="J19" t="s">
        <v>84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A16" workbookViewId="0">
      <selection activeCell="A2" sqref="A2:C3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87</v>
      </c>
      <c r="F1" s="1" t="s">
        <v>89</v>
      </c>
      <c r="K1" s="1" t="s">
        <v>90</v>
      </c>
      <c r="P1" s="1" t="s">
        <v>143</v>
      </c>
    </row>
    <row r="2" spans="1:18" x14ac:dyDescent="0.25">
      <c r="A2" t="s">
        <v>52</v>
      </c>
      <c r="B2" t="s">
        <v>60</v>
      </c>
      <c r="C2" t="s">
        <v>88</v>
      </c>
      <c r="F2" t="s">
        <v>52</v>
      </c>
      <c r="G2" t="s">
        <v>60</v>
      </c>
      <c r="H2" t="s">
        <v>91</v>
      </c>
      <c r="K2" t="s">
        <v>52</v>
      </c>
      <c r="L2" t="s">
        <v>60</v>
      </c>
      <c r="M2" t="s">
        <v>91</v>
      </c>
      <c r="P2" t="s">
        <v>52</v>
      </c>
      <c r="Q2" t="s">
        <v>60</v>
      </c>
      <c r="R2" t="s">
        <v>144</v>
      </c>
    </row>
    <row r="3" spans="1:18" x14ac:dyDescent="0.25">
      <c r="A3" t="s">
        <v>98</v>
      </c>
      <c r="B3" t="s">
        <v>99</v>
      </c>
      <c r="C3">
        <v>1200</v>
      </c>
      <c r="F3" t="s">
        <v>96</v>
      </c>
      <c r="G3" t="s">
        <v>97</v>
      </c>
      <c r="H3">
        <v>850</v>
      </c>
      <c r="K3" t="s">
        <v>92</v>
      </c>
      <c r="L3" t="s">
        <v>93</v>
      </c>
      <c r="M3">
        <f>3400/10000</f>
        <v>0.34</v>
      </c>
      <c r="P3" t="s">
        <v>175</v>
      </c>
      <c r="Q3" t="s">
        <v>198</v>
      </c>
      <c r="R3">
        <v>345</v>
      </c>
    </row>
    <row r="4" spans="1:18" x14ac:dyDescent="0.25">
      <c r="K4" t="s">
        <v>94</v>
      </c>
      <c r="L4" t="s">
        <v>95</v>
      </c>
      <c r="M4">
        <f>5500/10000</f>
        <v>0.55000000000000004</v>
      </c>
      <c r="P4" t="s">
        <v>173</v>
      </c>
      <c r="Q4" t="s">
        <v>179</v>
      </c>
      <c r="R4">
        <v>324</v>
      </c>
    </row>
    <row r="5" spans="1:18" x14ac:dyDescent="0.25">
      <c r="P5" t="s">
        <v>174</v>
      </c>
      <c r="Q5" t="s">
        <v>181</v>
      </c>
      <c r="R5">
        <v>488</v>
      </c>
    </row>
    <row r="6" spans="1:18" x14ac:dyDescent="0.25">
      <c r="P6" t="s">
        <v>176</v>
      </c>
      <c r="Q6" t="s">
        <v>182</v>
      </c>
      <c r="R6">
        <v>355</v>
      </c>
    </row>
    <row r="7" spans="1:18" x14ac:dyDescent="0.25">
      <c r="P7" t="s">
        <v>177</v>
      </c>
      <c r="Q7" t="s">
        <v>180</v>
      </c>
      <c r="R7">
        <v>500</v>
      </c>
    </row>
    <row r="8" spans="1:18" x14ac:dyDescent="0.25">
      <c r="P8" t="s">
        <v>178</v>
      </c>
      <c r="Q8" t="s">
        <v>183</v>
      </c>
      <c r="R8">
        <v>515</v>
      </c>
    </row>
    <row r="9" spans="1:18" x14ac:dyDescent="0.25">
      <c r="P9" t="s">
        <v>152</v>
      </c>
      <c r="Q9" t="s">
        <v>145</v>
      </c>
      <c r="R9">
        <v>628</v>
      </c>
    </row>
    <row r="10" spans="1:18" x14ac:dyDescent="0.25">
      <c r="P10" t="s">
        <v>199</v>
      </c>
      <c r="Q10" t="s">
        <v>200</v>
      </c>
      <c r="R10">
        <v>700</v>
      </c>
    </row>
    <row r="11" spans="1:18" x14ac:dyDescent="0.25">
      <c r="P11" t="s">
        <v>153</v>
      </c>
      <c r="Q11" t="s">
        <v>146</v>
      </c>
      <c r="R11">
        <v>860</v>
      </c>
    </row>
    <row r="12" spans="1:18" x14ac:dyDescent="0.25">
      <c r="P12" t="s">
        <v>154</v>
      </c>
      <c r="Q12" t="s">
        <v>147</v>
      </c>
      <c r="R12">
        <v>1056</v>
      </c>
    </row>
    <row r="13" spans="1:18" x14ac:dyDescent="0.25">
      <c r="P13" t="s">
        <v>201</v>
      </c>
      <c r="Q13" t="s">
        <v>202</v>
      </c>
      <c r="R13">
        <v>785</v>
      </c>
    </row>
    <row r="14" spans="1:18" x14ac:dyDescent="0.25">
      <c r="P14" t="s">
        <v>235</v>
      </c>
      <c r="Q14" t="s">
        <v>238</v>
      </c>
      <c r="R14">
        <v>1600</v>
      </c>
    </row>
    <row r="15" spans="1:18" x14ac:dyDescent="0.25">
      <c r="P15" t="s">
        <v>203</v>
      </c>
      <c r="Q15" t="s">
        <v>204</v>
      </c>
      <c r="R15">
        <v>1030</v>
      </c>
    </row>
    <row r="16" spans="1:18" x14ac:dyDescent="0.25">
      <c r="P16" t="s">
        <v>243</v>
      </c>
      <c r="Q16" t="s">
        <v>244</v>
      </c>
      <c r="R16">
        <v>1060</v>
      </c>
    </row>
    <row r="17" spans="16:18" x14ac:dyDescent="0.25">
      <c r="P17" t="s">
        <v>155</v>
      </c>
      <c r="Q17" t="s">
        <v>148</v>
      </c>
      <c r="R17">
        <v>1272</v>
      </c>
    </row>
    <row r="18" spans="16:18" x14ac:dyDescent="0.25">
      <c r="P18" t="s">
        <v>236</v>
      </c>
      <c r="Q18" t="s">
        <v>237</v>
      </c>
      <c r="R18">
        <v>2060</v>
      </c>
    </row>
    <row r="19" spans="16:18" x14ac:dyDescent="0.25">
      <c r="P19" t="s">
        <v>156</v>
      </c>
      <c r="Q19" t="s">
        <v>149</v>
      </c>
      <c r="R19">
        <v>1200</v>
      </c>
    </row>
    <row r="20" spans="16:18" x14ac:dyDescent="0.25">
      <c r="P20" t="s">
        <v>157</v>
      </c>
      <c r="Q20" t="s">
        <v>150</v>
      </c>
      <c r="R20">
        <v>1456</v>
      </c>
    </row>
    <row r="21" spans="16:18" x14ac:dyDescent="0.25">
      <c r="P21" t="s">
        <v>158</v>
      </c>
      <c r="Q21" t="s">
        <v>151</v>
      </c>
      <c r="R21">
        <v>1704</v>
      </c>
    </row>
    <row r="22" spans="16:18" x14ac:dyDescent="0.25">
      <c r="P22" t="s">
        <v>163</v>
      </c>
      <c r="Q22" t="s">
        <v>184</v>
      </c>
      <c r="R22">
        <v>488</v>
      </c>
    </row>
    <row r="23" spans="16:18" x14ac:dyDescent="0.25">
      <c r="P23" t="s">
        <v>164</v>
      </c>
      <c r="Q23" t="s">
        <v>185</v>
      </c>
      <c r="R23">
        <v>584</v>
      </c>
    </row>
    <row r="24" spans="16:18" x14ac:dyDescent="0.25">
      <c r="P24" t="s">
        <v>250</v>
      </c>
      <c r="Q24" t="s">
        <v>251</v>
      </c>
      <c r="R24">
        <v>2920</v>
      </c>
    </row>
    <row r="25" spans="16:18" x14ac:dyDescent="0.25">
      <c r="P25" t="s">
        <v>161</v>
      </c>
      <c r="Q25" t="s">
        <v>186</v>
      </c>
      <c r="R25">
        <v>700</v>
      </c>
    </row>
    <row r="26" spans="16:18" x14ac:dyDescent="0.25">
      <c r="P26" t="s">
        <v>252</v>
      </c>
      <c r="Q26" t="s">
        <v>186</v>
      </c>
      <c r="R26">
        <v>3500</v>
      </c>
    </row>
    <row r="27" spans="16:18" x14ac:dyDescent="0.25">
      <c r="P27" t="s">
        <v>160</v>
      </c>
      <c r="Q27" t="s">
        <v>187</v>
      </c>
      <c r="R27">
        <v>900</v>
      </c>
    </row>
    <row r="28" spans="16:18" x14ac:dyDescent="0.25">
      <c r="P28" t="s">
        <v>159</v>
      </c>
      <c r="Q28" t="s">
        <v>188</v>
      </c>
      <c r="R28">
        <v>740</v>
      </c>
    </row>
    <row r="29" spans="16:18" x14ac:dyDescent="0.25">
      <c r="P29" t="s">
        <v>162</v>
      </c>
      <c r="Q29" t="s">
        <v>189</v>
      </c>
      <c r="R29">
        <v>1232</v>
      </c>
    </row>
    <row r="30" spans="16:18" x14ac:dyDescent="0.25">
      <c r="P30" t="s">
        <v>166</v>
      </c>
      <c r="Q30" t="s">
        <v>190</v>
      </c>
    </row>
    <row r="31" spans="16:18" x14ac:dyDescent="0.25">
      <c r="P31" t="s">
        <v>165</v>
      </c>
      <c r="Q31" t="s">
        <v>192</v>
      </c>
    </row>
    <row r="32" spans="16:18" x14ac:dyDescent="0.25">
      <c r="P32" t="s">
        <v>167</v>
      </c>
      <c r="Q32" t="s">
        <v>191</v>
      </c>
    </row>
    <row r="33" spans="16:18" x14ac:dyDescent="0.25">
      <c r="P33" t="s">
        <v>168</v>
      </c>
      <c r="Q33" t="s">
        <v>193</v>
      </c>
    </row>
    <row r="34" spans="16:18" x14ac:dyDescent="0.25">
      <c r="P34" t="s">
        <v>172</v>
      </c>
      <c r="Q34" t="s">
        <v>194</v>
      </c>
    </row>
    <row r="35" spans="16:18" x14ac:dyDescent="0.25">
      <c r="P35" t="s">
        <v>171</v>
      </c>
      <c r="Q35" t="s">
        <v>195</v>
      </c>
    </row>
    <row r="36" spans="16:18" x14ac:dyDescent="0.25">
      <c r="P36" t="s">
        <v>170</v>
      </c>
      <c r="Q36" t="s">
        <v>196</v>
      </c>
    </row>
    <row r="37" spans="16:18" x14ac:dyDescent="0.25">
      <c r="P37" t="s">
        <v>169</v>
      </c>
      <c r="Q37" t="s">
        <v>197</v>
      </c>
    </row>
    <row r="38" spans="16:18" x14ac:dyDescent="0.25">
      <c r="P38" t="s">
        <v>239</v>
      </c>
      <c r="Q38" t="s">
        <v>240</v>
      </c>
      <c r="R38">
        <v>4200</v>
      </c>
    </row>
    <row r="39" spans="16:18" x14ac:dyDescent="0.25">
      <c r="P39" t="s">
        <v>241</v>
      </c>
      <c r="Q39" t="s">
        <v>242</v>
      </c>
      <c r="R39">
        <v>3500</v>
      </c>
    </row>
    <row r="40" spans="16:18" x14ac:dyDescent="0.25">
      <c r="P40" t="s">
        <v>246</v>
      </c>
      <c r="Q40" t="s">
        <v>247</v>
      </c>
      <c r="R40">
        <v>1250</v>
      </c>
    </row>
    <row r="41" spans="16:18" x14ac:dyDescent="0.25">
      <c r="P41" t="s">
        <v>277</v>
      </c>
      <c r="Q41" t="s">
        <v>278</v>
      </c>
      <c r="R41">
        <v>1650</v>
      </c>
    </row>
    <row r="42" spans="16:18" x14ac:dyDescent="0.25">
      <c r="P42" t="s">
        <v>279</v>
      </c>
      <c r="Q42" t="s">
        <v>280</v>
      </c>
      <c r="R42">
        <v>810</v>
      </c>
    </row>
    <row r="43" spans="16:18" x14ac:dyDescent="0.25">
      <c r="P43" t="s">
        <v>281</v>
      </c>
      <c r="Q43" t="s">
        <v>282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I22" sqref="I22"/>
    </sheetView>
  </sheetViews>
  <sheetFormatPr defaultRowHeight="15" x14ac:dyDescent="0.25"/>
  <cols>
    <col min="3" max="3" width="7.140625" bestFit="1" customWidth="1"/>
  </cols>
  <sheetData>
    <row r="2" spans="2:3" x14ac:dyDescent="0.25">
      <c r="B2" s="28" t="s">
        <v>135</v>
      </c>
      <c r="C2" s="28" t="s">
        <v>136</v>
      </c>
    </row>
    <row r="3" spans="2:3" x14ac:dyDescent="0.25">
      <c r="B3" s="29">
        <v>0.15</v>
      </c>
      <c r="C3" s="29">
        <v>0.13</v>
      </c>
    </row>
    <row r="4" spans="2:3" x14ac:dyDescent="0.25">
      <c r="B4" s="29">
        <v>0.2</v>
      </c>
      <c r="C4" s="30">
        <v>0.16700000000000001</v>
      </c>
    </row>
    <row r="5" spans="2:3" x14ac:dyDescent="0.25">
      <c r="B5" s="29">
        <v>0.25</v>
      </c>
      <c r="C5" s="29">
        <v>0.2</v>
      </c>
    </row>
    <row r="6" spans="2:3" x14ac:dyDescent="0.25">
      <c r="B6" s="29">
        <v>0.3</v>
      </c>
      <c r="C6" s="29">
        <v>0.23</v>
      </c>
    </row>
    <row r="7" spans="2:3" x14ac:dyDescent="0.25">
      <c r="B7" s="30">
        <v>0.33300000000000002</v>
      </c>
      <c r="C7" s="29">
        <v>0.25</v>
      </c>
    </row>
    <row r="8" spans="2:3" x14ac:dyDescent="0.25">
      <c r="B8" s="29">
        <v>0.4</v>
      </c>
      <c r="C8" s="30">
        <v>0.28599999999999998</v>
      </c>
    </row>
    <row r="9" spans="2:3" x14ac:dyDescent="0.25">
      <c r="B9" s="29">
        <v>0.43</v>
      </c>
      <c r="C9" s="29">
        <v>0.3</v>
      </c>
    </row>
    <row r="10" spans="2:3" x14ac:dyDescent="0.25">
      <c r="B10" s="29">
        <v>0.5</v>
      </c>
      <c r="C10" s="29">
        <v>0.33</v>
      </c>
    </row>
    <row r="11" spans="2:3" x14ac:dyDescent="0.25">
      <c r="B11" s="29">
        <v>0.75</v>
      </c>
      <c r="C11" s="30">
        <v>0.42899999999999999</v>
      </c>
    </row>
    <row r="12" spans="2:3" x14ac:dyDescent="0.25">
      <c r="B12" s="29">
        <v>1</v>
      </c>
      <c r="C12" s="29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23</vt:i4>
      </vt:variant>
      <vt:variant>
        <vt:lpstr>Phạm vi Có tên</vt:lpstr>
      </vt:variant>
      <vt:variant>
        <vt:i4>8</vt:i4>
      </vt:variant>
    </vt:vector>
  </HeadingPairs>
  <TitlesOfParts>
    <vt:vector size="31" baseType="lpstr">
      <vt:lpstr>In-Toner</vt:lpstr>
      <vt:lpstr>BaiCMYK</vt:lpstr>
      <vt:lpstr>SP-ToRoi-A4</vt:lpstr>
      <vt:lpstr>Test</vt:lpstr>
      <vt:lpstr>SP-Cata-Ruot-A4</vt:lpstr>
      <vt:lpstr>SP-Cata-A4-Kim</vt:lpstr>
      <vt:lpstr>SP-Cata-A4-Keo</vt:lpstr>
      <vt:lpstr>Menu-LXo-10x19</vt:lpstr>
      <vt:lpstr>Menu-LX-15x19</vt:lpstr>
      <vt:lpstr>Menu-LX-19x30</vt:lpstr>
      <vt:lpstr>Menu-LX-15x34</vt:lpstr>
      <vt:lpstr>Menu-LX-10x19-v2</vt:lpstr>
      <vt:lpstr>Menu-LX-DongCuon</vt:lpstr>
      <vt:lpstr>Menu-LX-15x19-v2</vt:lpstr>
      <vt:lpstr>Menu-LX-19x30_v2</vt:lpstr>
      <vt:lpstr>Menu-LX-15x34_v2</vt:lpstr>
      <vt:lpstr>Menu-BiaCungVit-Ruot</vt:lpstr>
      <vt:lpstr>Menu-BiaCungVit-Bia</vt:lpstr>
      <vt:lpstr>Menu-MoPhang-Ruot</vt:lpstr>
      <vt:lpstr>Menu-MoPhang-Bia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2019-06-17T10:53:36Z</dcterms:modified>
</cp:coreProperties>
</file>