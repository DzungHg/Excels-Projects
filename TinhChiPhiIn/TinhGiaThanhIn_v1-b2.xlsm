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A3798AB8-4690-489E-8C5E-6256E0AFB1D2}" xr6:coauthVersionLast="43" xr6:coauthVersionMax="43" xr10:uidLastSave="{00000000-0000-0000-0000-000000000000}"/>
  <bookViews>
    <workbookView xWindow="-120" yWindow="-120" windowWidth="29040" windowHeight="15990" firstSheet="7" activeTab="10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BiaCungVit-Ruot" sheetId="49" r:id="rId12"/>
    <sheet name="Base-MayIn" sheetId="10" r:id="rId13"/>
    <sheet name="NguyenVatLieu" sheetId="13" r:id="rId14"/>
    <sheet name="Base-Margin" sheetId="15" r:id="rId15"/>
  </sheets>
  <functionGroups builtInGroupCount="19"/>
  <definedNames>
    <definedName name="atools_list_filter_1" localSheetId="1" hidden="1">BaiCMYK!$E$8:$F$9</definedName>
    <definedName name="atools_list_filter_1" localSheetId="7" hidden="1">'Menu-LXo-10x19'!$A$13:$D$13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7" hidden="1">";;;"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7" hidden="1">"1;2;3;4"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7" hidden="1">"92;76;71;80"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7" hidden="1">"='Menu-LXo'!$A$13:$D$13"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7" hidden="1">"0;1;2;3"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7" hidden="1">"1|1|0|0|0|||365|126||0|,||1||0||0|18|185|2.0|1|1|1|0"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7" hidden="1">KHO_CAT_SAN_PHAM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7" hidden="1">"=KHO_CAT_SAN_PHAM"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" i="49" l="1"/>
  <c r="F13" i="49"/>
  <c r="E19" i="49"/>
  <c r="D16" i="49"/>
  <c r="B37" i="48" l="1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O22" i="45"/>
  <c r="P22" i="45"/>
  <c r="S22" i="45"/>
  <c r="F41" i="48"/>
  <c r="I41" i="48"/>
  <c r="E41" i="48"/>
  <c r="G41" i="48"/>
  <c r="H41" i="48"/>
  <c r="D16" i="48"/>
  <c r="F41" i="47"/>
  <c r="G41" i="47"/>
  <c r="I41" i="47"/>
  <c r="E41" i="47"/>
  <c r="D16" i="47"/>
  <c r="H41" i="47"/>
  <c r="N37" i="46"/>
  <c r="J37" i="46"/>
  <c r="G36" i="46"/>
  <c r="M35" i="46"/>
  <c r="F34" i="46"/>
  <c r="L33" i="46"/>
  <c r="I32" i="46"/>
  <c r="E32" i="46"/>
  <c r="K31" i="46"/>
  <c r="H30" i="46"/>
  <c r="N29" i="46"/>
  <c r="J29" i="46"/>
  <c r="G28" i="46"/>
  <c r="M27" i="46"/>
  <c r="F26" i="46"/>
  <c r="L25" i="46"/>
  <c r="I24" i="46"/>
  <c r="E24" i="46"/>
  <c r="I26" i="46"/>
  <c r="E26" i="46"/>
  <c r="K25" i="46"/>
  <c r="H24" i="46"/>
  <c r="M33" i="46"/>
  <c r="F32" i="46"/>
  <c r="I30" i="46"/>
  <c r="K29" i="46"/>
  <c r="N27" i="46"/>
  <c r="M25" i="46"/>
  <c r="M37" i="46"/>
  <c r="F36" i="46"/>
  <c r="L35" i="46"/>
  <c r="I34" i="46"/>
  <c r="E34" i="46"/>
  <c r="K33" i="46"/>
  <c r="H32" i="46"/>
  <c r="N31" i="46"/>
  <c r="J31" i="46"/>
  <c r="G30" i="46"/>
  <c r="M29" i="46"/>
  <c r="F28" i="46"/>
  <c r="L27" i="46"/>
  <c r="J27" i="46"/>
  <c r="L37" i="46"/>
  <c r="I36" i="46"/>
  <c r="E36" i="46"/>
  <c r="K35" i="46"/>
  <c r="H34" i="46"/>
  <c r="N33" i="46"/>
  <c r="J33" i="46"/>
  <c r="G32" i="46"/>
  <c r="M31" i="46"/>
  <c r="F30" i="46"/>
  <c r="L29" i="46"/>
  <c r="I28" i="46"/>
  <c r="E28" i="46"/>
  <c r="K27" i="46"/>
  <c r="H26" i="46"/>
  <c r="N25" i="46"/>
  <c r="J25" i="46"/>
  <c r="G24" i="46"/>
  <c r="K37" i="46"/>
  <c r="H36" i="46"/>
  <c r="N35" i="46"/>
  <c r="J35" i="46"/>
  <c r="G34" i="46"/>
  <c r="L31" i="46"/>
  <c r="E30" i="46"/>
  <c r="H28" i="46"/>
  <c r="G26" i="46"/>
  <c r="F24" i="46"/>
  <c r="N37" i="45"/>
  <c r="J37" i="45"/>
  <c r="K35" i="45"/>
  <c r="L33" i="45"/>
  <c r="M31" i="45"/>
  <c r="N29" i="45"/>
  <c r="J29" i="45"/>
  <c r="K27" i="45"/>
  <c r="L29" i="45"/>
  <c r="L35" i="45"/>
  <c r="M33" i="45"/>
  <c r="J31" i="45"/>
  <c r="M37" i="45"/>
  <c r="N35" i="45"/>
  <c r="J35" i="45"/>
  <c r="K33" i="45"/>
  <c r="L31" i="45"/>
  <c r="M29" i="45"/>
  <c r="N27" i="45"/>
  <c r="J27" i="45"/>
  <c r="L37" i="45"/>
  <c r="M35" i="45"/>
  <c r="N33" i="45"/>
  <c r="J33" i="45"/>
  <c r="K31" i="45"/>
  <c r="M27" i="45"/>
  <c r="K37" i="45"/>
  <c r="N31" i="45"/>
  <c r="K29" i="45"/>
  <c r="L27" i="45"/>
  <c r="N25" i="45"/>
  <c r="K25" i="45"/>
  <c r="M25" i="45"/>
  <c r="L25" i="45"/>
  <c r="J25" i="45"/>
  <c r="E24" i="45"/>
  <c r="I36" i="45"/>
  <c r="E36" i="45"/>
  <c r="F34" i="45"/>
  <c r="G32" i="45"/>
  <c r="H30" i="45"/>
  <c r="I28" i="45"/>
  <c r="E28" i="45"/>
  <c r="F26" i="45"/>
  <c r="E26" i="45"/>
  <c r="H32" i="45"/>
  <c r="F28" i="45"/>
  <c r="H36" i="45"/>
  <c r="I34" i="45"/>
  <c r="E34" i="45"/>
  <c r="F32" i="45"/>
  <c r="G30" i="45"/>
  <c r="H28" i="45"/>
  <c r="I26" i="45"/>
  <c r="I30" i="45"/>
  <c r="G26" i="45"/>
  <c r="G36" i="45"/>
  <c r="H34" i="45"/>
  <c r="I32" i="45"/>
  <c r="E32" i="45"/>
  <c r="F30" i="45"/>
  <c r="G28" i="45"/>
  <c r="H26" i="45"/>
  <c r="F36" i="45"/>
  <c r="G34" i="45"/>
  <c r="E30" i="45"/>
  <c r="I24" i="45"/>
  <c r="G24" i="45"/>
  <c r="F24" i="45"/>
  <c r="H24" i="45"/>
  <c r="O22" i="48" l="1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K24" i="46"/>
  <c r="L26" i="46"/>
  <c r="M28" i="46"/>
  <c r="J30" i="46"/>
  <c r="L34" i="46"/>
  <c r="M36" i="46"/>
  <c r="L24" i="46"/>
  <c r="M26" i="46"/>
  <c r="J28" i="46"/>
  <c r="N28" i="46"/>
  <c r="K30" i="46"/>
  <c r="L32" i="46"/>
  <c r="M34" i="46"/>
  <c r="J36" i="46"/>
  <c r="N36" i="46"/>
  <c r="K28" i="46"/>
  <c r="L30" i="46"/>
  <c r="M32" i="46"/>
  <c r="J34" i="46"/>
  <c r="N34" i="46"/>
  <c r="K36" i="46"/>
  <c r="N30" i="46"/>
  <c r="K32" i="46"/>
  <c r="M24" i="46"/>
  <c r="J26" i="46"/>
  <c r="N26" i="46"/>
  <c r="J24" i="46"/>
  <c r="N24" i="46"/>
  <c r="K26" i="46"/>
  <c r="L28" i="46"/>
  <c r="M30" i="46"/>
  <c r="J32" i="46"/>
  <c r="N32" i="46"/>
  <c r="K34" i="46"/>
  <c r="L36" i="46"/>
  <c r="O22" i="46"/>
  <c r="L37" i="48"/>
  <c r="N33" i="48"/>
  <c r="I30" i="48"/>
  <c r="M27" i="48"/>
  <c r="H24" i="48"/>
  <c r="J27" i="48"/>
  <c r="E36" i="48"/>
  <c r="G32" i="48"/>
  <c r="K29" i="48"/>
  <c r="F26" i="48"/>
  <c r="N35" i="48"/>
  <c r="K25" i="48"/>
  <c r="H36" i="48"/>
  <c r="L33" i="48"/>
  <c r="N29" i="48"/>
  <c r="I26" i="48"/>
  <c r="K33" i="48"/>
  <c r="H26" i="48"/>
  <c r="I34" i="48"/>
  <c r="L25" i="48"/>
  <c r="K31" i="48"/>
  <c r="J25" i="48"/>
  <c r="M33" i="48"/>
  <c r="S23" i="48"/>
  <c r="E34" i="48"/>
  <c r="F24" i="48"/>
  <c r="N27" i="48"/>
  <c r="F36" i="48"/>
  <c r="J33" i="48"/>
  <c r="E30" i="48"/>
  <c r="G26" i="48"/>
  <c r="L35" i="48"/>
  <c r="N31" i="48"/>
  <c r="I28" i="48"/>
  <c r="M25" i="48"/>
  <c r="H34" i="48"/>
  <c r="E24" i="48"/>
  <c r="K35" i="48"/>
  <c r="F32" i="48"/>
  <c r="J29" i="48"/>
  <c r="E26" i="48"/>
  <c r="M37" i="48"/>
  <c r="I32" i="48"/>
  <c r="I24" i="48"/>
  <c r="M35" i="48"/>
  <c r="H32" i="48"/>
  <c r="L29" i="48"/>
  <c r="N25" i="48"/>
  <c r="E32" i="48"/>
  <c r="K37" i="48"/>
  <c r="F34" i="48"/>
  <c r="J31" i="48"/>
  <c r="E28" i="48"/>
  <c r="G24" i="48"/>
  <c r="L31" i="48"/>
  <c r="N37" i="48"/>
  <c r="M31" i="48"/>
  <c r="H28" i="48"/>
  <c r="G36" i="48"/>
  <c r="F30" i="48"/>
  <c r="G34" i="48"/>
  <c r="F28" i="48"/>
  <c r="M29" i="48"/>
  <c r="I36" i="48"/>
  <c r="H30" i="48"/>
  <c r="L27" i="48"/>
  <c r="G28" i="48"/>
  <c r="J37" i="48"/>
  <c r="G30" i="48"/>
  <c r="K27" i="48"/>
  <c r="J35" i="48"/>
  <c r="G34" i="47"/>
  <c r="K31" i="47"/>
  <c r="F28" i="47"/>
  <c r="J25" i="47"/>
  <c r="N37" i="47"/>
  <c r="L33" i="47"/>
  <c r="F30" i="47"/>
  <c r="I36" i="47"/>
  <c r="M33" i="47"/>
  <c r="H30" i="47"/>
  <c r="L27" i="47"/>
  <c r="J37" i="47"/>
  <c r="K27" i="47"/>
  <c r="L31" i="47"/>
  <c r="M31" i="47"/>
  <c r="M37" i="47"/>
  <c r="G28" i="47"/>
  <c r="L37" i="47"/>
  <c r="N33" i="47"/>
  <c r="I30" i="47"/>
  <c r="M27" i="47"/>
  <c r="H24" i="47"/>
  <c r="H36" i="47"/>
  <c r="N35" i="47"/>
  <c r="J27" i="47"/>
  <c r="G32" i="47"/>
  <c r="F26" i="47"/>
  <c r="E34" i="47"/>
  <c r="J29" i="47"/>
  <c r="K25" i="47"/>
  <c r="J33" i="47"/>
  <c r="G26" i="47"/>
  <c r="K35" i="47"/>
  <c r="N31" i="47"/>
  <c r="M25" i="47"/>
  <c r="H26" i="47"/>
  <c r="E32" i="47"/>
  <c r="M35" i="47"/>
  <c r="N25" i="47"/>
  <c r="I34" i="47"/>
  <c r="I32" i="47"/>
  <c r="F34" i="47"/>
  <c r="E28" i="47"/>
  <c r="N29" i="47"/>
  <c r="E24" i="47"/>
  <c r="M29" i="47"/>
  <c r="G30" i="47"/>
  <c r="E36" i="47"/>
  <c r="K29" i="47"/>
  <c r="I26" i="47"/>
  <c r="N27" i="47"/>
  <c r="G36" i="47"/>
  <c r="F36" i="47"/>
  <c r="E30" i="47"/>
  <c r="H28" i="47"/>
  <c r="H34" i="47"/>
  <c r="L35" i="47"/>
  <c r="I28" i="47"/>
  <c r="F32" i="47"/>
  <c r="J35" i="47"/>
  <c r="L25" i="47"/>
  <c r="I24" i="47"/>
  <c r="H32" i="47"/>
  <c r="L29" i="47"/>
  <c r="G24" i="47"/>
  <c r="E26" i="47"/>
  <c r="K37" i="47"/>
  <c r="J31" i="47"/>
  <c r="S23" i="47"/>
  <c r="K33" i="47"/>
  <c r="F24" i="47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I41" i="46"/>
  <c r="E41" i="46"/>
  <c r="H41" i="46"/>
  <c r="D16" i="46"/>
  <c r="G41" i="46"/>
  <c r="F41" i="46"/>
  <c r="F42" i="46" l="1"/>
  <c r="G42" i="46"/>
  <c r="S22" i="46"/>
  <c r="P22" i="46"/>
  <c r="H42" i="46"/>
  <c r="E42" i="46"/>
  <c r="I42" i="46"/>
  <c r="N36" i="45"/>
  <c r="M36" i="45"/>
  <c r="L36" i="45"/>
  <c r="K36" i="45"/>
  <c r="N34" i="45"/>
  <c r="M34" i="45"/>
  <c r="L34" i="45"/>
  <c r="K34" i="45"/>
  <c r="N32" i="45"/>
  <c r="M32" i="45"/>
  <c r="L32" i="45"/>
  <c r="K32" i="45"/>
  <c r="N30" i="45"/>
  <c r="M30" i="45"/>
  <c r="L30" i="45"/>
  <c r="K30" i="45"/>
  <c r="N28" i="45"/>
  <c r="M28" i="45"/>
  <c r="L28" i="45"/>
  <c r="K28" i="45"/>
  <c r="N26" i="45"/>
  <c r="M26" i="45"/>
  <c r="L26" i="45"/>
  <c r="K26" i="45"/>
  <c r="J36" i="45"/>
  <c r="J34" i="45"/>
  <c r="J32" i="45"/>
  <c r="J30" i="45"/>
  <c r="J28" i="45"/>
  <c r="J26" i="45"/>
  <c r="N24" i="45"/>
  <c r="M24" i="45"/>
  <c r="L24" i="45"/>
  <c r="K24" i="45"/>
  <c r="J24" i="45"/>
  <c r="S23" i="46"/>
  <c r="B26" i="45" l="1"/>
  <c r="B27" i="45"/>
  <c r="O7" i="10"/>
  <c r="O6" i="10"/>
  <c r="O5" i="10"/>
  <c r="O4" i="10"/>
  <c r="B24" i="45"/>
  <c r="E19" i="45"/>
  <c r="B13" i="38"/>
  <c r="B2" i="11" a="1"/>
  <c r="G8" i="11" a="1"/>
  <c r="I41" i="45"/>
  <c r="F41" i="45"/>
  <c r="H41" i="45"/>
  <c r="G41" i="45"/>
  <c r="E41" i="45"/>
  <c r="D16" i="45"/>
  <c r="S23" i="45"/>
  <c r="B2" i="11" l="1"/>
  <c r="F2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E3" i="11"/>
  <c r="D4" i="11"/>
  <c r="C5" i="11"/>
  <c r="G8" i="11"/>
  <c r="K8" i="11"/>
  <c r="J9" i="11"/>
  <c r="I10" i="11"/>
  <c r="H11" i="11"/>
  <c r="H9" i="11"/>
  <c r="G10" i="11"/>
  <c r="J11" i="11"/>
  <c r="J8" i="11"/>
  <c r="I9" i="11"/>
  <c r="G11" i="11"/>
  <c r="H8" i="11"/>
  <c r="G9" i="11"/>
  <c r="K9" i="11"/>
  <c r="J10" i="11"/>
  <c r="I11" i="11"/>
  <c r="K10" i="11"/>
  <c r="H10" i="11"/>
  <c r="K11" i="11"/>
  <c r="I8" i="11"/>
  <c r="E42" i="45"/>
  <c r="G42" i="45"/>
  <c r="H42" i="45"/>
  <c r="F42" i="45"/>
  <c r="I42" i="45"/>
  <c r="B25" i="45"/>
  <c r="F16" i="17"/>
  <c r="E16" i="17"/>
  <c r="H16" i="17"/>
  <c r="I16" i="17"/>
  <c r="I15" i="17"/>
  <c r="G16" i="17"/>
  <c r="J15" i="17"/>
  <c r="E15" i="17"/>
  <c r="F15" i="17"/>
  <c r="J16" i="17"/>
  <c r="H15" i="17"/>
  <c r="G15" i="17"/>
  <c r="B28" i="45" l="1"/>
  <c r="N14" i="38"/>
  <c r="C16" i="38"/>
  <c r="H17" i="38"/>
  <c r="C14" i="38"/>
  <c r="H22" i="38"/>
  <c r="H15" i="38"/>
  <c r="F20" i="38"/>
  <c r="G14" i="38"/>
  <c r="F17" i="38"/>
  <c r="F13" i="38"/>
  <c r="G21" i="38"/>
  <c r="G24" i="38"/>
  <c r="E25" i="38"/>
  <c r="F18" i="38"/>
  <c r="F22" i="38"/>
  <c r="E18" i="38"/>
  <c r="G23" i="38"/>
  <c r="H13" i="38"/>
  <c r="E24" i="38"/>
  <c r="G17" i="38"/>
  <c r="C13" i="38"/>
  <c r="F15" i="38"/>
  <c r="C25" i="38"/>
  <c r="C23" i="38"/>
  <c r="H18" i="38"/>
  <c r="E17" i="38"/>
  <c r="C22" i="38"/>
  <c r="E22" i="38"/>
  <c r="G22" i="38"/>
  <c r="F19" i="38"/>
  <c r="F23" i="38"/>
  <c r="D21" i="38"/>
  <c r="H16" i="38"/>
  <c r="C21" i="38"/>
  <c r="C18" i="38"/>
  <c r="C17" i="38"/>
  <c r="E19" i="38"/>
  <c r="D17" i="38"/>
  <c r="E13" i="38"/>
  <c r="D14" i="38"/>
  <c r="H25" i="38"/>
  <c r="E16" i="38"/>
  <c r="F16" i="38"/>
  <c r="N13" i="38"/>
  <c r="H20" i="38"/>
  <c r="D15" i="38"/>
  <c r="C20" i="38"/>
  <c r="H14" i="38"/>
  <c r="H24" i="38"/>
  <c r="E20" i="38"/>
  <c r="G20" i="38"/>
  <c r="D24" i="38"/>
  <c r="G16" i="38"/>
  <c r="F21" i="38"/>
  <c r="E15" i="38"/>
  <c r="D20" i="38"/>
  <c r="E23" i="38"/>
  <c r="F14" i="38"/>
  <c r="D18" i="38"/>
  <c r="G13" i="38"/>
  <c r="D16" i="38"/>
  <c r="H19" i="38"/>
  <c r="E21" i="38"/>
  <c r="G19" i="38"/>
  <c r="G15" i="38"/>
  <c r="D25" i="38"/>
  <c r="D19" i="38"/>
  <c r="C15" i="38"/>
  <c r="G18" i="38"/>
  <c r="C19" i="38"/>
  <c r="C24" i="38"/>
  <c r="G25" i="38"/>
  <c r="D13" i="38"/>
  <c r="E14" i="38"/>
  <c r="H23" i="38"/>
  <c r="F25" i="38"/>
  <c r="D23" i="38"/>
  <c r="F24" i="38"/>
  <c r="D22" i="38"/>
  <c r="H21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18" i="37"/>
  <c r="H18" i="39"/>
  <c r="F18" i="37"/>
  <c r="C26" i="39"/>
  <c r="F26" i="39"/>
  <c r="H26" i="39"/>
  <c r="G18" i="39"/>
  <c r="G26" i="39"/>
  <c r="F18" i="39"/>
  <c r="D18" i="39"/>
  <c r="G18" i="37"/>
  <c r="C18" i="39"/>
  <c r="D18" i="37"/>
  <c r="D26" i="39"/>
  <c r="E26" i="39"/>
  <c r="C18" i="37"/>
  <c r="E18" i="37"/>
  <c r="E18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D17" i="39"/>
  <c r="C17" i="39"/>
  <c r="C26" i="37"/>
  <c r="G17" i="37"/>
  <c r="H17" i="37"/>
  <c r="F26" i="37"/>
  <c r="G17" i="39"/>
  <c r="H26" i="37"/>
  <c r="E17" i="39"/>
  <c r="H17" i="39"/>
  <c r="E26" i="37"/>
  <c r="G26" i="37"/>
  <c r="D26" i="37"/>
  <c r="F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G34" i="39"/>
  <c r="E34" i="39"/>
  <c r="C17" i="37"/>
  <c r="D17" i="37"/>
  <c r="E17" i="37"/>
  <c r="C34" i="39"/>
  <c r="F17" i="37"/>
  <c r="D34" i="39"/>
  <c r="H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58" i="2"/>
  <c r="B72" i="2"/>
  <c r="B50" i="2"/>
  <c r="B9" i="2"/>
  <c r="B13" i="2"/>
  <c r="B28" i="2"/>
  <c r="B41" i="2"/>
  <c r="B17" i="2"/>
  <c r="B71" i="2"/>
  <c r="B59" i="2"/>
  <c r="B11" i="2"/>
  <c r="B22" i="2"/>
  <c r="B55" i="2"/>
  <c r="B14" i="2"/>
  <c r="B47" i="2"/>
  <c r="B16" i="2"/>
  <c r="B52" i="2"/>
  <c r="B49" i="2"/>
  <c r="B36" i="2"/>
  <c r="B20" i="2"/>
  <c r="B25" i="2"/>
  <c r="B32" i="2"/>
  <c r="B70" i="2"/>
  <c r="B46" i="2"/>
  <c r="B53" i="2"/>
  <c r="B66" i="2"/>
  <c r="B54" i="2"/>
  <c r="B33" i="2"/>
  <c r="B21" i="2"/>
  <c r="B65" i="2"/>
  <c r="B35" i="2"/>
  <c r="B69" i="2"/>
  <c r="B6" i="2"/>
  <c r="B57" i="2"/>
  <c r="B24" i="2"/>
  <c r="B68" i="2"/>
  <c r="B34" i="2"/>
  <c r="B44" i="2"/>
  <c r="B27" i="2"/>
  <c r="B12" i="2"/>
  <c r="B18" i="2"/>
  <c r="B23" i="2"/>
  <c r="B64" i="2"/>
  <c r="B26" i="2"/>
  <c r="B60" i="2"/>
  <c r="B61" i="2"/>
  <c r="B8" i="2"/>
  <c r="B63" i="2"/>
  <c r="B48" i="2"/>
  <c r="B7" i="2"/>
  <c r="B19" i="2"/>
  <c r="B56" i="2"/>
  <c r="B15" i="2"/>
  <c r="B67" i="2"/>
  <c r="B45" i="2"/>
  <c r="B31" i="2"/>
  <c r="B62" i="2"/>
  <c r="B43" i="2"/>
  <c r="B42" i="2"/>
  <c r="B10" i="2"/>
  <c r="B30" i="2"/>
  <c r="B29" i="2"/>
  <c r="B51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<sst xmlns="http://schemas.openxmlformats.org/spreadsheetml/2006/main" count="716" uniqueCount="329">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</sst>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74627.451000000001</v>
      </c>
      <c r="D18" s="32">
        <f t="shared" si="3"/>
        <v>75662.745200000005</v>
      </c>
      <c r="E18" s="32">
        <f t="shared" si="3"/>
        <v>79027.451000000001</v>
      </c>
      <c r="F18" s="32">
        <f t="shared" si="3"/>
        <v>84462.745200000005</v>
      </c>
      <c r="G18" s="32">
        <f t="shared" si="3"/>
        <v>90156.862800000003</v>
      </c>
      <c r="H18" s="32">
        <f t="shared" si="3"/>
        <v>95592.156900000002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285721.53925000003</v>
      </c>
      <c r="D23" s="25">
        <f t="shared" si="7"/>
        <v>335751.63737499999</v>
      </c>
      <c r="E23" s="25">
        <f t="shared" si="7"/>
        <v>486294.87252500001</v>
      </c>
      <c r="F23" s="25">
        <f t="shared" si="7"/>
        <v>736898.30410000007</v>
      </c>
      <c r="G23" s="25">
        <f t="shared" si="7"/>
        <v>987954.67645000003</v>
      </c>
      <c r="H23" s="25">
        <f t="shared" si="7"/>
        <v>1238558.10785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74627.451000000001</v>
      </c>
      <c r="D18" s="32">
        <f t="shared" si="3"/>
        <v>75921.568700000003</v>
      </c>
      <c r="E18" s="32">
        <f t="shared" si="3"/>
        <v>79545.098100000003</v>
      </c>
      <c r="F18" s="32">
        <f t="shared" si="3"/>
        <v>85498.039300000004</v>
      </c>
      <c r="G18" s="32">
        <f t="shared" si="3"/>
        <v>91709.804000000004</v>
      </c>
      <c r="H18" s="32">
        <f t="shared" si="3"/>
        <v>97662.745200000005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G16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78250.980500000005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317000</v>
      </c>
      <c r="K25" s="40">
        <f>LamChanHangNgan((PhiInKM4M_BHR70($A25*F$23/$D$16*$E$16)+$A24*F$23/$D$16*$D$19+PhiMayCanMang($A25*F$23/$D$16*2, $C$15/100,$D$15/100))*(1+$D$17))</f>
        <v>420000</v>
      </c>
      <c r="L25" s="40">
        <f>LamChanHangNgan((PhiInKM4M_BHR70($A25*G$23/$D$16*$E$16)+$A24*G$23/$D$16*$D$19+PhiMayCanMang($A25*G$23/$D$16*2, $C$15/100,$D$15/100))*(1+$D$17))</f>
        <v>521000</v>
      </c>
      <c r="M25" s="40">
        <f>LamChanHangNgan((PhiInKM4M_BHR70($A25*H$23/$D$16*$E$16)+$A24*H$23/$D$16*$D$19+PhiMayCanMang($A25*H$23/$D$16*2, $C$15/100,$D$15/100))*(1+$D$17))</f>
        <v>623000</v>
      </c>
      <c r="N25" s="40">
        <f>LamChanHangNgan((PhiInKM4M_BHR70($A25*I$23/$D$16*$E$16)+$A24*I$23/$D$16*$D$19+PhiMayCanMang($A25*I$23/$D$16*2, $C$15/100,$D$15/100))*(1+$D$17))</f>
        <v>726000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335000</v>
      </c>
      <c r="K27" s="40">
        <f>LamChanHangNgan((PhiInKM4M_BHR70($A27*F$23/$D$16*$E$16)+$A26*F$23/$D$16*$D$19+PhiMayCanMang($A27*F$23/$D$16*2, $C$15/100,$D$15/100))*(1+$D$17))</f>
        <v>453000</v>
      </c>
      <c r="L27" s="40">
        <f>LamChanHangNgan((PhiInKM4M_BHR70($A27*G$23/$D$16*$E$16)+$A26*G$23/$D$16*$D$19+PhiMayCanMang($A27*G$23/$D$16*2, $C$15/100,$D$15/100))*(1+$D$17))</f>
        <v>573000</v>
      </c>
      <c r="M27" s="40">
        <f>LamChanHangNgan((PhiInKM4M_BHR70($A27*H$23/$D$16*$E$16)+$A26*H$23/$D$16*$D$19+PhiMayCanMang($A27*H$23/$D$16*2, $C$15/100,$D$15/100))*(1+$D$17))</f>
        <v>692000</v>
      </c>
      <c r="N27" s="40">
        <f>LamChanHangNgan((PhiInKM4M_BHR70($A27*I$23/$D$16*$E$16)+$A26*I$23/$D$16*$D$19+PhiMayCanMang($A27*I$23/$D$16*2, $C$15/100,$D$15/100))*(1+$D$17))</f>
        <v>810000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351000</v>
      </c>
      <c r="K29" s="40">
        <f>LamChanHangNgan((PhiInKM4M_BHR70($A29*F$23/$D$16*$E$16)+$A28*F$23/$D$16*$D$19+PhiMayCanMang($A29*F$23/$D$16*2, $C$15/100,$D$15/100))*(1+$D$17))</f>
        <v>488000</v>
      </c>
      <c r="L29" s="40">
        <f>LamChanHangNgan((PhiInKM4M_BHR70($A29*G$23/$D$16*$E$16)+$A28*G$23/$D$16*$D$19+PhiMayCanMang($A29*G$23/$D$16*2, $C$15/100,$D$15/100))*(1+$D$17))</f>
        <v>623000</v>
      </c>
      <c r="M29" s="40">
        <f>LamChanHangNgan((PhiInKM4M_BHR70($A29*H$23/$D$16*$E$16)+$A28*H$23/$D$16*$D$19+PhiMayCanMang($A29*H$23/$D$16*2, $C$15/100,$D$15/100))*(1+$D$17))</f>
        <v>759000</v>
      </c>
      <c r="N29" s="40">
        <f>LamChanHangNgan((PhiInKM4M_BHR70($A29*I$23/$D$16*$E$16)+$A28*I$23/$D$16*$D$19+PhiMayCanMang($A29*I$23/$D$16*2, $C$15/100,$D$15/100))*(1+$D$17))</f>
        <v>896000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368000</v>
      </c>
      <c r="K31" s="40">
        <f>LamChanHangNgan((PhiInKM4M_BHR70($A31*F$23/$D$16*$E$16)+$A30*F$23/$D$16*$D$19+PhiMayCanMang($A31*F$23/$D$16*2, $C$15/100,$D$15/100))*(1+$D$17))</f>
        <v>521000</v>
      </c>
      <c r="L31" s="40">
        <f>LamChanHangNgan((PhiInKM4M_BHR70($A31*G$23/$D$16*$E$16)+$A30*G$23/$D$16*$D$19+PhiMayCanMang($A31*G$23/$D$16*2, $C$15/100,$D$15/100))*(1+$D$17))</f>
        <v>675000</v>
      </c>
      <c r="M31" s="40">
        <f>LamChanHangNgan((PhiInKM4M_BHR70($A31*H$23/$D$16*$E$16)+$A30*H$23/$D$16*$D$19+PhiMayCanMang($A31*H$23/$D$16*2, $C$15/100,$D$15/100))*(1+$D$17))</f>
        <v>828000</v>
      </c>
      <c r="N31" s="40">
        <f>LamChanHangNgan((PhiInKM4M_BHR70($A31*I$23/$D$16*$E$16)+$A30*I$23/$D$16*$D$19+PhiMayCanMang($A31*I$23/$D$16*2, $C$15/100,$D$15/100))*(1+$D$17))</f>
        <v>981000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386000</v>
      </c>
      <c r="K33" s="40">
        <f>LamChanHangNgan((PhiInKM4M_BHR70($A33*F$23/$D$16*$E$16)+$A32*F$23/$D$16*$D$19+PhiMayCanMang($A33*F$23/$D$16*2, $C$15/100,$D$15/100))*(1+$D$17))</f>
        <v>555000</v>
      </c>
      <c r="L33" s="40">
        <f>LamChanHangNgan((PhiInKM4M_BHR70($A33*G$23/$D$16*$E$16)+$A32*G$23/$D$16*$D$19+PhiMayCanMang($A33*G$23/$D$16*2, $C$15/100,$D$15/100))*(1+$D$17))</f>
        <v>726000</v>
      </c>
      <c r="M33" s="40">
        <f>LamChanHangNgan((PhiInKM4M_BHR70($A33*H$23/$D$16*$E$16)+$A32*H$23/$D$16*$D$19+PhiMayCanMang($A33*H$23/$D$16*2, $C$15/100,$D$15/100))*(1+$D$17))</f>
        <v>896000</v>
      </c>
      <c r="N33" s="40">
        <f>LamChanHangNgan((PhiInKM4M_BHR70($A33*I$23/$D$16*$E$16)+$A32*I$23/$D$16*$D$19+PhiMayCanMang($A33*I$23/$D$16*2, $C$15/100,$D$15/100))*(1+$D$17))</f>
        <v>1065000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402000</v>
      </c>
      <c r="K35" s="40">
        <f>LamChanHangNgan((PhiInKM4M_BHR70($A35*F$23/$D$16*$E$16)+$A34*F$23/$D$16*$D$19+PhiMayCanMang($A35*F$23/$D$16*2, $C$15/100,$D$15/100))*(1+$D$17))</f>
        <v>590000</v>
      </c>
      <c r="L35" s="40">
        <f>LamChanHangNgan((PhiInKM4M_BHR70($A35*G$23/$D$16*$E$16)+$A34*G$23/$D$16*$D$19+PhiMayCanMang($A35*G$23/$D$16*2, $C$15/100,$D$15/100))*(1+$D$17))</f>
        <v>776000</v>
      </c>
      <c r="M35" s="40">
        <f>LamChanHangNgan((PhiInKM4M_BHR70($A35*H$23/$D$16*$E$16)+$A34*H$23/$D$16*$D$19+PhiMayCanMang($A35*H$23/$D$16*2, $C$15/100,$D$15/100))*(1+$D$17))</f>
        <v>963000</v>
      </c>
      <c r="N35" s="40">
        <f>LamChanHangNgan((PhiInKM4M_BHR70($A35*I$23/$D$16*$E$16)+$A34*I$23/$D$16*$D$19+PhiMayCanMang($A35*I$23/$D$16*2, $C$15/100,$D$15/100))*(1+$D$17))</f>
        <v>1151000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420000</v>
      </c>
      <c r="K37" s="40">
        <f>LamChanHangNgan((PhiInKM4M_BHR70($A37*F$23/$D$16*$E$16)+$A36*F$23/$D$16*$D$19+PhiMayCanMang($A37*F$23/$D$16*2, $C$15/100,$D$15/100))*(1+$D$17))</f>
        <v>623000</v>
      </c>
      <c r="L37" s="40">
        <f>LamChanHangNgan((PhiInKM4M_BHR70($A37*G$23/$D$16*$E$16)+$A36*G$23/$D$16*$D$19+PhiMayCanMang($A37*G$23/$D$16*2, $C$15/100,$D$15/100))*(1+$D$17))</f>
        <v>828000</v>
      </c>
      <c r="M37" s="40">
        <f>LamChanHangNgan((PhiInKM4M_BHR70($A37*H$23/$D$16*$E$16)+$A36*H$23/$D$16*$D$19+PhiMayCanMang($A37*H$23/$D$16*2, $C$15/100,$D$15/100))*(1+$D$17))</f>
        <v>1031000</v>
      </c>
      <c r="N37" s="40">
        <f>LamChanHangNgan((PhiInKM4M_BHR70($A37*I$23/$D$16*$E$16)+$A36*I$23/$D$16*$D$19+PhiMayCanMang($A37*I$23/$D$16*2, $C$15/100,$D$15/100))*(1+$D$17))</f>
        <v>1236000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dimension ref="A1:T65"/>
  <sheetViews>
    <sheetView topLeftCell="G19" workbookViewId="0">
      <selection activeCell="L38" sqref="L38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80580.392200000002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368000</v>
      </c>
      <c r="K25" s="40">
        <f>LamChanHangNgan((PhiInKM4M_BHR70($A25*F$23/$D$16*$E$16)+$A24*F$23/$D$16*$D$19+PhiMayCanMang($A25*F$23/$D$16*2, $C$15/100,$D$15/100))*(1+$D$17))</f>
        <v>521000</v>
      </c>
      <c r="L25" s="40">
        <f>LamChanHangNgan((PhiInKM4M_BHR70($A25*G$23/$D$16*$E$16)+$A24*G$23/$D$16*$D$19+PhiMayCanMang($A25*G$23/$D$16*2, $C$15/100,$D$15/100))*(1+$D$17))</f>
        <v>675000</v>
      </c>
      <c r="M25" s="40">
        <f>LamChanHangNgan((PhiInKM4M_BHR70($A25*H$23/$D$16*$E$16)+$A24*H$23/$D$16*$D$19+PhiMayCanMang($A25*H$23/$D$16*2, $C$15/100,$D$15/100))*(1+$D$17))</f>
        <v>828000</v>
      </c>
      <c r="N25" s="40">
        <f>LamChanHangNgan((PhiInKM4M_BHR70($A25*I$23/$D$16*$E$16)+$A24*I$23/$D$16*$D$19+PhiMayCanMang($A25*I$23/$D$16*2, $C$15/100,$D$15/100))*(1+$D$17))</f>
        <v>981000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394000</v>
      </c>
      <c r="K27" s="40">
        <f>LamChanHangNgan((PhiInKM4M_BHR70($A27*F$23/$D$16*$E$16)+$A26*F$23/$D$16*$D$19+PhiMayCanMang($A27*F$23/$D$16*2, $C$15/100,$D$15/100))*(1+$D$17))</f>
        <v>573000</v>
      </c>
      <c r="L27" s="40">
        <f>LamChanHangNgan((PhiInKM4M_BHR70($A27*G$23/$D$16*$E$16)+$A26*G$23/$D$16*$D$19+PhiMayCanMang($A27*G$23/$D$16*2, $C$15/100,$D$15/100))*(1+$D$17))</f>
        <v>751000</v>
      </c>
      <c r="M27" s="40">
        <f>LamChanHangNgan((PhiInKM4M_BHR70($A27*H$23/$D$16*$E$16)+$A26*H$23/$D$16*$D$19+PhiMayCanMang($A27*H$23/$D$16*2, $C$15/100,$D$15/100))*(1+$D$17))</f>
        <v>930000</v>
      </c>
      <c r="N27" s="40">
        <f>LamChanHangNgan((PhiInKM4M_BHR70($A27*I$23/$D$16*$E$16)+$A26*I$23/$D$16*$D$19+PhiMayCanMang($A27*I$23/$D$16*2, $C$15/100,$D$15/100))*(1+$D$17))</f>
        <v>1108000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420000</v>
      </c>
      <c r="K29" s="40">
        <f>LamChanHangNgan((PhiInKM4M_BHR70($A29*F$23/$D$16*$E$16)+$A28*F$23/$D$16*$D$19+PhiMayCanMang($A29*F$23/$D$16*2, $C$15/100,$D$15/100))*(1+$D$17))</f>
        <v>623000</v>
      </c>
      <c r="L29" s="40">
        <f>LamChanHangNgan((PhiInKM4M_BHR70($A29*G$23/$D$16*$E$16)+$A28*G$23/$D$16*$D$19+PhiMayCanMang($A29*G$23/$D$16*2, $C$15/100,$D$15/100))*(1+$D$17))</f>
        <v>828000</v>
      </c>
      <c r="M29" s="40">
        <f>LamChanHangNgan((PhiInKM4M_BHR70($A29*H$23/$D$16*$E$16)+$A28*H$23/$D$16*$D$19+PhiMayCanMang($A29*H$23/$D$16*2, $C$15/100,$D$15/100))*(1+$D$17))</f>
        <v>1031000</v>
      </c>
      <c r="N29" s="40">
        <f>LamChanHangNgan((PhiInKM4M_BHR70($A29*I$23/$D$16*$E$16)+$A28*I$23/$D$16*$D$19+PhiMayCanMang($A29*I$23/$D$16*2, $C$15/100,$D$15/100))*(1+$D$17))</f>
        <v>1236000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445000</v>
      </c>
      <c r="K31" s="40">
        <f>LamChanHangNgan((PhiInKM4M_BHR70($A31*F$23/$D$16*$E$16)+$A30*F$23/$D$16*$D$19+PhiMayCanMang($A31*F$23/$D$16*2, $C$15/100,$D$15/100))*(1+$D$17))</f>
        <v>675000</v>
      </c>
      <c r="L31" s="40">
        <f>LamChanHangNgan((PhiInKM4M_BHR70($A31*G$23/$D$16*$E$16)+$A30*G$23/$D$16*$D$19+PhiMayCanMang($A31*G$23/$D$16*2, $C$15/100,$D$15/100))*(1+$D$17))</f>
        <v>904000</v>
      </c>
      <c r="M31" s="40">
        <f>LamChanHangNgan((PhiInKM4M_BHR70($A31*H$23/$D$16*$E$16)+$A30*H$23/$D$16*$D$19+PhiMayCanMang($A31*H$23/$D$16*2, $C$15/100,$D$15/100))*(1+$D$17))</f>
        <v>1134000</v>
      </c>
      <c r="N31" s="40">
        <f>LamChanHangNgan((PhiInKM4M_BHR70($A31*I$23/$D$16*$E$16)+$A30*I$23/$D$16*$D$19+PhiMayCanMang($A31*I$23/$D$16*2, $C$15/100,$D$15/100))*(1+$D$17))</f>
        <v>1363000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470000</v>
      </c>
      <c r="K33" s="40">
        <f>LamChanHangNgan((PhiInKM4M_BHR70($A33*F$23/$D$16*$E$16)+$A32*F$23/$D$16*$D$19+PhiMayCanMang($A33*F$23/$D$16*2, $C$15/100,$D$15/100))*(1+$D$17))</f>
        <v>726000</v>
      </c>
      <c r="L33" s="40">
        <f>LamChanHangNgan((PhiInKM4M_BHR70($A33*G$23/$D$16*$E$16)+$A32*G$23/$D$16*$D$19+PhiMayCanMang($A33*G$23/$D$16*2, $C$15/100,$D$15/100))*(1+$D$17))</f>
        <v>981000</v>
      </c>
      <c r="M33" s="40">
        <f>LamChanHangNgan((PhiInKM4M_BHR70($A33*H$23/$D$16*$E$16)+$A32*H$23/$D$16*$D$19+PhiMayCanMang($A33*H$23/$D$16*2, $C$15/100,$D$15/100))*(1+$D$17))</f>
        <v>1236000</v>
      </c>
      <c r="N33" s="40">
        <f>LamChanHangNgan((PhiInKM4M_BHR70($A33*I$23/$D$16*$E$16)+$A32*I$23/$D$16*$D$19+PhiMayCanMang($A33*I$23/$D$16*2, $C$15/100,$D$15/100))*(1+$D$17))</f>
        <v>1491000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496000</v>
      </c>
      <c r="K35" s="40">
        <f>LamChanHangNgan((PhiInKM4M_BHR70($A35*F$23/$D$16*$E$16)+$A34*F$23/$D$16*$D$19+PhiMayCanMang($A35*F$23/$D$16*2, $C$15/100,$D$15/100))*(1+$D$17))</f>
        <v>776000</v>
      </c>
      <c r="L35" s="40">
        <f>LamChanHangNgan((PhiInKM4M_BHR70($A35*G$23/$D$16*$E$16)+$A34*G$23/$D$16*$D$19+PhiMayCanMang($A35*G$23/$D$16*2, $C$15/100,$D$15/100))*(1+$D$17))</f>
        <v>1057000</v>
      </c>
      <c r="M35" s="40">
        <f>LamChanHangNgan((PhiInKM4M_BHR70($A35*H$23/$D$16*$E$16)+$A34*H$23/$D$16*$D$19+PhiMayCanMang($A35*H$23/$D$16*2, $C$15/100,$D$15/100))*(1+$D$17))</f>
        <v>1338000</v>
      </c>
      <c r="N35" s="40">
        <f>LamChanHangNgan((PhiInKM4M_BHR70($A35*I$23/$D$16*$E$16)+$A34*I$23/$D$16*$D$19+PhiMayCanMang($A35*I$23/$D$16*2, $C$15/100,$D$15/100))*(1+$D$17))</f>
        <v>1618000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521000</v>
      </c>
      <c r="K37" s="40">
        <f>LamChanHangNgan((PhiInKM4M_BHR70($A37*F$23/$D$16*$E$16)+$A36*F$23/$D$16*$D$19+PhiMayCanMang($A37*F$23/$D$16*2, $C$15/100,$D$15/100))*(1+$D$17))</f>
        <v>828000</v>
      </c>
      <c r="L37" s="40">
        <f>LamChanHangNgan((PhiInKM4M_BHR70($A37*G$23/$D$16*$E$16)+$A36*G$23/$D$16*$D$19+PhiMayCanMang($A37*G$23/$D$16*2, $C$15/100,$D$15/100))*(1+$D$17))</f>
        <v>1134000</v>
      </c>
      <c r="M37" s="40">
        <f>LamChanHangNgan((PhiInKM4M_BHR70($A37*H$23/$D$16*$E$16)+$A36*H$23/$D$16*$D$19+PhiMayCanMang($A37*H$23/$D$16*2, $C$15/100,$D$15/100))*(1+$D$17))</f>
        <v>1440000</v>
      </c>
      <c r="N37" s="40">
        <f>LamChanHangNgan((PhiInKM4M_BHR70($A37*I$23/$D$16*$E$16)+$A36*I$23/$D$16*$D$19+PhiMayCanMang($A37*I$23/$D$16*2, $C$15/100,$D$15/100))*(1+$D$17))</f>
        <v>1746000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dimension ref="A1:T65"/>
  <sheetViews>
    <sheetView topLeftCell="D13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87827.451000000001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521000</v>
      </c>
      <c r="K25" s="40">
        <f>LamChanHangNgan((PhiInKM4M_BHR70($A25*F$23/$D$16*$E$16)+$A24*F$23/$D$16*$D$19+PhiMayCanMang($A25*F$23/$D$16*2, $C$15/100,$D$15/100))*(1+$D$17))</f>
        <v>828000</v>
      </c>
      <c r="L25" s="40">
        <f>LamChanHangNgan((PhiInKM4M_BHR70($A25*G$23/$D$16*$E$16)+$A24*G$23/$D$16*$D$19+PhiMayCanMang($A25*G$23/$D$16*2, $C$15/100,$D$15/100))*(1+$D$17))</f>
        <v>1134000</v>
      </c>
      <c r="M25" s="40">
        <f>LamChanHangNgan((PhiInKM4M_BHR70($A25*H$23/$D$16*$E$16)+$A24*H$23/$D$16*$D$19+PhiMayCanMang($A25*H$23/$D$16*2, $C$15/100,$D$15/100))*(1+$D$17))</f>
        <v>1440000</v>
      </c>
      <c r="N25" s="40">
        <f>LamChanHangNgan((PhiInKM4M_BHR70($A25*I$23/$D$16*$E$16)+$A24*I$23/$D$16*$D$19+PhiMayCanMang($A25*I$23/$D$16*2, $C$15/100,$D$15/100))*(1+$D$17))</f>
        <v>1746000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573000</v>
      </c>
      <c r="K27" s="40">
        <f>LamChanHangNgan((PhiInKM4M_BHR70($A27*F$23/$D$16*$E$16)+$A26*F$23/$D$16*$D$19+PhiMayCanMang($A27*F$23/$D$16*2, $C$15/100,$D$15/100))*(1+$D$17))</f>
        <v>930000</v>
      </c>
      <c r="L27" s="40">
        <f>LamChanHangNgan((PhiInKM4M_BHR70($A27*G$23/$D$16*$E$16)+$A26*G$23/$D$16*$D$19+PhiMayCanMang($A27*G$23/$D$16*2, $C$15/100,$D$15/100))*(1+$D$17))</f>
        <v>1287000</v>
      </c>
      <c r="M27" s="40">
        <f>LamChanHangNgan((PhiInKM4M_BHR70($A27*H$23/$D$16*$E$16)+$A26*H$23/$D$16*$D$19+PhiMayCanMang($A27*H$23/$D$16*2, $C$15/100,$D$15/100))*(1+$D$17))</f>
        <v>1644000</v>
      </c>
      <c r="N27" s="40">
        <f>LamChanHangNgan((PhiInKM4M_BHR70($A27*I$23/$D$16*$E$16)+$A26*I$23/$D$16*$D$19+PhiMayCanMang($A27*I$23/$D$16*2, $C$15/100,$D$15/100))*(1+$D$17))</f>
        <v>2001000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623000</v>
      </c>
      <c r="K29" s="40">
        <f>LamChanHangNgan((PhiInKM4M_BHR70($A29*F$23/$D$16*$E$16)+$A28*F$23/$D$16*$D$19+PhiMayCanMang($A29*F$23/$D$16*2, $C$15/100,$D$15/100))*(1+$D$17))</f>
        <v>1031000</v>
      </c>
      <c r="L29" s="40">
        <f>LamChanHangNgan((PhiInKM4M_BHR70($A29*G$23/$D$16*$E$16)+$A28*G$23/$D$16*$D$19+PhiMayCanMang($A29*G$23/$D$16*2, $C$15/100,$D$15/100))*(1+$D$17))</f>
        <v>1440000</v>
      </c>
      <c r="M29" s="40">
        <f>LamChanHangNgan((PhiInKM4M_BHR70($A29*H$23/$D$16*$E$16)+$A28*H$23/$D$16*$D$19+PhiMayCanMang($A29*H$23/$D$16*2, $C$15/100,$D$15/100))*(1+$D$17))</f>
        <v>1848000</v>
      </c>
      <c r="N29" s="40">
        <f>LamChanHangNgan((PhiInKM4M_BHR70($A29*I$23/$D$16*$E$16)+$A28*I$23/$D$16*$D$19+PhiMayCanMang($A29*I$23/$D$16*2, $C$15/100,$D$15/100))*(1+$D$17))</f>
        <v>2256000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675000</v>
      </c>
      <c r="K31" s="40">
        <f>LamChanHangNgan((PhiInKM4M_BHR70($A31*F$23/$D$16*$E$16)+$A30*F$23/$D$16*$D$19+PhiMayCanMang($A31*F$23/$D$16*2, $C$15/100,$D$15/100))*(1+$D$17))</f>
        <v>1134000</v>
      </c>
      <c r="L31" s="40">
        <f>LamChanHangNgan((PhiInKM4M_BHR70($A31*G$23/$D$16*$E$16)+$A30*G$23/$D$16*$D$19+PhiMayCanMang($A31*G$23/$D$16*2, $C$15/100,$D$15/100))*(1+$D$17))</f>
        <v>1593000</v>
      </c>
      <c r="M31" s="40">
        <f>LamChanHangNgan((PhiInKM4M_BHR70($A31*H$23/$D$16*$E$16)+$A30*H$23/$D$16*$D$19+PhiMayCanMang($A31*H$23/$D$16*2, $C$15/100,$D$15/100))*(1+$D$17))</f>
        <v>2052000</v>
      </c>
      <c r="N31" s="40">
        <f>LamChanHangNgan((PhiInKM4M_BHR70($A31*I$23/$D$16*$E$16)+$A30*I$23/$D$16*$D$19+PhiMayCanMang($A31*I$23/$D$16*2, $C$15/100,$D$15/100))*(1+$D$17))</f>
        <v>2511000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726000</v>
      </c>
      <c r="K33" s="40">
        <f>LamChanHangNgan((PhiInKM4M_BHR70($A33*F$23/$D$16*$E$16)+$A32*F$23/$D$16*$D$19+PhiMayCanMang($A33*F$23/$D$16*2, $C$15/100,$D$15/100))*(1+$D$17))</f>
        <v>1236000</v>
      </c>
      <c r="L33" s="40">
        <f>LamChanHangNgan((PhiInKM4M_BHR70($A33*G$23/$D$16*$E$16)+$A32*G$23/$D$16*$D$19+PhiMayCanMang($A33*G$23/$D$16*2, $C$15/100,$D$15/100))*(1+$D$17))</f>
        <v>1746000</v>
      </c>
      <c r="M33" s="40">
        <f>LamChanHangNgan((PhiInKM4M_BHR70($A33*H$23/$D$16*$E$16)+$A32*H$23/$D$16*$D$19+PhiMayCanMang($A33*H$23/$D$16*2, $C$15/100,$D$15/100))*(1+$D$17))</f>
        <v>2256000</v>
      </c>
      <c r="N33" s="40">
        <f>LamChanHangNgan((PhiInKM4M_BHR70($A33*I$23/$D$16*$E$16)+$A32*I$23/$D$16*$D$19+PhiMayCanMang($A33*I$23/$D$16*2, $C$15/100,$D$15/100))*(1+$D$17))</f>
        <v>2766000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776000</v>
      </c>
      <c r="K35" s="40">
        <f>LamChanHangNgan((PhiInKM4M_BHR70($A35*F$23/$D$16*$E$16)+$A34*F$23/$D$16*$D$19+PhiMayCanMang($A35*F$23/$D$16*2, $C$15/100,$D$15/100))*(1+$D$17))</f>
        <v>1338000</v>
      </c>
      <c r="L35" s="40">
        <f>LamChanHangNgan((PhiInKM4M_BHR70($A35*G$23/$D$16*$E$16)+$A34*G$23/$D$16*$D$19+PhiMayCanMang($A35*G$23/$D$16*2, $C$15/100,$D$15/100))*(1+$D$17))</f>
        <v>1899000</v>
      </c>
      <c r="M35" s="40">
        <f>LamChanHangNgan((PhiInKM4M_BHR70($A35*H$23/$D$16*$E$16)+$A34*H$23/$D$16*$D$19+PhiMayCanMang($A35*H$23/$D$16*2, $C$15/100,$D$15/100))*(1+$D$17))</f>
        <v>2460000</v>
      </c>
      <c r="N35" s="40">
        <f>LamChanHangNgan((PhiInKM4M_BHR70($A35*I$23/$D$16*$E$16)+$A34*I$23/$D$16*$D$19+PhiMayCanMang($A35*I$23/$D$16*2, $C$15/100,$D$15/100))*(1+$D$17))</f>
        <v>3021000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828000</v>
      </c>
      <c r="K37" s="40">
        <f>LamChanHangNgan((PhiInKM4M_BHR70($A37*F$23/$D$16*$E$16)+$A36*F$23/$D$16*$D$19+PhiMayCanMang($A37*F$23/$D$16*2, $C$15/100,$D$15/100))*(1+$D$17))</f>
        <v>1440000</v>
      </c>
      <c r="L37" s="40">
        <f>LamChanHangNgan((PhiInKM4M_BHR70($A37*G$23/$D$16*$E$16)+$A36*G$23/$D$16*$D$19+PhiMayCanMang($A37*G$23/$D$16*2, $C$15/100,$D$15/100))*(1+$D$17))</f>
        <v>2052000</v>
      </c>
      <c r="M37" s="40">
        <f>LamChanHangNgan((PhiInKM4M_BHR70($A37*H$23/$D$16*$E$16)+$A36*H$23/$D$16*$D$19+PhiMayCanMang($A37*H$23/$D$16*2, $C$15/100,$D$15/100))*(1+$D$17))</f>
        <v>2664000</v>
      </c>
      <c r="N37" s="40">
        <f>LamChanHangNgan((PhiInKM4M_BHR70($A37*I$23/$D$16*$E$16)+$A36*I$23/$D$16*$D$19+PhiMayCanMang($A37*I$23/$D$16*2, $C$15/100,$D$15/100))*(1+$D$17))</f>
        <v>3276000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16244.4445</v>
      </c>
      <c r="F41" s="7">
        <f t="shared" ref="F41:I41" si="8">PhiLDPT_XepDotVoCuonLX(F$23)+$B$41*$C$13/100</f>
        <v>17688.888899999998</v>
      </c>
      <c r="G41" s="7">
        <f t="shared" si="8"/>
        <v>19133.333500000001</v>
      </c>
      <c r="H41" s="7">
        <f t="shared" si="8"/>
        <v>20577.7778</v>
      </c>
      <c r="I41" s="7">
        <f t="shared" si="8"/>
        <v>22022.222600000001</v>
      </c>
    </row>
    <row r="42" spans="1:14" x14ac:dyDescent="0.25">
      <c r="A42" s="2"/>
      <c r="D42" t="s">
        <v>317</v>
      </c>
      <c r="E42" s="7">
        <f>E$41*(1+$D$17)</f>
        <v>28427.777875</v>
      </c>
      <c r="F42" s="7">
        <f t="shared" ref="F42:I42" si="9">F$41*(1+$D$17)</f>
        <v>30955.555574999998</v>
      </c>
      <c r="G42" s="7">
        <f t="shared" si="9"/>
        <v>33483.333624999999</v>
      </c>
      <c r="H42" s="7">
        <f t="shared" si="9"/>
        <v>36011.111149999997</v>
      </c>
      <c r="I42" s="7">
        <f t="shared" si="9"/>
        <v>38538.88955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dimension ref="A1:T65"/>
  <sheetViews>
    <sheetView tabSelected="1" topLeftCell="A8" workbookViewId="0">
      <selection activeCell="C21" sqref="C21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87827.451000000001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521000</v>
      </c>
      <c r="K25" s="40">
        <f>LamChanHangNgan((PhiInKM4M_BHR70($A25*F$23/$D$16*$E$16)+$A24*F$23/$D$16*$D$19+PhiMayCanMang($A25*F$23/$D$16*2, $C$15/100,$D$15/100))*(1+$D$17))</f>
        <v>828000</v>
      </c>
      <c r="L25" s="40">
        <f>LamChanHangNgan((PhiInKM4M_BHR70($A25*G$23/$D$16*$E$16)+$A24*G$23/$D$16*$D$19+PhiMayCanMang($A25*G$23/$D$16*2, $C$15/100,$D$15/100))*(1+$D$17))</f>
        <v>1134000</v>
      </c>
      <c r="M25" s="40">
        <f>LamChanHangNgan((PhiInKM4M_BHR70($A25*H$23/$D$16*$E$16)+$A24*H$23/$D$16*$D$19+PhiMayCanMang($A25*H$23/$D$16*2, $C$15/100,$D$15/100))*(1+$D$17))</f>
        <v>1440000</v>
      </c>
      <c r="N25" s="40">
        <f>LamChanHangNgan((PhiInKM4M_BHR70($A25*I$23/$D$16*$E$16)+$A24*I$23/$D$16*$D$19+PhiMayCanMang($A25*I$23/$D$16*2, $C$15/100,$D$15/100))*(1+$D$17))</f>
        <v>1746000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573000</v>
      </c>
      <c r="K27" s="40">
        <f>LamChanHangNgan((PhiInKM4M_BHR70($A27*F$23/$D$16*$E$16)+$A26*F$23/$D$16*$D$19+PhiMayCanMang($A27*F$23/$D$16*2, $C$15/100,$D$15/100))*(1+$D$17))</f>
        <v>930000</v>
      </c>
      <c r="L27" s="40">
        <f>LamChanHangNgan((PhiInKM4M_BHR70($A27*G$23/$D$16*$E$16)+$A26*G$23/$D$16*$D$19+PhiMayCanMang($A27*G$23/$D$16*2, $C$15/100,$D$15/100))*(1+$D$17))</f>
        <v>1287000</v>
      </c>
      <c r="M27" s="40">
        <f>LamChanHangNgan((PhiInKM4M_BHR70($A27*H$23/$D$16*$E$16)+$A26*H$23/$D$16*$D$19+PhiMayCanMang($A27*H$23/$D$16*2, $C$15/100,$D$15/100))*(1+$D$17))</f>
        <v>1644000</v>
      </c>
      <c r="N27" s="40">
        <f>LamChanHangNgan((PhiInKM4M_BHR70($A27*I$23/$D$16*$E$16)+$A26*I$23/$D$16*$D$19+PhiMayCanMang($A27*I$23/$D$16*2, $C$15/100,$D$15/100))*(1+$D$17))</f>
        <v>2001000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623000</v>
      </c>
      <c r="K29" s="40">
        <f>LamChanHangNgan((PhiInKM4M_BHR70($A29*F$23/$D$16*$E$16)+$A28*F$23/$D$16*$D$19+PhiMayCanMang($A29*F$23/$D$16*2, $C$15/100,$D$15/100))*(1+$D$17))</f>
        <v>1031000</v>
      </c>
      <c r="L29" s="40">
        <f>LamChanHangNgan((PhiInKM4M_BHR70($A29*G$23/$D$16*$E$16)+$A28*G$23/$D$16*$D$19+PhiMayCanMang($A29*G$23/$D$16*2, $C$15/100,$D$15/100))*(1+$D$17))</f>
        <v>1440000</v>
      </c>
      <c r="M29" s="40">
        <f>LamChanHangNgan((PhiInKM4M_BHR70($A29*H$23/$D$16*$E$16)+$A28*H$23/$D$16*$D$19+PhiMayCanMang($A29*H$23/$D$16*2, $C$15/100,$D$15/100))*(1+$D$17))</f>
        <v>1848000</v>
      </c>
      <c r="N29" s="40">
        <f>LamChanHangNgan((PhiInKM4M_BHR70($A29*I$23/$D$16*$E$16)+$A28*I$23/$D$16*$D$19+PhiMayCanMang($A29*I$23/$D$16*2, $C$15/100,$D$15/100))*(1+$D$17))</f>
        <v>2256000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675000</v>
      </c>
      <c r="K31" s="40">
        <f>LamChanHangNgan((PhiInKM4M_BHR70($A31*F$23/$D$16*$E$16)+$A30*F$23/$D$16*$D$19+PhiMayCanMang($A31*F$23/$D$16*2, $C$15/100,$D$15/100))*(1+$D$17))</f>
        <v>1134000</v>
      </c>
      <c r="L31" s="40">
        <f>LamChanHangNgan((PhiInKM4M_BHR70($A31*G$23/$D$16*$E$16)+$A30*G$23/$D$16*$D$19+PhiMayCanMang($A31*G$23/$D$16*2, $C$15/100,$D$15/100))*(1+$D$17))</f>
        <v>1593000</v>
      </c>
      <c r="M31" s="40">
        <f>LamChanHangNgan((PhiInKM4M_BHR70($A31*H$23/$D$16*$E$16)+$A30*H$23/$D$16*$D$19+PhiMayCanMang($A31*H$23/$D$16*2, $C$15/100,$D$15/100))*(1+$D$17))</f>
        <v>2052000</v>
      </c>
      <c r="N31" s="40">
        <f>LamChanHangNgan((PhiInKM4M_BHR70($A31*I$23/$D$16*$E$16)+$A30*I$23/$D$16*$D$19+PhiMayCanMang($A31*I$23/$D$16*2, $C$15/100,$D$15/100))*(1+$D$17))</f>
        <v>2511000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726000</v>
      </c>
      <c r="K33" s="40">
        <f>LamChanHangNgan((PhiInKM4M_BHR70($A33*F$23/$D$16*$E$16)+$A32*F$23/$D$16*$D$19+PhiMayCanMang($A33*F$23/$D$16*2, $C$15/100,$D$15/100))*(1+$D$17))</f>
        <v>1236000</v>
      </c>
      <c r="L33" s="40">
        <f>LamChanHangNgan((PhiInKM4M_BHR70($A33*G$23/$D$16*$E$16)+$A32*G$23/$D$16*$D$19+PhiMayCanMang($A33*G$23/$D$16*2, $C$15/100,$D$15/100))*(1+$D$17))</f>
        <v>1746000</v>
      </c>
      <c r="M33" s="40">
        <f>LamChanHangNgan((PhiInKM4M_BHR70($A33*H$23/$D$16*$E$16)+$A32*H$23/$D$16*$D$19+PhiMayCanMang($A33*H$23/$D$16*2, $C$15/100,$D$15/100))*(1+$D$17))</f>
        <v>2256000</v>
      </c>
      <c r="N33" s="40">
        <f>LamChanHangNgan((PhiInKM4M_BHR70($A33*I$23/$D$16*$E$16)+$A32*I$23/$D$16*$D$19+PhiMayCanMang($A33*I$23/$D$16*2, $C$15/100,$D$15/100))*(1+$D$17))</f>
        <v>2766000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776000</v>
      </c>
      <c r="K35" s="40">
        <f>LamChanHangNgan((PhiInKM4M_BHR70($A35*F$23/$D$16*$E$16)+$A34*F$23/$D$16*$D$19+PhiMayCanMang($A35*F$23/$D$16*2, $C$15/100,$D$15/100))*(1+$D$17))</f>
        <v>1338000</v>
      </c>
      <c r="L35" s="40">
        <f>LamChanHangNgan((PhiInKM4M_BHR70($A35*G$23/$D$16*$E$16)+$A34*G$23/$D$16*$D$19+PhiMayCanMang($A35*G$23/$D$16*2, $C$15/100,$D$15/100))*(1+$D$17))</f>
        <v>1899000</v>
      </c>
      <c r="M35" s="40">
        <f>LamChanHangNgan((PhiInKM4M_BHR70($A35*H$23/$D$16*$E$16)+$A34*H$23/$D$16*$D$19+PhiMayCanMang($A35*H$23/$D$16*2, $C$15/100,$D$15/100))*(1+$D$17))</f>
        <v>2460000</v>
      </c>
      <c r="N35" s="40">
        <f>LamChanHangNgan((PhiInKM4M_BHR70($A35*I$23/$D$16*$E$16)+$A34*I$23/$D$16*$D$19+PhiMayCanMang($A35*I$23/$D$16*2, $C$15/100,$D$15/100))*(1+$D$17))</f>
        <v>3021000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828000</v>
      </c>
      <c r="K37" s="40">
        <f>LamChanHangNgan((PhiInKM4M_BHR70($A37*F$23/$D$16*$E$16)+$A36*F$23/$D$16*$D$19+PhiMayCanMang($A37*F$23/$D$16*2, $C$15/100,$D$15/100))*(1+$D$17))</f>
        <v>1440000</v>
      </c>
      <c r="L37" s="40">
        <f>LamChanHangNgan((PhiInKM4M_BHR70($A37*G$23/$D$16*$E$16)+$A36*G$23/$D$16*$D$19+PhiMayCanMang($A37*G$23/$D$16*2, $C$15/100,$D$15/100))*(1+$D$17))</f>
        <v>2052000</v>
      </c>
      <c r="M37" s="40">
        <f>LamChanHangNgan((PhiInKM4M_BHR70($A37*H$23/$D$16*$E$16)+$A36*H$23/$D$16*$D$19+PhiMayCanMang($A37*H$23/$D$16*2, $C$15/100,$D$15/100))*(1+$D$17))</f>
        <v>2664000</v>
      </c>
      <c r="N37" s="40">
        <f>LamChanHangNgan((PhiInKM4M_BHR70($A37*I$23/$D$16*$E$16)+$A36*I$23/$D$16*$D$19+PhiMayCanMang($A37*I$23/$D$16*2, $C$15/100,$D$15/100))*(1+$D$17))</f>
        <v>3276000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16484.444499999998</v>
      </c>
      <c r="F41" s="7">
        <f t="shared" ref="F41:I41" si="8">PhiLDPT_XepDotVoCuonLX(F$23)+$B$41*$C$13/100</f>
        <v>17928.888899999998</v>
      </c>
      <c r="G41" s="7">
        <f t="shared" si="8"/>
        <v>19373.333500000001</v>
      </c>
      <c r="H41" s="7">
        <f t="shared" si="8"/>
        <v>20817.7778</v>
      </c>
      <c r="I41" s="7">
        <f t="shared" si="8"/>
        <v>22262.222600000001</v>
      </c>
    </row>
    <row r="42" spans="1:14" x14ac:dyDescent="0.25">
      <c r="A42" s="2"/>
      <c r="D42" t="s">
        <v>317</v>
      </c>
      <c r="E42" s="7">
        <f>E$41*(1+$D$17)</f>
        <v>28847.777874999996</v>
      </c>
      <c r="F42" s="7">
        <f t="shared" ref="F42:I42" si="9">F$41*(1+$D$17)</f>
        <v>31375.555574999998</v>
      </c>
      <c r="G42" s="7">
        <f t="shared" si="9"/>
        <v>33903.333624999999</v>
      </c>
      <c r="H42" s="7">
        <f t="shared" si="9"/>
        <v>36431.111149999997</v>
      </c>
      <c r="I42" s="7">
        <f t="shared" si="9"/>
        <v>38958.88955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dimension ref="A1:G19"/>
  <sheetViews>
    <sheetView topLeftCell="A4" workbookViewId="0">
      <selection activeCell="A20" sqref="A20"/>
    </sheetView>
  </sheetViews>
  <sheetFormatPr defaultRowHeight="15" x14ac:dyDescent="0.25"/>
  <cols>
    <col min="1" max="1" width="20" bestFit="1" customWidth="1"/>
    <col min="2" max="2" width="18.5703125" customWidth="1"/>
    <col min="3" max="3" width="14.28515625" bestFit="1" customWidth="1"/>
    <col min="4" max="4" width="15.85546875" bestFit="1" customWidth="1"/>
    <col min="5" max="5" width="18.28515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75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5" x14ac:dyDescent="0.25">
      <c r="A17" t="s">
        <v>135</v>
      </c>
      <c r="D17" s="33">
        <v>0.75</v>
      </c>
      <c r="E17" s="34" t="s">
        <v>233</v>
      </c>
    </row>
    <row r="18" spans="1:5" x14ac:dyDescent="0.25">
      <c r="B18" t="s">
        <v>215</v>
      </c>
      <c r="C18" t="s">
        <v>216</v>
      </c>
      <c r="D18" t="s">
        <v>218</v>
      </c>
      <c r="E18" t="s">
        <v>217</v>
      </c>
    </row>
    <row r="19" spans="1:5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workbookViewId="0">
      <selection activeCell="S16" sqref="S16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15</vt:i4>
      </vt:variant>
      <vt:variant>
        <vt:lpstr>Phạm vi Có tên</vt:lpstr>
      </vt:variant>
      <vt:variant>
        <vt:i4>8</vt:i4>
      </vt:variant>
    </vt:vector>
  </HeadingPairs>
  <TitlesOfParts>
    <vt:vector size="23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Menu-BiaCungVit-Ruot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2019-06-08T09:13:23Z</dcterms:modified>
</cp:coreProperties>
</file>