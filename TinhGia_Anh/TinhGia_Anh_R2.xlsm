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22B921D6-239F-4B68-A1BD-609947447C4F}" xr6:coauthVersionLast="44" xr6:coauthVersionMax="44" xr10:uidLastSave="{00000000-0000-0000-0000-000000000000}"/>
  <bookViews>
    <workbookView xWindow="0" yWindow="0" windowWidth="28800" windowHeight="15750" activeTab="2" xr2:uid="{00000000-000D-0000-FFFF-FFFF00000000}"/>
  </bookViews>
  <sheets>
    <sheet name="NguyenLieu" sheetId="58" r:id="rId1"/>
    <sheet name="KD-ABCD-30x30" sheetId="38" r:id="rId2"/>
    <sheet name="KD-ABCD-30x30_r1" sheetId="59" r:id="rId3"/>
    <sheet name="Trang_tính2" sheetId="60" r:id="rId4"/>
    <sheet name="Base-MayIn" sheetId="10" r:id="rId5"/>
    <sheet name="NguyenVatLieu" sheetId="13" r:id="rId6"/>
    <sheet name="Base-Margin" sheetId="15" r:id="rId7"/>
  </sheets>
  <functionGroups builtInGroupCount="19"/>
  <definedNames>
    <definedName name="atools_list_filter_1" localSheetId="1" hidden="1">'KD-ABCD-30x30'!$B$15:$E$15</definedName>
    <definedName name="atools_list_filter_1_colinvisibles_ext" localSheetId="1" hidden="1">";;"</definedName>
    <definedName name="atools_list_filter_1_colsrcidxs_ext" localSheetId="1" hidden="1">"1;2;3"</definedName>
    <definedName name="atools_list_filter_1_colwidths_ext" localSheetId="1" hidden="1">"88;96;84"</definedName>
    <definedName name="atools_list_filter_1_onrangeaddr" localSheetId="1" hidden="1">"='KD-ABCD-30x30'!$B$14:$D$14"</definedName>
    <definedName name="atools_list_filter_1_pos_ext" localSheetId="1" hidden="1">"0;1;2"</definedName>
    <definedName name="atools_list_filter_1_proper" localSheetId="1" hidden="1">"1|1|0|0|0|||305|309||0|,||1||0||0|18|185|2.0|1|1|1|0"</definedName>
    <definedName name="atools_list_filter_1_source" localSheetId="1" hidden="1">GIA_GIAY_CO_BAN</definedName>
    <definedName name="atools_list_filter_1_sourceaddr" localSheetId="1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14" i="59" l="1"/>
  <c r="P14" i="59"/>
  <c r="L14" i="59"/>
  <c r="I14" i="59"/>
  <c r="L27" i="59"/>
  <c r="K14" i="59"/>
  <c r="J14" i="59"/>
  <c r="C13" i="59"/>
  <c r="M14" i="59" l="1"/>
  <c r="C14" i="38" l="1"/>
  <c r="C17" i="38"/>
  <c r="C25" i="38"/>
  <c r="C13" i="38"/>
  <c r="C30" i="38"/>
  <c r="C26" i="38"/>
  <c r="C28" i="38"/>
  <c r="I27" i="59" l="1"/>
  <c r="I27" i="38"/>
  <c r="L27" i="38"/>
  <c r="B29" i="59"/>
  <c r="C29" i="59" s="1"/>
  <c r="E29" i="59" s="1"/>
  <c r="B28" i="59"/>
  <c r="B25" i="59"/>
  <c r="E16" i="59"/>
  <c r="B16" i="59"/>
  <c r="B13" i="59"/>
  <c r="D6" i="59"/>
  <c r="B14" i="59" s="1"/>
  <c r="C14" i="59" s="1"/>
  <c r="E14" i="59" s="1"/>
  <c r="D5" i="59"/>
  <c r="B26" i="59" s="1"/>
  <c r="D4" i="59"/>
  <c r="J27" i="38"/>
  <c r="C26" i="59"/>
  <c r="C30" i="59"/>
  <c r="C17" i="59"/>
  <c r="C25" i="59"/>
  <c r="J27" i="59"/>
  <c r="C28" i="59"/>
  <c r="K27" i="38"/>
  <c r="K27" i="59"/>
  <c r="C12" i="59"/>
  <c r="M27" i="38" l="1"/>
  <c r="M27" i="59"/>
  <c r="E28" i="59"/>
  <c r="E13" i="59"/>
  <c r="E30" i="59"/>
  <c r="E12" i="59"/>
  <c r="E26" i="59"/>
  <c r="E17" i="59"/>
  <c r="E25" i="59"/>
  <c r="B27" i="59"/>
  <c r="C27" i="59" s="1"/>
  <c r="E27" i="59" s="1"/>
  <c r="B15" i="59"/>
  <c r="C15" i="59" s="1"/>
  <c r="E15" i="59" s="1"/>
  <c r="C27" i="38"/>
  <c r="E18" i="59" l="1"/>
  <c r="E31" i="59"/>
  <c r="B28" i="38"/>
  <c r="C29" i="38"/>
  <c r="E29" i="38" s="1"/>
  <c r="B25" i="38"/>
  <c r="B29" i="38"/>
  <c r="G13" i="58"/>
  <c r="B27" i="38"/>
  <c r="B26" i="38"/>
  <c r="D5" i="38"/>
  <c r="G12" i="58"/>
  <c r="B16" i="38"/>
  <c r="D4" i="38"/>
  <c r="C15" i="38"/>
  <c r="E15" i="38" s="1"/>
  <c r="B15" i="38"/>
  <c r="E16" i="38"/>
  <c r="B14" i="38"/>
  <c r="E34" i="59" l="1"/>
  <c r="E36" i="59" s="1"/>
  <c r="E30" i="38"/>
  <c r="E28" i="38"/>
  <c r="E27" i="38"/>
  <c r="E17" i="38"/>
  <c r="E26" i="38"/>
  <c r="E25" i="38"/>
  <c r="E31" i="38" l="1"/>
  <c r="E14" i="38"/>
  <c r="E13" i="38"/>
  <c r="C12" i="38"/>
  <c r="E12" i="38" l="1"/>
  <c r="B13" i="38"/>
  <c r="D6" i="38"/>
  <c r="E18" i="38" l="1"/>
  <c r="E34" i="38" s="1"/>
  <c r="C10" i="58"/>
  <c r="C9" i="58"/>
  <c r="O7" i="10" l="1"/>
  <c r="O6" i="10"/>
  <c r="O5" i="10"/>
  <c r="O4" i="10"/>
  <c r="M3" i="13" l="1"/>
  <c r="M4" i="13" l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</calcChain>
</file>

<file path=xl/sharedStrings.xml><?xml version="1.0" encoding="utf-8"?>
<sst xmlns="http://schemas.openxmlformats.org/spreadsheetml/2006/main" count="309" uniqueCount="205">
  <si>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</si>
  <si>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</si>
  <si>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</si>
  <si>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</si>
  <si>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</si>
  <si>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</si>
  <si>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</si>
  <si>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</si>
  <si>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</si>
  <si>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</si>
  <si>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</si>
  <si>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</si>
  <si>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</si>
  <si>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</si>
  <si>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</si>
  <si>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</si>
  <si>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</si>
  <si>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</si>
  <si>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</si>
  <si>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</si>
  <si>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</si>
  <si>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</si>
  <si>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</si>
  <si>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</si>
  <si>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</si>
  <si>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</si>
  <si>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</si>
  <si>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</si>
  <si>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</si>
  <si>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</si>
  <si>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</si>
  <si>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</si>
  <si>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</si>
  <si>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</si>
  <si>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</si>
  <si>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</si>
  <si>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</si>
  <si>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</si>
  <si>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</si>
  <si>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</si>
  <si>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</si>
  <si>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</si>
  <si>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</si>
  <si>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</si>
  <si>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</si>
  <si>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</si>
  <si>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</si>
  <si>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</si>
  <si>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</si>
  <si>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</si>
  <si>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Markup</t>
  </si>
  <si>
    <t>Margin</t>
  </si>
  <si>
    <t>Rộng (cm)</t>
  </si>
  <si>
    <t>Cao (cm)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</si>
  <si>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</si>
  <si>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</si>
  <si>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</si>
  <si>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</si>
  <si>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</si>
  <si>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</si>
  <si>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</si>
  <si>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</si>
  <si>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</si>
  <si>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</si>
  <si>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</si>
  <si>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</si>
  <si>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</si>
  <si>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</si>
  <si>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</si>
  <si>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</si>
  <si>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</si>
  <si>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</si>
  <si>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</si>
  <si>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</si>
  <si>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</si>
  <si>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</si>
  <si>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</si>
  <si>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</si>
  <si>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</si>
  <si>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</si>
  <si>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</si>
  <si>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</si>
  <si>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</si>
  <si>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</si>
  <si>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</si>
  <si>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</si>
  <si>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</si>
  <si>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</si>
  <si>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</si>
  <si>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</si>
  <si>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</si>
  <si>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</si>
  <si>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</si>
  <si>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</si>
  <si>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</si>
  <si>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</si>
  <si>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</si>
  <si>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</si>
  <si>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</si>
  <si>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</si>
  <si>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</si>
  <si>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</si>
  <si>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</si>
  <si>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</si>
  <si>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</si>
  <si>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</si>
  <si>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</si>
  <si>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</si>
  <si>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</si>
  <si>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</si>
  <si>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</si>
  <si>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</si>
  <si>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</si>
  <si>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</si>
  <si>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</si>
  <si>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</si>
  <si>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Mã</t>
  </si>
  <si>
    <t>Cập nhật ngày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</si>
  <si>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</si>
  <si>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</si>
  <si>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</si>
  <si>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</si>
  <si>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</si>
  <si>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</si>
  <si>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</si>
  <si>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</si>
  <si>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</si>
  <si>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</si>
  <si>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EUR-PRI-120-32x45</t>
  </si>
  <si>
    <t>Euro Prim 120 32x45</t>
  </si>
  <si>
    <t>FORT120-79x109</t>
  </si>
  <si>
    <t>FO120 79x109</t>
  </si>
  <si>
    <t>FOR150-79x109</t>
  </si>
  <si>
    <t>Decal-32x485</t>
  </si>
  <si>
    <t>Decal 32 x 48.5 cm</t>
  </si>
  <si>
    <t>Decal-32x26</t>
  </si>
  <si>
    <t>Decal 32 x 26 cm</t>
  </si>
  <si>
    <t>Decal-32x39</t>
  </si>
  <si>
    <t>Decal 32 x 39 cm</t>
  </si>
  <si>
    <t>Khổ cắt SP</t>
  </si>
  <si>
    <t>rong</t>
  </si>
  <si>
    <t>cao</t>
  </si>
  <si>
    <t>bleed</t>
  </si>
  <si>
    <t>Giấy in Ảnh</t>
  </si>
  <si>
    <t>Giấy ảnh RC 180gsm 91cm x 30m - TQ</t>
  </si>
  <si>
    <t>Giấy ảnh RC 260gsm 1.27cm x 30m - TQ</t>
  </si>
  <si>
    <t>Giấy ảnh RC 260gsm 1.27cm x 30m - Nhật</t>
  </si>
  <si>
    <t>Chất liệu</t>
  </si>
  <si>
    <t>BOP-MAT-32-4000</t>
  </si>
  <si>
    <t>INJ180-RC-91-30-TQ</t>
  </si>
  <si>
    <t>INJ260-RC-127-30-NH</t>
  </si>
  <si>
    <t>INJ260-RC-127-30-TQ</t>
  </si>
  <si>
    <t>Màng BOPP mờ 32cm x 4000</t>
  </si>
  <si>
    <t>Màng LAMI mờ 1.27cm x 45m</t>
  </si>
  <si>
    <t>LAM-MAT-127-45</t>
  </si>
  <si>
    <t>VAN3MM-120-240</t>
  </si>
  <si>
    <t>Ván 3mm 1.2 x 2.4m</t>
  </si>
  <si>
    <t>Giá / m2/tấm</t>
  </si>
  <si>
    <t>Bìa lót giữa có keo 62 x 92cm</t>
  </si>
  <si>
    <t>BIAKEO-62-92</t>
  </si>
  <si>
    <t>Kinh doanh Album Cổ điển 30x30cm</t>
  </si>
  <si>
    <t>Khổ ruột</t>
  </si>
  <si>
    <t>Tờ in bìa chạy</t>
  </si>
  <si>
    <t>Tờ in ruột chạy</t>
  </si>
  <si>
    <t>Số trang ruột</t>
  </si>
  <si>
    <t>Số tờ đôi ruột trung bình</t>
  </si>
  <si>
    <t>Tính giá bìa, gồm công đoạn</t>
  </si>
  <si>
    <t>Số liệu đầu vô</t>
  </si>
  <si>
    <t>36 x 70 cm</t>
  </si>
  <si>
    <t>Giấy ảnh 180gsm (m2)</t>
  </si>
  <si>
    <t>Màng lami (m2)</t>
  </si>
  <si>
    <t>Thành tiền</t>
  </si>
  <si>
    <t>Đầu vô</t>
  </si>
  <si>
    <t>Diện tích</t>
  </si>
  <si>
    <t>Tiền</t>
  </si>
  <si>
    <t>Số lượng extend</t>
  </si>
  <si>
    <t>Kỹ thuật  (tờ 30x60)</t>
  </si>
  <si>
    <t>Tổng phí</t>
  </si>
  <si>
    <t xml:space="preserve">2 tấm gỗ </t>
  </si>
  <si>
    <t>Cắt được</t>
  </si>
  <si>
    <t>Phí tạo bìa</t>
  </si>
  <si>
    <t>Tính phí làm ruột + ghép thành cuốn gồm</t>
  </si>
  <si>
    <t>Giấy bồi giữa</t>
  </si>
  <si>
    <t>Phí làm ghép cuốn vô cuốn</t>
  </si>
  <si>
    <t>Cát được</t>
  </si>
  <si>
    <t>Giá thành /cuốn</t>
  </si>
  <si>
    <t>Giấy ảnh ruot 260gsm TQ (m2)</t>
  </si>
  <si>
    <t>VC</t>
  </si>
  <si>
    <t>Phí máy in + mực (m2)</t>
  </si>
  <si>
    <t>Phi máy in + mực  (m2)</t>
  </si>
  <si>
    <t>Phí máy cán + màng BOPP (số mặt)</t>
  </si>
  <si>
    <t>In ruột theo giá mực 60k/m2</t>
  </si>
  <si>
    <t>In ruột theo giá mực 35k/m2</t>
  </si>
  <si>
    <t>Tính thử 100 m2 in để mua hay không mua từ Lâm Thịnh</t>
  </si>
  <si>
    <t>Mực + in</t>
  </si>
  <si>
    <t>Giấy TQ</t>
  </si>
  <si>
    <t>Giá TB/m2</t>
  </si>
  <si>
    <t>Số m2</t>
  </si>
  <si>
    <t>Quy số lượng để kỹ thuật chỉnh màu tờ 30x60</t>
  </si>
  <si>
    <t>Tiền KT</t>
  </si>
  <si>
    <t>V. 2 (26/09/19)</t>
  </si>
  <si>
    <t>Tính thử 100m2</t>
  </si>
  <si>
    <t>8 màu Epson P800</t>
  </si>
  <si>
    <t>Giá bán cho Dũng Alan</t>
  </si>
  <si>
    <t>Chia lại thử cuốn 30 x30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</si>
</sst>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-* #,##0.00\ [$₫-42A]_-;\-* #,##0.00\ [$₫-42A]_-;_-* &quot;-&quot;??\ [$₫-42A]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17" fontId="0" fillId="0" borderId="0" xfId="0" quotePrefix="1" applyNumberFormat="1"/>
    <xf numFmtId="43" fontId="0" fillId="0" borderId="0" xfId="1" applyFont="1"/>
    <xf numFmtId="0" fontId="2" fillId="0" borderId="0" xfId="0" applyFont="1" applyAlignment="1">
      <alignment wrapText="1"/>
    </xf>
    <xf numFmtId="0" fontId="4" fillId="0" borderId="0" xfId="0" applyFont="1"/>
    <xf numFmtId="9" fontId="4" fillId="0" borderId="0" xfId="0" applyNumberFormat="1" applyFont="1"/>
    <xf numFmtId="10" fontId="4" fillId="0" borderId="0" xfId="0" applyNumberFormat="1" applyFont="1"/>
    <xf numFmtId="14" fontId="0" fillId="0" borderId="0" xfId="0" applyNumberFormat="1"/>
    <xf numFmtId="0" fontId="0" fillId="0" borderId="0" xfId="0" quotePrefix="1"/>
    <xf numFmtId="164" fontId="3" fillId="0" borderId="0" xfId="0" quotePrefix="1" applyNumberFormat="1" applyFont="1"/>
    <xf numFmtId="0" fontId="6" fillId="0" borderId="0" xfId="0" applyFont="1" applyFill="1"/>
    <xf numFmtId="164" fontId="6" fillId="0" borderId="1" xfId="2" applyNumberFormat="1" applyFont="1" applyFill="1" applyBorder="1"/>
    <xf numFmtId="164" fontId="6" fillId="0" borderId="0" xfId="2" applyNumberFormat="1" applyFont="1" applyFill="1" applyBorder="1"/>
    <xf numFmtId="0" fontId="0" fillId="0" borderId="0" xfId="0" applyAlignment="1">
      <alignment horizontal="right" wrapText="1"/>
    </xf>
    <xf numFmtId="164" fontId="0" fillId="0" borderId="0" xfId="0" applyNumberFormat="1" applyAlignment="1">
      <alignment wrapText="1"/>
    </xf>
    <xf numFmtId="164" fontId="2" fillId="0" borderId="0" xfId="0" applyNumberFormat="1" applyFont="1"/>
    <xf numFmtId="0" fontId="3" fillId="0" borderId="0" xfId="0" applyFont="1"/>
    <xf numFmtId="43" fontId="0" fillId="0" borderId="0" xfId="0" applyNumberFormat="1"/>
    <xf numFmtId="9" fontId="0" fillId="0" borderId="0" xfId="0" applyNumberFormat="1"/>
  </cellXfs>
  <cellStyles count="3">
    <cellStyle name="Bình thường" xfId="0" builtinId="0"/>
    <cellStyle name="Dấu phẩy" xfId="1" builtinId="3"/>
    <cellStyle name="Tố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275EC-62B4-49A3-B4A4-9A7805B05A61}">
  <sheetPr codeName="Trang_tính2"/>
  <dimension ref="A2:G21"/>
  <sheetViews>
    <sheetView workbookViewId="0">
      <selection activeCell="B34" sqref="B34"/>
    </sheetView>
  </sheetViews>
  <sheetFormatPr defaultRowHeight="15" x14ac:dyDescent="0.25"/>
  <cols>
    <col min="1" max="1" width="19.85546875" bestFit="1" customWidth="1"/>
    <col min="2" max="2" width="35.28515625" bestFit="1" customWidth="1"/>
    <col min="3" max="3" width="12.7109375" bestFit="1" customWidth="1"/>
    <col min="7" max="7" width="11.140625" bestFit="1" customWidth="1"/>
  </cols>
  <sheetData>
    <row r="2" spans="1:7" x14ac:dyDescent="0.25">
      <c r="B2" t="s">
        <v>143</v>
      </c>
    </row>
    <row r="4" spans="1:7" x14ac:dyDescent="0.25">
      <c r="A4" s="1" t="s">
        <v>116</v>
      </c>
      <c r="B4" s="1" t="s">
        <v>147</v>
      </c>
      <c r="C4" s="1" t="s">
        <v>157</v>
      </c>
    </row>
    <row r="5" spans="1:7" x14ac:dyDescent="0.25">
      <c r="A5" t="s">
        <v>149</v>
      </c>
      <c r="B5" t="s">
        <v>144</v>
      </c>
      <c r="C5" s="3">
        <v>37000</v>
      </c>
    </row>
    <row r="6" spans="1:7" x14ac:dyDescent="0.25">
      <c r="A6" t="s">
        <v>151</v>
      </c>
      <c r="B6" t="s">
        <v>145</v>
      </c>
      <c r="C6" s="3">
        <v>36000</v>
      </c>
    </row>
    <row r="7" spans="1:7" x14ac:dyDescent="0.25">
      <c r="A7" t="s">
        <v>150</v>
      </c>
      <c r="B7" t="s">
        <v>146</v>
      </c>
      <c r="C7" s="3">
        <v>45000</v>
      </c>
    </row>
    <row r="9" spans="1:7" x14ac:dyDescent="0.25">
      <c r="A9" t="s">
        <v>148</v>
      </c>
      <c r="B9" t="s">
        <v>152</v>
      </c>
      <c r="C9" s="3">
        <f>24*93000/(0.32*4000)</f>
        <v>1743.75</v>
      </c>
    </row>
    <row r="10" spans="1:7" x14ac:dyDescent="0.25">
      <c r="A10" t="s">
        <v>154</v>
      </c>
      <c r="B10" t="s">
        <v>153</v>
      </c>
      <c r="C10" s="3">
        <f>1400000/(1.27*45)</f>
        <v>24496.937882764654</v>
      </c>
    </row>
    <row r="11" spans="1:7" x14ac:dyDescent="0.25">
      <c r="C11" s="3"/>
    </row>
    <row r="12" spans="1:7" x14ac:dyDescent="0.25">
      <c r="A12" t="s">
        <v>155</v>
      </c>
      <c r="B12" t="s">
        <v>156</v>
      </c>
      <c r="C12" s="3">
        <v>80000</v>
      </c>
      <c r="E12" t="s">
        <v>179</v>
      </c>
      <c r="F12">
        <v>24</v>
      </c>
      <c r="G12" s="3">
        <f>C12/F12</f>
        <v>3333.3333333333335</v>
      </c>
    </row>
    <row r="13" spans="1:7" x14ac:dyDescent="0.25">
      <c r="A13" t="s">
        <v>159</v>
      </c>
      <c r="B13" t="s">
        <v>158</v>
      </c>
      <c r="C13" s="3">
        <v>15000</v>
      </c>
      <c r="E13" t="s">
        <v>184</v>
      </c>
      <c r="F13">
        <v>6</v>
      </c>
      <c r="G13" s="3">
        <f>C13/F13</f>
        <v>2500</v>
      </c>
    </row>
    <row r="14" spans="1:7" x14ac:dyDescent="0.25">
      <c r="C14" s="3"/>
    </row>
    <row r="15" spans="1:7" x14ac:dyDescent="0.25">
      <c r="C15" s="3"/>
    </row>
    <row r="16" spans="1:7" x14ac:dyDescent="0.25">
      <c r="C16" s="3"/>
    </row>
    <row r="17" spans="3:3" x14ac:dyDescent="0.25">
      <c r="C17" s="3"/>
    </row>
    <row r="18" spans="3:3" x14ac:dyDescent="0.25">
      <c r="C18" s="3"/>
    </row>
    <row r="19" spans="3:3" x14ac:dyDescent="0.25">
      <c r="C19" s="3"/>
    </row>
    <row r="20" spans="3:3" x14ac:dyDescent="0.25">
      <c r="C20" s="3"/>
    </row>
    <row r="21" spans="3:3" x14ac:dyDescent="0.25">
      <c r="C21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O62"/>
  <sheetViews>
    <sheetView topLeftCell="A16" workbookViewId="0">
      <selection activeCell="K29" sqref="K29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9" customWidth="1"/>
    <col min="9" max="9" width="15.85546875" bestFit="1" customWidth="1"/>
    <col min="10" max="12" width="14.85546875" bestFit="1" customWidth="1"/>
    <col min="13" max="13" width="13.28515625" bestFit="1" customWidth="1"/>
    <col min="14" max="15" width="14.85546875" bestFit="1" customWidth="1"/>
    <col min="16" max="16" width="13.28515625" bestFit="1" customWidth="1"/>
  </cols>
  <sheetData>
    <row r="1" spans="1:7" ht="30" x14ac:dyDescent="0.25">
      <c r="A1" s="6" t="s">
        <v>160</v>
      </c>
      <c r="B1" s="19" t="s">
        <v>191</v>
      </c>
      <c r="E1" t="s">
        <v>200</v>
      </c>
    </row>
    <row r="2" spans="1:7" x14ac:dyDescent="0.25">
      <c r="A2" s="2" t="s">
        <v>117</v>
      </c>
      <c r="B2" s="10">
        <v>43729</v>
      </c>
    </row>
    <row r="3" spans="1:7" x14ac:dyDescent="0.25">
      <c r="A3" s="2"/>
      <c r="B3" t="s">
        <v>52</v>
      </c>
      <c r="C3" t="s">
        <v>53</v>
      </c>
      <c r="D3" s="2" t="s">
        <v>173</v>
      </c>
    </row>
    <row r="4" spans="1: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7" x14ac:dyDescent="0.25">
      <c r="A7" s="2" t="s">
        <v>164</v>
      </c>
      <c r="B7" s="1">
        <v>30</v>
      </c>
      <c r="F7" s="2"/>
    </row>
    <row r="8" spans="1:7" x14ac:dyDescent="0.25">
      <c r="A8" s="2" t="s">
        <v>165</v>
      </c>
      <c r="B8" s="1">
        <v>15</v>
      </c>
      <c r="F8" s="2"/>
    </row>
    <row r="9" spans="1:7" x14ac:dyDescent="0.25">
      <c r="A9" s="2"/>
      <c r="B9" s="1"/>
      <c r="F9" s="2"/>
    </row>
    <row r="10" spans="1: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7" x14ac:dyDescent="0.25">
      <c r="A12" s="2" t="s">
        <v>176</v>
      </c>
      <c r="B12" s="5">
        <v>1</v>
      </c>
      <c r="C12" s="3">
        <f>PhiKyThuatAnh(B12)</f>
        <v>4545.4544999999998</v>
      </c>
      <c r="D12" s="2">
        <v>1</v>
      </c>
      <c r="E12" s="14">
        <f xml:space="preserve"> C12*D12</f>
        <v>4545.4544999999998</v>
      </c>
      <c r="G12" s="13"/>
    </row>
    <row r="13" spans="1:7" x14ac:dyDescent="0.25">
      <c r="A13" s="2" t="s">
        <v>189</v>
      </c>
      <c r="B13" s="5">
        <f>$D$6</f>
        <v>0.252</v>
      </c>
      <c r="C13" s="3">
        <f>PhiMayInBiaEpson(B13)</f>
        <v>16862.666700000002</v>
      </c>
      <c r="D13" s="2">
        <v>1</v>
      </c>
      <c r="E13" s="14">
        <f t="shared" ref="E13:E17" si="0" xml:space="preserve"> C13*D13</f>
        <v>16862.666700000002</v>
      </c>
    </row>
    <row r="14" spans="1: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</row>
    <row r="15" spans="1: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22833.333299999998</v>
      </c>
      <c r="D17" s="2">
        <v>1</v>
      </c>
      <c r="E17" s="14">
        <f t="shared" si="0"/>
        <v>22833.333299999998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66865.454499999993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68181.818199999994</v>
      </c>
      <c r="D25" s="2">
        <v>1</v>
      </c>
      <c r="E25" s="14">
        <f xml:space="preserve"> C25*D25</f>
        <v>68181.818199999994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PhiMayInPhunCanon12m(B26)</f>
        <v>246984.6666</v>
      </c>
      <c r="D26" s="2">
        <v>1</v>
      </c>
      <c r="E26" s="14">
        <f t="shared" ref="E26:E28" si="1" xml:space="preserve"> C26*D26</f>
        <v>246984.6666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2525252.5252999999</v>
      </c>
      <c r="K27" s="3">
        <f>PhiMayInPhunCanon12m(H27)</f>
        <v>8192172.2221999997</v>
      </c>
      <c r="L27" s="3">
        <f>36000*$H27</f>
        <v>3600000</v>
      </c>
      <c r="M27" s="18">
        <f>SUM(J27:L27)/H27</f>
        <v>143174.24747499998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32688.3923</v>
      </c>
      <c r="D28" s="2">
        <v>1</v>
      </c>
      <c r="E28" s="14">
        <f t="shared" si="1"/>
        <v>32688.3923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ref="E29:E30" si="2" xml:space="preserve"> C29*D29</f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2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565824.21050000004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632689.66500000004</v>
      </c>
      <c r="F34" s="3"/>
      <c r="G34" s="3"/>
      <c r="H34" s="3"/>
      <c r="I34" s="3"/>
    </row>
    <row r="35" spans="1:9" x14ac:dyDescent="0.25">
      <c r="A35" s="2"/>
      <c r="C35" s="3"/>
      <c r="D35" s="17"/>
      <c r="E35" s="3"/>
      <c r="F35" s="3"/>
      <c r="G35" s="3"/>
      <c r="H35" s="3"/>
      <c r="I35" s="3"/>
    </row>
    <row r="36" spans="1:9" x14ac:dyDescent="0.25">
      <c r="A36" s="2"/>
      <c r="E36" s="18"/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A129075C-403C-4143-ADFE-2BAD8D7634AE}">
      <formula1>OFFSET(GIA_GIAY_CO_BAN,1,0,,1)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9224-E0BB-44FC-A3F9-3E865F3F5365}">
  <sheetPr codeName="Trang_tính1"/>
  <dimension ref="A1:Q62"/>
  <sheetViews>
    <sheetView tabSelected="1" topLeftCell="A7" workbookViewId="0">
      <selection activeCell="Q14" sqref="Q14"/>
    </sheetView>
  </sheetViews>
  <sheetFormatPr defaultRowHeight="15" x14ac:dyDescent="0.25"/>
  <cols>
    <col min="1" max="1" width="26.28515625" customWidth="1"/>
    <col min="2" max="2" width="13.42578125" bestFit="1" customWidth="1"/>
    <col min="3" max="3" width="14.85546875" bestFit="1" customWidth="1"/>
    <col min="4" max="4" width="9.5703125" style="2" customWidth="1"/>
    <col min="5" max="5" width="15.85546875" customWidth="1"/>
    <col min="6" max="6" width="18.28515625" bestFit="1" customWidth="1"/>
    <col min="7" max="7" width="15" bestFit="1" customWidth="1"/>
    <col min="8" max="8" width="15.85546875" bestFit="1" customWidth="1"/>
    <col min="9" max="9" width="15.5703125" bestFit="1" customWidth="1"/>
    <col min="10" max="10" width="15" bestFit="1" customWidth="1"/>
    <col min="11" max="12" width="14.85546875" bestFit="1" customWidth="1"/>
    <col min="13" max="13" width="13.42578125" bestFit="1" customWidth="1"/>
    <col min="15" max="17" width="13.28515625" bestFit="1" customWidth="1"/>
  </cols>
  <sheetData>
    <row r="1" spans="1:17" ht="30" x14ac:dyDescent="0.25">
      <c r="A1" s="6" t="s">
        <v>160</v>
      </c>
      <c r="B1" s="19" t="s">
        <v>192</v>
      </c>
    </row>
    <row r="2" spans="1:17" x14ac:dyDescent="0.25">
      <c r="A2" s="2" t="s">
        <v>117</v>
      </c>
      <c r="B2" s="10">
        <v>43729</v>
      </c>
    </row>
    <row r="3" spans="1:17" x14ac:dyDescent="0.25">
      <c r="A3" s="2"/>
      <c r="B3" t="s">
        <v>52</v>
      </c>
      <c r="C3" t="s">
        <v>53</v>
      </c>
      <c r="D3" s="2" t="s">
        <v>173</v>
      </c>
    </row>
    <row r="4" spans="1:17" x14ac:dyDescent="0.25">
      <c r="A4" s="2" t="s">
        <v>161</v>
      </c>
      <c r="B4">
        <v>30</v>
      </c>
      <c r="C4">
        <v>30</v>
      </c>
      <c r="D4" s="2">
        <f>B4/100*C4/100</f>
        <v>0.09</v>
      </c>
    </row>
    <row r="5" spans="1:17" x14ac:dyDescent="0.25">
      <c r="A5" s="2" t="s">
        <v>163</v>
      </c>
      <c r="B5" s="1">
        <v>32</v>
      </c>
      <c r="C5">
        <v>62</v>
      </c>
      <c r="D5" s="2">
        <f>B5/100*C5/100</f>
        <v>0.19839999999999999</v>
      </c>
      <c r="F5" s="2"/>
    </row>
    <row r="6" spans="1:17" x14ac:dyDescent="0.25">
      <c r="A6" s="2" t="s">
        <v>162</v>
      </c>
      <c r="B6" s="1">
        <v>36</v>
      </c>
      <c r="C6">
        <v>70</v>
      </c>
      <c r="D6" s="2">
        <f>B6/100*C6/100</f>
        <v>0.252</v>
      </c>
      <c r="F6" s="2"/>
    </row>
    <row r="7" spans="1:17" x14ac:dyDescent="0.25">
      <c r="A7" s="2" t="s">
        <v>164</v>
      </c>
      <c r="B7" s="1">
        <v>30</v>
      </c>
      <c r="F7" s="2"/>
    </row>
    <row r="8" spans="1:17" x14ac:dyDescent="0.25">
      <c r="A8" s="2" t="s">
        <v>165</v>
      </c>
      <c r="B8" s="1">
        <v>15</v>
      </c>
      <c r="F8" s="2"/>
    </row>
    <row r="9" spans="1:17" x14ac:dyDescent="0.25">
      <c r="A9" s="2"/>
      <c r="B9" s="1"/>
      <c r="F9" s="2"/>
    </row>
    <row r="10" spans="1:17" x14ac:dyDescent="0.25">
      <c r="A10" s="2" t="s">
        <v>166</v>
      </c>
      <c r="B10" t="s">
        <v>167</v>
      </c>
      <c r="C10" t="s">
        <v>168</v>
      </c>
      <c r="D10" s="6"/>
      <c r="E10" s="1"/>
    </row>
    <row r="11" spans="1:17" ht="30" x14ac:dyDescent="0.25">
      <c r="A11" s="2"/>
      <c r="B11" t="s">
        <v>172</v>
      </c>
      <c r="C11" t="s">
        <v>174</v>
      </c>
      <c r="D11" s="2" t="s">
        <v>175</v>
      </c>
      <c r="E11" s="1" t="s">
        <v>171</v>
      </c>
    </row>
    <row r="12" spans="1:17" x14ac:dyDescent="0.25">
      <c r="A12" s="2" t="s">
        <v>176</v>
      </c>
      <c r="B12" s="5">
        <v>1</v>
      </c>
      <c r="C12" s="3">
        <f>PhiKyThuatAnh(B12)</f>
        <v>4545.4544999999998</v>
      </c>
      <c r="D12" s="2">
        <v>1</v>
      </c>
      <c r="E12" s="14">
        <f xml:space="preserve"> C12*D12</f>
        <v>4545.4544999999998</v>
      </c>
      <c r="G12" s="13"/>
      <c r="H12" s="3" t="s">
        <v>201</v>
      </c>
      <c r="I12" s="3" t="s">
        <v>202</v>
      </c>
      <c r="O12" t="s">
        <v>203</v>
      </c>
      <c r="Q12" t="s">
        <v>204</v>
      </c>
    </row>
    <row r="13" spans="1:17" ht="45" x14ac:dyDescent="0.25">
      <c r="A13" s="2" t="s">
        <v>189</v>
      </c>
      <c r="B13" s="5">
        <f>$D$6</f>
        <v>0.252</v>
      </c>
      <c r="C13" s="3">
        <f>PhiMayInBiaEpson(B13)</f>
        <v>16862.666700000002</v>
      </c>
      <c r="D13" s="2">
        <v>1</v>
      </c>
      <c r="E13" s="14">
        <f t="shared" ref="E13:E17" si="0" xml:space="preserve"> C13*D13</f>
        <v>16862.666700000002</v>
      </c>
      <c r="H13" s="3" t="s">
        <v>197</v>
      </c>
      <c r="I13" s="2" t="s">
        <v>198</v>
      </c>
      <c r="J13" s="2" t="s">
        <v>199</v>
      </c>
      <c r="K13" s="17" t="s">
        <v>194</v>
      </c>
      <c r="L13" s="2" t="s">
        <v>195</v>
      </c>
      <c r="M13" s="2" t="s">
        <v>196</v>
      </c>
      <c r="O13" s="2" t="s">
        <v>50</v>
      </c>
    </row>
    <row r="14" spans="1:17" x14ac:dyDescent="0.25">
      <c r="A14" s="2" t="s">
        <v>169</v>
      </c>
      <c r="B14" s="5">
        <f>$D$6</f>
        <v>0.252</v>
      </c>
      <c r="C14" s="3">
        <f>37000*B14</f>
        <v>9324</v>
      </c>
      <c r="D14" s="2">
        <v>1</v>
      </c>
      <c r="E14" s="14">
        <f t="shared" si="0"/>
        <v>9324</v>
      </c>
      <c r="H14" s="5">
        <v>100</v>
      </c>
      <c r="I14" s="20">
        <f>$H14/(0.3*0.6)</f>
        <v>555.55555555555554</v>
      </c>
      <c r="J14" s="3">
        <f>PhiKyThuatAnh($I14)</f>
        <v>2525252.5252999999</v>
      </c>
      <c r="K14" s="3">
        <f>PhiMayInBiaEpson(H14)</f>
        <v>6051616.6666999999</v>
      </c>
      <c r="L14" s="3">
        <f>36000*$H14</f>
        <v>3600000</v>
      </c>
      <c r="M14" s="18">
        <f>SUM(J14:L14)/H14</f>
        <v>121768.69192</v>
      </c>
      <c r="O14" s="21">
        <v>0.75</v>
      </c>
      <c r="P14" s="3">
        <f>M14*(1+O14)</f>
        <v>213095.21085999999</v>
      </c>
      <c r="Q14" s="3">
        <f>P14*(0.3*0.6*15)</f>
        <v>575357.06932199991</v>
      </c>
    </row>
    <row r="15" spans="1:17" ht="14.25" customHeight="1" x14ac:dyDescent="0.25">
      <c r="A15" s="2" t="s">
        <v>170</v>
      </c>
      <c r="B15" s="5">
        <f>$D$6</f>
        <v>0.252</v>
      </c>
      <c r="C15" s="3">
        <f>25000*B15</f>
        <v>6300</v>
      </c>
      <c r="D15" s="2">
        <v>1</v>
      </c>
      <c r="E15" s="14">
        <f t="shared" si="0"/>
        <v>6300</v>
      </c>
    </row>
    <row r="16" spans="1:17" ht="14.25" customHeight="1" x14ac:dyDescent="0.25">
      <c r="A16" s="2" t="s">
        <v>178</v>
      </c>
      <c r="B16" s="5">
        <f>$D$4</f>
        <v>0.09</v>
      </c>
      <c r="C16" s="3">
        <v>3500</v>
      </c>
      <c r="D16" s="2">
        <v>2</v>
      </c>
      <c r="E16" s="14">
        <f t="shared" si="0"/>
        <v>7000</v>
      </c>
    </row>
    <row r="17" spans="1:15" ht="14.25" customHeight="1" x14ac:dyDescent="0.25">
      <c r="A17" s="2" t="s">
        <v>180</v>
      </c>
      <c r="B17" s="5">
        <v>1</v>
      </c>
      <c r="C17" s="3">
        <f>PhiThoLamBiaCung(B17)</f>
        <v>22833.333299999998</v>
      </c>
      <c r="D17" s="2">
        <v>1</v>
      </c>
      <c r="E17" s="14">
        <f t="shared" si="0"/>
        <v>22833.333299999998</v>
      </c>
      <c r="F17" s="3"/>
    </row>
    <row r="18" spans="1:15" x14ac:dyDescent="0.25">
      <c r="A18" s="2"/>
      <c r="B18" s="5"/>
      <c r="D18" s="16" t="s">
        <v>177</v>
      </c>
      <c r="E18" s="15">
        <f>SUM(E12:E17)</f>
        <v>66865.454499999993</v>
      </c>
      <c r="F18" s="3"/>
    </row>
    <row r="19" spans="1:15" x14ac:dyDescent="0.25">
      <c r="A19" s="2"/>
      <c r="B19" s="5"/>
      <c r="K19" s="12"/>
    </row>
    <row r="20" spans="1:15" x14ac:dyDescent="0.25">
      <c r="A20" s="6"/>
      <c r="B20" s="5"/>
      <c r="O20" s="11"/>
    </row>
    <row r="21" spans="1:15" x14ac:dyDescent="0.25">
      <c r="A21" s="2"/>
      <c r="B21" s="5"/>
      <c r="C21" s="3"/>
      <c r="D21" s="17"/>
      <c r="E21" s="3"/>
      <c r="F21" s="3"/>
      <c r="G21" s="3"/>
      <c r="H21" s="3"/>
      <c r="I21" s="3"/>
      <c r="O21" s="3"/>
    </row>
    <row r="22" spans="1:15" x14ac:dyDescent="0.25">
      <c r="A22" s="2"/>
      <c r="B22" s="5"/>
      <c r="C22" s="3"/>
      <c r="D22" s="17"/>
      <c r="E22" s="3"/>
      <c r="F22" s="3"/>
      <c r="G22" s="3"/>
      <c r="H22" s="3"/>
      <c r="I22" s="3"/>
    </row>
    <row r="23" spans="1:15" ht="30" x14ac:dyDescent="0.25">
      <c r="A23" s="2" t="s">
        <v>181</v>
      </c>
      <c r="B23" t="s">
        <v>167</v>
      </c>
      <c r="C23" t="s">
        <v>168</v>
      </c>
      <c r="D23" s="6"/>
      <c r="E23" s="1"/>
      <c r="F23" s="3"/>
      <c r="G23" s="3"/>
      <c r="H23" s="3"/>
      <c r="I23" s="3"/>
    </row>
    <row r="24" spans="1:15" ht="30" x14ac:dyDescent="0.25">
      <c r="A24" s="2"/>
      <c r="B24" t="s">
        <v>172</v>
      </c>
      <c r="C24" t="s">
        <v>174</v>
      </c>
      <c r="D24" s="2" t="s">
        <v>175</v>
      </c>
      <c r="E24" s="1" t="s">
        <v>171</v>
      </c>
      <c r="F24" s="3"/>
      <c r="G24" s="3"/>
      <c r="H24" s="3"/>
      <c r="I24" s="3"/>
    </row>
    <row r="25" spans="1:15" x14ac:dyDescent="0.25">
      <c r="A25" s="2" t="s">
        <v>176</v>
      </c>
      <c r="B25">
        <f>$B$8</f>
        <v>15</v>
      </c>
      <c r="C25" s="3">
        <f>PhiKyThuatAnh(B25)</f>
        <v>68181.818199999994</v>
      </c>
      <c r="D25" s="2">
        <v>1</v>
      </c>
      <c r="E25" s="14">
        <f xml:space="preserve"> C25*D25</f>
        <v>68181.818199999994</v>
      </c>
      <c r="F25" s="3"/>
      <c r="G25" s="3"/>
      <c r="H25" s="3" t="s">
        <v>193</v>
      </c>
      <c r="I25" s="3"/>
    </row>
    <row r="26" spans="1:15" ht="45" x14ac:dyDescent="0.25">
      <c r="A26" s="2" t="s">
        <v>188</v>
      </c>
      <c r="B26" s="5">
        <f>$D$5*$B$8</f>
        <v>2.976</v>
      </c>
      <c r="C26" s="3">
        <f>PhiMayInPhunCanon12m_35k(B26)</f>
        <v>172584.6666</v>
      </c>
      <c r="D26" s="2">
        <v>1</v>
      </c>
      <c r="E26" s="14">
        <f t="shared" ref="E26:E30" si="1" xml:space="preserve"> C26*D26</f>
        <v>172584.6666</v>
      </c>
      <c r="F26" s="3"/>
      <c r="G26" s="3"/>
      <c r="H26" s="3" t="s">
        <v>197</v>
      </c>
      <c r="I26" s="2" t="s">
        <v>198</v>
      </c>
      <c r="J26" s="2" t="s">
        <v>199</v>
      </c>
      <c r="K26" s="17" t="s">
        <v>194</v>
      </c>
      <c r="L26" s="2" t="s">
        <v>195</v>
      </c>
      <c r="M26" s="2" t="s">
        <v>196</v>
      </c>
    </row>
    <row r="27" spans="1:15" ht="30" x14ac:dyDescent="0.25">
      <c r="A27" s="2" t="s">
        <v>186</v>
      </c>
      <c r="B27" s="5">
        <f>$D$5*$B$8</f>
        <v>2.976</v>
      </c>
      <c r="C27" s="3">
        <f>36000*B27</f>
        <v>107136</v>
      </c>
      <c r="D27" s="2">
        <v>1</v>
      </c>
      <c r="E27" s="14">
        <f t="shared" si="1"/>
        <v>107136</v>
      </c>
      <c r="F27" s="3"/>
      <c r="G27" s="3"/>
      <c r="H27" s="5">
        <v>100</v>
      </c>
      <c r="I27" s="20">
        <f>$H27/(0.3*0.6)</f>
        <v>555.55555555555554</v>
      </c>
      <c r="J27" s="3">
        <f>PhiKyThuatAnh($I27)</f>
        <v>2525252.5252999999</v>
      </c>
      <c r="K27" s="3">
        <f>PhiMayInPhunCanon12m_35k(H27)</f>
        <v>5692172.2221999997</v>
      </c>
      <c r="L27" s="3">
        <f>36000*$H27</f>
        <v>3600000</v>
      </c>
      <c r="M27" s="18">
        <f>SUM(J27:L27)/H27</f>
        <v>118174.24747499998</v>
      </c>
    </row>
    <row r="28" spans="1:15" ht="30" x14ac:dyDescent="0.25">
      <c r="A28" s="2" t="s">
        <v>190</v>
      </c>
      <c r="B28" s="5">
        <f>$B$8</f>
        <v>15</v>
      </c>
      <c r="C28" s="3">
        <f>PhiMayCanMangBOPP(B28,$B$5/100,$C$5/100)</f>
        <v>32688.3923</v>
      </c>
      <c r="D28" s="2">
        <v>1</v>
      </c>
      <c r="E28" s="14">
        <f t="shared" si="1"/>
        <v>32688.3923</v>
      </c>
      <c r="F28" s="3"/>
      <c r="G28" s="3"/>
      <c r="H28" s="3"/>
      <c r="I28" s="3"/>
    </row>
    <row r="29" spans="1:15" x14ac:dyDescent="0.25">
      <c r="A29" s="2" t="s">
        <v>182</v>
      </c>
      <c r="B29">
        <f>$B$8</f>
        <v>15</v>
      </c>
      <c r="C29" s="3">
        <f>B29*2500</f>
        <v>37500</v>
      </c>
      <c r="D29" s="2">
        <v>1</v>
      </c>
      <c r="E29" s="14">
        <f t="shared" si="1"/>
        <v>37500</v>
      </c>
      <c r="F29" s="3"/>
      <c r="G29" s="3"/>
      <c r="H29" s="3"/>
      <c r="I29" s="3"/>
    </row>
    <row r="30" spans="1:15" x14ac:dyDescent="0.25">
      <c r="A30" s="2" t="s">
        <v>183</v>
      </c>
      <c r="B30">
        <v>1</v>
      </c>
      <c r="C30" s="3">
        <f>PhiLamRuotCuonMP_CoDien(B30)</f>
        <v>73333.333400000003</v>
      </c>
      <c r="D30" s="2">
        <v>1</v>
      </c>
      <c r="E30" s="14">
        <f t="shared" si="1"/>
        <v>73333.333400000003</v>
      </c>
      <c r="F30" s="3"/>
      <c r="G30" s="3"/>
      <c r="H30" s="3"/>
      <c r="I30" s="3"/>
    </row>
    <row r="31" spans="1:15" x14ac:dyDescent="0.25">
      <c r="A31" s="2"/>
      <c r="C31" s="3"/>
      <c r="D31" s="16" t="s">
        <v>177</v>
      </c>
      <c r="E31" s="15">
        <f>SUM(E25:E30)</f>
        <v>491424.21049999999</v>
      </c>
      <c r="F31" s="3"/>
      <c r="G31" s="3"/>
      <c r="H31" s="3"/>
      <c r="I31" s="3"/>
    </row>
    <row r="32" spans="1:15" x14ac:dyDescent="0.25">
      <c r="A32" s="2"/>
      <c r="C32" s="3"/>
      <c r="D32" s="17"/>
      <c r="E32" s="3"/>
      <c r="F32" s="3"/>
      <c r="G32" s="3"/>
      <c r="H32" s="3"/>
      <c r="I32" s="3"/>
    </row>
    <row r="33" spans="1:9" x14ac:dyDescent="0.25">
      <c r="A33" s="2"/>
      <c r="C33" s="3"/>
      <c r="D33" s="17"/>
      <c r="E33" s="3"/>
      <c r="F33" s="3"/>
      <c r="G33" s="3"/>
      <c r="H33" s="3"/>
      <c r="I33" s="3"/>
    </row>
    <row r="34" spans="1:9" ht="45" x14ac:dyDescent="0.25">
      <c r="A34" s="2"/>
      <c r="C34" s="3"/>
      <c r="D34" s="17" t="s">
        <v>185</v>
      </c>
      <c r="E34" s="18">
        <f xml:space="preserve"> E18+E31</f>
        <v>558289.66500000004</v>
      </c>
      <c r="F34" s="3"/>
      <c r="G34" s="3"/>
      <c r="H34" s="3"/>
      <c r="I34" s="3"/>
    </row>
    <row r="35" spans="1:9" x14ac:dyDescent="0.25">
      <c r="A35" s="2"/>
      <c r="C35" s="3"/>
      <c r="D35" s="17" t="s">
        <v>187</v>
      </c>
      <c r="E35" s="3">
        <v>0</v>
      </c>
      <c r="F35" s="3"/>
      <c r="G35" s="3"/>
      <c r="H35" s="3"/>
      <c r="I35" s="3"/>
    </row>
    <row r="36" spans="1:9" x14ac:dyDescent="0.25">
      <c r="A36" s="2"/>
      <c r="E36" s="18">
        <f>E34+E35</f>
        <v>558289.66500000004</v>
      </c>
    </row>
    <row r="37" spans="1:9" x14ac:dyDescent="0.25">
      <c r="A37" s="2"/>
    </row>
    <row r="38" spans="1:9" x14ac:dyDescent="0.25">
      <c r="A38" s="2"/>
    </row>
    <row r="39" spans="1:9" x14ac:dyDescent="0.25">
      <c r="A39" s="2"/>
    </row>
    <row r="40" spans="1:9" x14ac:dyDescent="0.25">
      <c r="A40" s="2"/>
    </row>
    <row r="41" spans="1:9" x14ac:dyDescent="0.25">
      <c r="A41" s="2"/>
    </row>
    <row r="42" spans="1:9" x14ac:dyDescent="0.25">
      <c r="A42" s="2"/>
    </row>
    <row r="43" spans="1:9" x14ac:dyDescent="0.25">
      <c r="A43" s="2"/>
    </row>
    <row r="44" spans="1:9" x14ac:dyDescent="0.25">
      <c r="A44" s="2"/>
    </row>
    <row r="45" spans="1:9" x14ac:dyDescent="0.25">
      <c r="A45" s="2"/>
    </row>
    <row r="46" spans="1:9" x14ac:dyDescent="0.25">
      <c r="A46" s="2"/>
    </row>
    <row r="47" spans="1:9" x14ac:dyDescent="0.25">
      <c r="A47" s="2"/>
    </row>
    <row r="48" spans="1:9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30" xr:uid="{8E76F45B-7D17-42E0-B09E-51C355781ADE}">
      <formula1>OFFSET(GIA_GIAY_CO_BAN,1,0,,1)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5351-B9AF-4628-B5FD-4ACFB6193020}">
  <sheetPr codeName="Trang_tính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I24" sqref="I2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0</v>
      </c>
    </row>
    <row r="2" spans="1:18" x14ac:dyDescent="0.25">
      <c r="A2" s="1" t="s">
        <v>1</v>
      </c>
      <c r="B2" s="4"/>
      <c r="E2" t="s">
        <v>2</v>
      </c>
      <c r="H2" t="s">
        <v>3</v>
      </c>
      <c r="O2" t="s">
        <v>139</v>
      </c>
    </row>
    <row r="3" spans="1:18" x14ac:dyDescent="0.25">
      <c r="A3" t="s">
        <v>4</v>
      </c>
      <c r="B3" t="s">
        <v>5</v>
      </c>
      <c r="C3" t="s">
        <v>6</v>
      </c>
      <c r="D3" t="s">
        <v>7</v>
      </c>
      <c r="E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  <c r="O3" t="s">
        <v>9</v>
      </c>
      <c r="P3" t="s">
        <v>140</v>
      </c>
      <c r="Q3" t="s">
        <v>141</v>
      </c>
      <c r="R3" t="s">
        <v>142</v>
      </c>
    </row>
    <row r="4" spans="1:18" x14ac:dyDescent="0.25">
      <c r="A4" t="s">
        <v>15</v>
      </c>
      <c r="B4" t="s">
        <v>16</v>
      </c>
      <c r="C4" s="3">
        <v>450000</v>
      </c>
      <c r="D4" s="5">
        <f>5/60</f>
        <v>8.3333333333333329E-2</v>
      </c>
      <c r="G4" t="str">
        <f>I4&amp;"-"&amp;H4</f>
        <v>MI01-30x21</v>
      </c>
      <c r="H4" t="s">
        <v>17</v>
      </c>
      <c r="I4" t="s">
        <v>15</v>
      </c>
      <c r="J4" t="s">
        <v>18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19</v>
      </c>
      <c r="B5" t="s">
        <v>20</v>
      </c>
      <c r="C5" s="3">
        <v>500000</v>
      </c>
      <c r="D5" s="5">
        <f>5/60</f>
        <v>8.3333333333333329E-2</v>
      </c>
      <c r="G5" t="str">
        <f t="shared" ref="G5:G11" si="0">I5&amp;"-"&amp;H5</f>
        <v>MI01-32x23</v>
      </c>
      <c r="H5" t="s">
        <v>21</v>
      </c>
      <c r="I5" t="s">
        <v>15</v>
      </c>
      <c r="J5" t="s">
        <v>22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23</v>
      </c>
      <c r="B6" t="s">
        <v>24</v>
      </c>
      <c r="C6" s="3">
        <v>600000</v>
      </c>
      <c r="D6" s="5">
        <f>5/60</f>
        <v>8.3333333333333329E-2</v>
      </c>
      <c r="G6" t="str">
        <f t="shared" si="0"/>
        <v>MI01-32x26</v>
      </c>
      <c r="H6" t="s">
        <v>25</v>
      </c>
      <c r="I6" t="s">
        <v>15</v>
      </c>
      <c r="J6" t="s">
        <v>26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27</v>
      </c>
      <c r="I7" t="s">
        <v>15</v>
      </c>
      <c r="J7" t="s">
        <v>28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29</v>
      </c>
      <c r="I8" t="s">
        <v>15</v>
      </c>
      <c r="J8" t="s">
        <v>30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31</v>
      </c>
      <c r="I9" t="s">
        <v>15</v>
      </c>
      <c r="J9" t="s">
        <v>32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33</v>
      </c>
      <c r="I10" t="s">
        <v>15</v>
      </c>
      <c r="J10" t="s">
        <v>34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35</v>
      </c>
      <c r="I11" t="s">
        <v>15</v>
      </c>
      <c r="J11" t="s">
        <v>36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17</v>
      </c>
      <c r="I12" t="s">
        <v>19</v>
      </c>
      <c r="J12" t="s">
        <v>18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21</v>
      </c>
      <c r="I13" t="s">
        <v>19</v>
      </c>
      <c r="J13" t="s">
        <v>22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25</v>
      </c>
      <c r="I14" t="s">
        <v>19</v>
      </c>
      <c r="J14" t="s">
        <v>26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27</v>
      </c>
      <c r="I15" t="s">
        <v>19</v>
      </c>
      <c r="J15" t="s">
        <v>28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29</v>
      </c>
      <c r="I16" t="s">
        <v>19</v>
      </c>
      <c r="J16" t="s">
        <v>30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31</v>
      </c>
      <c r="I17" t="s">
        <v>19</v>
      </c>
      <c r="J17" t="s">
        <v>32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33</v>
      </c>
      <c r="I18" t="s">
        <v>19</v>
      </c>
      <c r="J18" t="s">
        <v>34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35</v>
      </c>
      <c r="I19" t="s">
        <v>19</v>
      </c>
      <c r="J19" t="s">
        <v>36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J34" sqref="J3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37</v>
      </c>
      <c r="F1" s="1" t="s">
        <v>39</v>
      </c>
      <c r="K1" s="1" t="s">
        <v>40</v>
      </c>
      <c r="P1" s="1" t="s">
        <v>54</v>
      </c>
    </row>
    <row r="2" spans="1:18" x14ac:dyDescent="0.25">
      <c r="A2" t="s">
        <v>4</v>
      </c>
      <c r="B2" t="s">
        <v>12</v>
      </c>
      <c r="C2" t="s">
        <v>38</v>
      </c>
      <c r="F2" t="s">
        <v>4</v>
      </c>
      <c r="G2" t="s">
        <v>12</v>
      </c>
      <c r="H2" t="s">
        <v>41</v>
      </c>
      <c r="K2" t="s">
        <v>4</v>
      </c>
      <c r="L2" t="s">
        <v>12</v>
      </c>
      <c r="M2" t="s">
        <v>41</v>
      </c>
      <c r="P2" t="s">
        <v>4</v>
      </c>
      <c r="Q2" t="s">
        <v>12</v>
      </c>
      <c r="R2" t="s">
        <v>55</v>
      </c>
    </row>
    <row r="3" spans="1:18" x14ac:dyDescent="0.25">
      <c r="A3" t="s">
        <v>48</v>
      </c>
      <c r="B3" t="s">
        <v>49</v>
      </c>
      <c r="C3">
        <v>1200</v>
      </c>
      <c r="F3" t="s">
        <v>46</v>
      </c>
      <c r="G3" t="s">
        <v>47</v>
      </c>
      <c r="H3">
        <v>850</v>
      </c>
      <c r="K3" t="s">
        <v>42</v>
      </c>
      <c r="L3" t="s">
        <v>43</v>
      </c>
      <c r="M3">
        <f>3400/10000</f>
        <v>0.34</v>
      </c>
      <c r="P3" t="s">
        <v>86</v>
      </c>
      <c r="Q3" t="s">
        <v>109</v>
      </c>
      <c r="R3">
        <v>345</v>
      </c>
    </row>
    <row r="4" spans="1:18" x14ac:dyDescent="0.25">
      <c r="K4" t="s">
        <v>44</v>
      </c>
      <c r="L4" t="s">
        <v>45</v>
      </c>
      <c r="M4">
        <f>5500/10000</f>
        <v>0.55000000000000004</v>
      </c>
      <c r="P4" t="s">
        <v>84</v>
      </c>
      <c r="Q4" t="s">
        <v>90</v>
      </c>
      <c r="R4">
        <v>324</v>
      </c>
    </row>
    <row r="5" spans="1:18" x14ac:dyDescent="0.25">
      <c r="P5" t="s">
        <v>85</v>
      </c>
      <c r="Q5" t="s">
        <v>92</v>
      </c>
      <c r="R5">
        <v>488</v>
      </c>
    </row>
    <row r="6" spans="1:18" x14ac:dyDescent="0.25">
      <c r="P6" t="s">
        <v>87</v>
      </c>
      <c r="Q6" t="s">
        <v>93</v>
      </c>
      <c r="R6">
        <v>355</v>
      </c>
    </row>
    <row r="7" spans="1:18" x14ac:dyDescent="0.25">
      <c r="P7" t="s">
        <v>88</v>
      </c>
      <c r="Q7" t="s">
        <v>91</v>
      </c>
      <c r="R7">
        <v>500</v>
      </c>
    </row>
    <row r="8" spans="1:18" x14ac:dyDescent="0.25">
      <c r="P8" t="s">
        <v>89</v>
      </c>
      <c r="Q8" t="s">
        <v>94</v>
      </c>
      <c r="R8">
        <v>515</v>
      </c>
    </row>
    <row r="9" spans="1:18" x14ac:dyDescent="0.25">
      <c r="P9" t="s">
        <v>63</v>
      </c>
      <c r="Q9" t="s">
        <v>56</v>
      </c>
      <c r="R9">
        <v>628</v>
      </c>
    </row>
    <row r="10" spans="1:18" x14ac:dyDescent="0.25">
      <c r="P10" t="s">
        <v>110</v>
      </c>
      <c r="Q10" t="s">
        <v>111</v>
      </c>
      <c r="R10">
        <v>700</v>
      </c>
    </row>
    <row r="11" spans="1:18" x14ac:dyDescent="0.25">
      <c r="P11" t="s">
        <v>64</v>
      </c>
      <c r="Q11" t="s">
        <v>57</v>
      </c>
      <c r="R11">
        <v>860</v>
      </c>
    </row>
    <row r="12" spans="1:18" x14ac:dyDescent="0.25">
      <c r="P12" t="s">
        <v>65</v>
      </c>
      <c r="Q12" t="s">
        <v>58</v>
      </c>
      <c r="R12">
        <v>1056</v>
      </c>
    </row>
    <row r="13" spans="1:18" x14ac:dyDescent="0.25">
      <c r="P13" t="s">
        <v>112</v>
      </c>
      <c r="Q13" t="s">
        <v>113</v>
      </c>
      <c r="R13">
        <v>785</v>
      </c>
    </row>
    <row r="14" spans="1:18" x14ac:dyDescent="0.25">
      <c r="P14" t="s">
        <v>118</v>
      </c>
      <c r="Q14" t="s">
        <v>121</v>
      </c>
      <c r="R14">
        <v>1600</v>
      </c>
    </row>
    <row r="15" spans="1:18" x14ac:dyDescent="0.25">
      <c r="P15" t="s">
        <v>114</v>
      </c>
      <c r="Q15" t="s">
        <v>115</v>
      </c>
      <c r="R15">
        <v>1030</v>
      </c>
    </row>
    <row r="16" spans="1:18" x14ac:dyDescent="0.25">
      <c r="P16" t="s">
        <v>126</v>
      </c>
      <c r="Q16" t="s">
        <v>127</v>
      </c>
      <c r="R16">
        <v>1060</v>
      </c>
    </row>
    <row r="17" spans="16:18" x14ac:dyDescent="0.25">
      <c r="P17" t="s">
        <v>66</v>
      </c>
      <c r="Q17" t="s">
        <v>59</v>
      </c>
      <c r="R17">
        <v>1272</v>
      </c>
    </row>
    <row r="18" spans="16:18" x14ac:dyDescent="0.25">
      <c r="P18" t="s">
        <v>119</v>
      </c>
      <c r="Q18" t="s">
        <v>120</v>
      </c>
      <c r="R18">
        <v>2060</v>
      </c>
    </row>
    <row r="19" spans="16:18" x14ac:dyDescent="0.25">
      <c r="P19" t="s">
        <v>67</v>
      </c>
      <c r="Q19" t="s">
        <v>60</v>
      </c>
      <c r="R19">
        <v>1200</v>
      </c>
    </row>
    <row r="20" spans="16:18" x14ac:dyDescent="0.25">
      <c r="P20" t="s">
        <v>68</v>
      </c>
      <c r="Q20" t="s">
        <v>61</v>
      </c>
      <c r="R20">
        <v>1456</v>
      </c>
    </row>
    <row r="21" spans="16:18" x14ac:dyDescent="0.25">
      <c r="P21" t="s">
        <v>69</v>
      </c>
      <c r="Q21" t="s">
        <v>62</v>
      </c>
      <c r="R21">
        <v>1704</v>
      </c>
    </row>
    <row r="22" spans="16:18" x14ac:dyDescent="0.25">
      <c r="P22" t="s">
        <v>74</v>
      </c>
      <c r="Q22" t="s">
        <v>95</v>
      </c>
      <c r="R22">
        <v>488</v>
      </c>
    </row>
    <row r="23" spans="16:18" x14ac:dyDescent="0.25">
      <c r="P23" t="s">
        <v>75</v>
      </c>
      <c r="Q23" t="s">
        <v>96</v>
      </c>
      <c r="R23">
        <v>584</v>
      </c>
    </row>
    <row r="24" spans="16:18" x14ac:dyDescent="0.25">
      <c r="P24" t="s">
        <v>130</v>
      </c>
      <c r="Q24" t="s">
        <v>131</v>
      </c>
      <c r="R24">
        <v>2920</v>
      </c>
    </row>
    <row r="25" spans="16:18" x14ac:dyDescent="0.25">
      <c r="P25" t="s">
        <v>72</v>
      </c>
      <c r="Q25" t="s">
        <v>97</v>
      </c>
      <c r="R25">
        <v>700</v>
      </c>
    </row>
    <row r="26" spans="16:18" x14ac:dyDescent="0.25">
      <c r="P26" t="s">
        <v>132</v>
      </c>
      <c r="Q26" t="s">
        <v>97</v>
      </c>
      <c r="R26">
        <v>3500</v>
      </c>
    </row>
    <row r="27" spans="16:18" x14ac:dyDescent="0.25">
      <c r="P27" t="s">
        <v>71</v>
      </c>
      <c r="Q27" t="s">
        <v>98</v>
      </c>
      <c r="R27">
        <v>900</v>
      </c>
    </row>
    <row r="28" spans="16:18" x14ac:dyDescent="0.25">
      <c r="P28" t="s">
        <v>70</v>
      </c>
      <c r="Q28" t="s">
        <v>99</v>
      </c>
      <c r="R28">
        <v>740</v>
      </c>
    </row>
    <row r="29" spans="16:18" x14ac:dyDescent="0.25">
      <c r="P29" t="s">
        <v>73</v>
      </c>
      <c r="Q29" t="s">
        <v>100</v>
      </c>
      <c r="R29">
        <v>1232</v>
      </c>
    </row>
    <row r="30" spans="16:18" x14ac:dyDescent="0.25">
      <c r="P30" t="s">
        <v>77</v>
      </c>
      <c r="Q30" t="s">
        <v>101</v>
      </c>
    </row>
    <row r="31" spans="16:18" x14ac:dyDescent="0.25">
      <c r="P31" t="s">
        <v>76</v>
      </c>
      <c r="Q31" t="s">
        <v>103</v>
      </c>
    </row>
    <row r="32" spans="16:18" x14ac:dyDescent="0.25">
      <c r="P32" t="s">
        <v>78</v>
      </c>
      <c r="Q32" t="s">
        <v>102</v>
      </c>
    </row>
    <row r="33" spans="16:18" x14ac:dyDescent="0.25">
      <c r="P33" t="s">
        <v>79</v>
      </c>
      <c r="Q33" t="s">
        <v>104</v>
      </c>
    </row>
    <row r="34" spans="16:18" x14ac:dyDescent="0.25">
      <c r="P34" t="s">
        <v>83</v>
      </c>
      <c r="Q34" t="s">
        <v>105</v>
      </c>
    </row>
    <row r="35" spans="16:18" x14ac:dyDescent="0.25">
      <c r="P35" t="s">
        <v>82</v>
      </c>
      <c r="Q35" t="s">
        <v>106</v>
      </c>
    </row>
    <row r="36" spans="16:18" x14ac:dyDescent="0.25">
      <c r="P36" t="s">
        <v>81</v>
      </c>
      <c r="Q36" t="s">
        <v>107</v>
      </c>
    </row>
    <row r="37" spans="16:18" x14ac:dyDescent="0.25">
      <c r="P37" t="s">
        <v>80</v>
      </c>
      <c r="Q37" t="s">
        <v>108</v>
      </c>
    </row>
    <row r="38" spans="16:18" x14ac:dyDescent="0.25">
      <c r="P38" t="s">
        <v>122</v>
      </c>
      <c r="Q38" t="s">
        <v>123</v>
      </c>
      <c r="R38">
        <v>4200</v>
      </c>
    </row>
    <row r="39" spans="16:18" x14ac:dyDescent="0.25">
      <c r="P39" t="s">
        <v>124</v>
      </c>
      <c r="Q39" t="s">
        <v>125</v>
      </c>
      <c r="R39">
        <v>3500</v>
      </c>
    </row>
    <row r="40" spans="16:18" x14ac:dyDescent="0.25">
      <c r="P40" t="s">
        <v>128</v>
      </c>
      <c r="Q40" t="s">
        <v>129</v>
      </c>
      <c r="R40">
        <v>1250</v>
      </c>
    </row>
    <row r="41" spans="16:18" x14ac:dyDescent="0.25">
      <c r="P41" t="s">
        <v>133</v>
      </c>
      <c r="Q41" t="s">
        <v>134</v>
      </c>
      <c r="R41">
        <v>1650</v>
      </c>
    </row>
    <row r="42" spans="16:18" x14ac:dyDescent="0.25">
      <c r="P42" t="s">
        <v>135</v>
      </c>
      <c r="Q42" t="s">
        <v>136</v>
      </c>
      <c r="R42">
        <v>810</v>
      </c>
    </row>
    <row r="43" spans="16:18" x14ac:dyDescent="0.25">
      <c r="P43" t="s">
        <v>137</v>
      </c>
      <c r="Q43" t="s">
        <v>138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7" t="s">
        <v>50</v>
      </c>
      <c r="C2" s="7" t="s">
        <v>51</v>
      </c>
    </row>
    <row r="3" spans="2:3" x14ac:dyDescent="0.25">
      <c r="B3" s="8">
        <v>0.15</v>
      </c>
      <c r="C3" s="8">
        <v>0.13</v>
      </c>
    </row>
    <row r="4" spans="2:3" x14ac:dyDescent="0.25">
      <c r="B4" s="8">
        <v>0.2</v>
      </c>
      <c r="C4" s="9">
        <v>0.16700000000000001</v>
      </c>
    </row>
    <row r="5" spans="2:3" x14ac:dyDescent="0.25">
      <c r="B5" s="8">
        <v>0.25</v>
      </c>
      <c r="C5" s="8">
        <v>0.2</v>
      </c>
    </row>
    <row r="6" spans="2:3" x14ac:dyDescent="0.25">
      <c r="B6" s="8">
        <v>0.3</v>
      </c>
      <c r="C6" s="8">
        <v>0.23</v>
      </c>
    </row>
    <row r="7" spans="2:3" x14ac:dyDescent="0.25">
      <c r="B7" s="9">
        <v>0.33300000000000002</v>
      </c>
      <c r="C7" s="8">
        <v>0.25</v>
      </c>
    </row>
    <row r="8" spans="2:3" x14ac:dyDescent="0.25">
      <c r="B8" s="8">
        <v>0.4</v>
      </c>
      <c r="C8" s="9">
        <v>0.28599999999999998</v>
      </c>
    </row>
    <row r="9" spans="2:3" x14ac:dyDescent="0.25">
      <c r="B9" s="8">
        <v>0.43</v>
      </c>
      <c r="C9" s="8">
        <v>0.3</v>
      </c>
    </row>
    <row r="10" spans="2:3" x14ac:dyDescent="0.25">
      <c r="B10" s="8">
        <v>0.5</v>
      </c>
      <c r="C10" s="8">
        <v>0.33</v>
      </c>
    </row>
    <row r="11" spans="2:3" x14ac:dyDescent="0.25">
      <c r="B11" s="8">
        <v>0.75</v>
      </c>
      <c r="C11" s="9">
        <v>0.42899999999999999</v>
      </c>
    </row>
    <row r="12" spans="2:3" x14ac:dyDescent="0.25">
      <c r="B12" s="8">
        <v>1</v>
      </c>
      <c r="C12" s="8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7</vt:i4>
      </vt:variant>
      <vt:variant>
        <vt:lpstr>Phạm vi Có tên</vt:lpstr>
      </vt:variant>
      <vt:variant>
        <vt:i4>8</vt:i4>
      </vt:variant>
    </vt:vector>
  </HeadingPairs>
  <TitlesOfParts>
    <vt:vector size="15" baseType="lpstr">
      <vt:lpstr>NguyenLieu</vt:lpstr>
      <vt:lpstr>KD-ABCD-30x30</vt:lpstr>
      <vt:lpstr>KD-ABCD-30x30_r1</vt:lpstr>
      <vt:lpstr>Trang_tính2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2019-09-28T04:45:16Z</dcterms:modified>
</cp:coreProperties>
</file>