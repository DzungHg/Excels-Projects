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6FE37B0C-2039-411B-A6C0-8B6B367E7446}" xr6:coauthVersionLast="44" xr6:coauthVersionMax="44" xr10:uidLastSave="{00000000-0000-0000-0000-000000000000}"/>
  <bookViews>
    <workbookView xWindow="0" yWindow="0" windowWidth="28800" windowHeight="15750" activeTab="2" xr2:uid="{00000000-000D-0000-FFFF-FFFF00000000}"/>
  </bookViews>
  <sheets>
    <sheet name="NguyenLieu" sheetId="58" r:id="rId1"/>
    <sheet name="KD-ABCD-30x30" sheetId="38" r:id="rId2"/>
    <sheet name="KD-ABCD-30x30_r1" sheetId="59" r:id="rId3"/>
    <sheet name="Trang_tính2" sheetId="60" r:id="rId4"/>
    <sheet name="Base-MayIn" sheetId="10" r:id="rId5"/>
    <sheet name="NguyenVatLieu" sheetId="13" r:id="rId6"/>
    <sheet name="Base-Margin" sheetId="15" r:id="rId7"/>
  </sheets>
  <functionGroups builtInGroupCount="19"/>
  <definedNames>
    <definedName name="atools_list_filter_1" localSheetId="1" hidden="1">'KD-ABCD-30x30'!$B$15:$E$15</definedName>
    <definedName name="atools_list_filter_1_colinvisibles_ext" localSheetId="1" hidden="1">";;"</definedName>
    <definedName name="atools_list_filter_1_colsrcidxs_ext" localSheetId="1" hidden="1">"1;2;3"</definedName>
    <definedName name="atools_list_filter_1_colwidths_ext" localSheetId="1" hidden="1">"88;96;84"</definedName>
    <definedName name="atools_list_filter_1_onrangeaddr" localSheetId="1" hidden="1">"='KD-ABCD-30x30'!$B$14:$D$14"</definedName>
    <definedName name="atools_list_filter_1_pos_ext" localSheetId="1" hidden="1">"0;1;2"</definedName>
    <definedName name="atools_list_filter_1_proper" localSheetId="1" hidden="1">"1|1|0|0|0|||305|309||0|,||1||0||0|18|185|2.0|1|1|1|0"</definedName>
    <definedName name="atools_list_filter_1_source" localSheetId="1" hidden="1">GIA_GIAY_CO_BAN</definedName>
    <definedName name="atools_list_filter_1_sourceaddr" localSheetId="1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7" i="59" l="1"/>
  <c r="I27" i="59"/>
  <c r="M27" i="38"/>
  <c r="I27" i="38"/>
  <c r="L27" i="38"/>
  <c r="B29" i="59"/>
  <c r="C29" i="59" s="1"/>
  <c r="E29" i="59" s="1"/>
  <c r="B28" i="59"/>
  <c r="B25" i="59"/>
  <c r="E16" i="59"/>
  <c r="B16" i="59"/>
  <c r="B13" i="59"/>
  <c r="D6" i="59"/>
  <c r="B14" i="59" s="1"/>
  <c r="C14" i="59" s="1"/>
  <c r="E14" i="59" s="1"/>
  <c r="D5" i="59"/>
  <c r="B26" i="59" s="1"/>
  <c r="D4" i="59"/>
  <c r="K27" i="59"/>
  <c r="J27" i="59"/>
  <c r="J27" i="38"/>
  <c r="K27" i="38"/>
  <c r="C26" i="59"/>
  <c r="C25" i="59"/>
  <c r="C17" i="59"/>
  <c r="C12" i="59"/>
  <c r="C30" i="59"/>
  <c r="C13" i="59"/>
  <c r="C28" i="59"/>
  <c r="M27" i="59" l="1"/>
  <c r="E28" i="59"/>
  <c r="E13" i="59"/>
  <c r="E30" i="59"/>
  <c r="E12" i="59"/>
  <c r="E26" i="59"/>
  <c r="E17" i="59"/>
  <c r="E25" i="59"/>
  <c r="B27" i="59"/>
  <c r="C27" i="59" s="1"/>
  <c r="E27" i="59" s="1"/>
  <c r="B15" i="59"/>
  <c r="C15" i="59" s="1"/>
  <c r="E15" i="59" s="1"/>
  <c r="C27" i="38"/>
  <c r="C13" i="38"/>
  <c r="C28" i="38"/>
  <c r="C26" i="38"/>
  <c r="E18" i="59" l="1"/>
  <c r="E31" i="59"/>
  <c r="B28" i="38"/>
  <c r="C29" i="38"/>
  <c r="E29" i="38" s="1"/>
  <c r="B25" i="38"/>
  <c r="B29" i="38"/>
  <c r="G13" i="58"/>
  <c r="B27" i="38"/>
  <c r="B26" i="38"/>
  <c r="D5" i="38"/>
  <c r="G12" i="58"/>
  <c r="B16" i="38"/>
  <c r="D4" i="38"/>
  <c r="C15" i="38"/>
  <c r="E15" i="38" s="1"/>
  <c r="B15" i="38"/>
  <c r="E16" i="38"/>
  <c r="C14" i="38"/>
  <c r="B14" i="38"/>
  <c r="C25" i="38"/>
  <c r="C17" i="38"/>
  <c r="C30" i="38"/>
  <c r="E34" i="59" l="1"/>
  <c r="E36" i="59" s="1"/>
  <c r="E30" i="38"/>
  <c r="E28" i="38"/>
  <c r="E27" i="38"/>
  <c r="E17" i="38"/>
  <c r="E26" i="38"/>
  <c r="E25" i="38"/>
  <c r="E31" i="38" l="1"/>
  <c r="E14" i="38"/>
  <c r="E13" i="38"/>
  <c r="C12" i="38"/>
  <c r="E12" i="38" l="1"/>
  <c r="B13" i="38"/>
  <c r="D6" i="38"/>
  <c r="E18" i="38" l="1"/>
  <c r="E34" i="38" s="1"/>
  <c r="E36" i="38" s="1"/>
  <c r="C10" i="58"/>
  <c r="C9" i="58"/>
  <c r="O7" i="10" l="1"/>
  <c r="O6" i="10"/>
  <c r="O5" i="10"/>
  <c r="O4" i="10"/>
  <c r="M3" i="13" l="1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<sst xmlns="http://schemas.openxmlformats.org/spreadsheetml/2006/main" count="298" uniqueCount="200">
  <si>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</si>
  <si>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</si>
  <si>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</si>
  <si>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</si>
  <si>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</si>
  <si>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</si>
  <si>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</si>
  <si>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</si>
  <si>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</si>
  <si>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</si>
  <si>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</si>
  <si>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</si>
  <si>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</si>
  <si>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</si>
  <si>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</si>
  <si>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</si>
  <si>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</si>
  <si>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</si>
  <si>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</si>
  <si>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</si>
  <si>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</si>
  <si>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</si>
  <si>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</si>
  <si>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</si>
  <si>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</si>
  <si>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</si>
  <si>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</si>
  <si>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</si>
  <si>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</si>
  <si>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</si>
  <si>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</si>
  <si>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</si>
  <si>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</si>
  <si>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</si>
  <si>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</si>
  <si>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</si>
  <si>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</si>
  <si>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</si>
  <si>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</si>
  <si>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</si>
  <si>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</si>
  <si>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</si>
  <si>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</si>
  <si>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</si>
  <si>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</si>
  <si>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</si>
  <si>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</si>
  <si>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</si>
  <si>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</si>
  <si>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</si>
  <si>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</si>
  <si>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</si>
  <si>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</si>
  <si>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</si>
  <si>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</si>
  <si>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</si>
  <si>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</si>
  <si>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</si>
  <si>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</si>
  <si>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</si>
  <si>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</si>
  <si>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</si>
  <si>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</si>
  <si>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</si>
  <si>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</si>
  <si>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</si>
  <si>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</si>
  <si>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</si>
  <si>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</si>
  <si>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</si>
  <si>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</si>
  <si>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</si>
  <si>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</si>
  <si>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</si>
  <si>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</si>
  <si>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</si>
  <si>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</si>
  <si>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</si>
  <si>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</si>
  <si>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</si>
  <si>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</si>
  <si>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</si>
  <si>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</si>
  <si>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</si>
  <si>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</si>
  <si>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</si>
  <si>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</si>
  <si>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</si>
  <si>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</si>
  <si>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</si>
  <si>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</si>
  <si>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</si>
  <si>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</si>
  <si>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</si>
  <si>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</si>
  <si>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</si>
  <si>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</si>
  <si>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</si>
  <si>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</si>
  <si>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</si>
  <si>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</si>
  <si>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</si>
  <si>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</si>
  <si>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</si>
  <si>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</si>
  <si>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</si>
  <si>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</si>
  <si>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</si>
  <si>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</si>
  <si>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</si>
  <si>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</si>
  <si>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</si>
  <si>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</si>
  <si>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</si>
  <si>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</si>
  <si>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</si>
  <si>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Mã</t>
  </si>
  <si>
    <t>Cập nhật ngày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</si>
  <si>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</si>
  <si>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</si>
  <si>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</si>
  <si>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</si>
  <si>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</si>
  <si>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</si>
  <si>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</si>
  <si>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</si>
  <si>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</si>
  <si>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</si>
  <si>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EUR-PRI-120-32x45</t>
  </si>
  <si>
    <t>Euro Prim 120 32x45</t>
  </si>
  <si>
    <t>FORT120-79x109</t>
  </si>
  <si>
    <t>FO120 79x109</t>
  </si>
  <si>
    <t>FOR150-79x109</t>
  </si>
  <si>
    <t>Decal-32x485</t>
  </si>
  <si>
    <t>Decal 32 x 48.5 cm</t>
  </si>
  <si>
    <t>Decal-32x26</t>
  </si>
  <si>
    <t>Decal 32 x 26 cm</t>
  </si>
  <si>
    <t>Decal-32x39</t>
  </si>
  <si>
    <t>Decal 32 x 39 cm</t>
  </si>
  <si>
    <t>Khổ cắt SP</t>
  </si>
  <si>
    <t>rong</t>
  </si>
  <si>
    <t>cao</t>
  </si>
  <si>
    <t>bleed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</si>
  <si>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</si>
  <si>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</si>
  <si>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</si>
  <si>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</si>
  <si>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</si>
  <si>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</si>
  <si>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</si>
  <si>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</si>
  <si>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</si>
  <si>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</si>
  <si>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</si>
  <si>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</si>
  <si>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</si>
  <si>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</si>
  <si>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</si>
  <si>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</si>
  <si>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</si>
  <si>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</si>
  <si>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</si>
  <si>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</si>
  <si>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</si>
  <si>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trang ruột</t>
  </si>
  <si>
    <t>Số tờ đôi ruột trung bình</t>
  </si>
  <si>
    <t>Tính giá bìa, gồm công đoạn</t>
  </si>
  <si>
    <t>Số liệu đầu vô</t>
  </si>
  <si>
    <t>36 x 70 cm</t>
  </si>
  <si>
    <t>Giấy ảnh 180gsm (m2)</t>
  </si>
  <si>
    <t>Màng lami (m2)</t>
  </si>
  <si>
    <t>Thành tiền</t>
  </si>
  <si>
    <t>Đầu vô</t>
  </si>
  <si>
    <t>Diện tích</t>
  </si>
  <si>
    <t>Tiền</t>
  </si>
  <si>
    <t>Số lượng extend</t>
  </si>
  <si>
    <t>Kỹ thuật  (tờ 30x60)</t>
  </si>
  <si>
    <t>Tổng phí</t>
  </si>
  <si>
    <t xml:space="preserve">2 tấm gỗ </t>
  </si>
  <si>
    <t>Cắt được</t>
  </si>
  <si>
    <t>Phí tạo bìa</t>
  </si>
  <si>
    <t>Tính phí làm ruột + ghép thành cuốn gồm</t>
  </si>
  <si>
    <t>Giấy bồi giữa</t>
  </si>
  <si>
    <t>Phí làm ghép cuốn vô cuốn</t>
  </si>
  <si>
    <t>Cát được</t>
  </si>
  <si>
    <t>Giá thành /cuốn</t>
  </si>
  <si>
    <t>Giấy ảnh ruot 260gsm TQ (m2)</t>
  </si>
  <si>
    <t>VC</t>
  </si>
  <si>
    <t>Phí máy in + mực (m2)</t>
  </si>
  <si>
    <t>Phi máy in + mực  (m2)</t>
  </si>
  <si>
    <t>Phí máy cán + màng BOPP (số mặt)</t>
  </si>
  <si>
    <t>In ruột theo giá mực 60k/m2</t>
  </si>
  <si>
    <t>In ruột theo giá mực 35k/m2</t>
  </si>
  <si>
    <t>Tính thử 100 m2 in để mua hay không mua từ Lâm Thịnh</t>
  </si>
  <si>
    <t>Mực + in</t>
  </si>
  <si>
    <t>Giấy TQ</t>
  </si>
  <si>
    <t>Giá TB/m2</t>
  </si>
  <si>
    <t>Số m2</t>
  </si>
  <si>
    <t>Quy số lượng để kỹ thuật chỉnh màu tờ 30x60</t>
  </si>
  <si>
    <t>Tiền 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</si>
</sst>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\ [$₫-42A]_-;\-* #,##0.00\ [$₫-42A]_-;_-* &quot;-&quot;??\ [$₫-42A]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1" applyFont="1"/>
    <xf numFmtId="0" fontId="2" fillId="0" borderId="0" xfId="0" applyFont="1" applyAlignment="1">
      <alignment wrapText="1"/>
    </xf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0" fontId="0" fillId="0" borderId="0" xfId="0" quotePrefix="1"/>
    <xf numFmtId="164" fontId="3" fillId="0" borderId="0" xfId="0" quotePrefix="1" applyNumberFormat="1" applyFont="1"/>
    <xf numFmtId="0" fontId="6" fillId="0" borderId="0" xfId="0" applyFont="1" applyFill="1"/>
    <xf numFmtId="164" fontId="6" fillId="0" borderId="1" xfId="2" applyNumberFormat="1" applyFont="1" applyFill="1" applyBorder="1"/>
    <xf numFmtId="164" fontId="6" fillId="0" borderId="0" xfId="2" applyNumberFormat="1" applyFont="1" applyFill="1" applyBorder="1"/>
    <xf numFmtId="0" fontId="0" fillId="0" borderId="0" xfId="0" applyAlignment="1">
      <alignment horizontal="right" wrapText="1"/>
    </xf>
    <xf numFmtId="164" fontId="0" fillId="0" borderId="0" xfId="0" applyNumberFormat="1" applyAlignment="1">
      <alignment wrapText="1"/>
    </xf>
    <xf numFmtId="164" fontId="2" fillId="0" borderId="0" xfId="0" applyNumberFormat="1" applyFont="1"/>
    <xf numFmtId="0" fontId="3" fillId="0" borderId="0" xfId="0" applyFont="1"/>
    <xf numFmtId="43" fontId="0" fillId="0" borderId="0" xfId="0" applyNumberFormat="1"/>
  </cellXfs>
  <cellStyles count="3">
    <cellStyle name="Bình thường" xfId="0" builtinId="0"/>
    <cellStyle name="Dấu phẩy" xfId="1" builtinId="3"/>
    <cellStyle name="Tố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G21"/>
  <sheetViews>
    <sheetView workbookViewId="0">
      <selection activeCell="C6" sqref="C6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  <col min="7" max="7" width="11.140625" bestFit="1" customWidth="1"/>
  </cols>
  <sheetData>
    <row r="2" spans="1:7" x14ac:dyDescent="0.25">
      <c r="B2" t="s">
        <v>143</v>
      </c>
    </row>
    <row r="4" spans="1:7" x14ac:dyDescent="0.25">
      <c r="A4" s="1" t="s">
        <v>116</v>
      </c>
      <c r="B4" s="1" t="s">
        <v>147</v>
      </c>
      <c r="C4" s="1" t="s">
        <v>157</v>
      </c>
    </row>
    <row r="5" spans="1:7" x14ac:dyDescent="0.25">
      <c r="A5" t="s">
        <v>149</v>
      </c>
      <c r="B5" t="s">
        <v>144</v>
      </c>
      <c r="C5" s="3">
        <v>37000</v>
      </c>
    </row>
    <row r="6" spans="1:7" x14ac:dyDescent="0.25">
      <c r="A6" t="s">
        <v>151</v>
      </c>
      <c r="B6" t="s">
        <v>145</v>
      </c>
      <c r="C6" s="3">
        <v>36000</v>
      </c>
    </row>
    <row r="7" spans="1:7" x14ac:dyDescent="0.25">
      <c r="A7" t="s">
        <v>150</v>
      </c>
      <c r="B7" t="s">
        <v>146</v>
      </c>
      <c r="C7" s="3">
        <v>45000</v>
      </c>
    </row>
    <row r="9" spans="1:7" x14ac:dyDescent="0.25">
      <c r="A9" t="s">
        <v>148</v>
      </c>
      <c r="B9" t="s">
        <v>152</v>
      </c>
      <c r="C9" s="3">
        <f>24*93000/(0.32*4000)</f>
        <v>1743.75</v>
      </c>
    </row>
    <row r="10" spans="1:7" x14ac:dyDescent="0.25">
      <c r="A10" t="s">
        <v>154</v>
      </c>
      <c r="B10" t="s">
        <v>153</v>
      </c>
      <c r="C10" s="3">
        <f>1400000/(1.27*45)</f>
        <v>24496.937882764654</v>
      </c>
    </row>
    <row r="11" spans="1:7" x14ac:dyDescent="0.25">
      <c r="C11" s="3"/>
    </row>
    <row r="12" spans="1:7" x14ac:dyDescent="0.25">
      <c r="A12" t="s">
        <v>155</v>
      </c>
      <c r="B12" t="s">
        <v>156</v>
      </c>
      <c r="C12" s="3">
        <v>80000</v>
      </c>
      <c r="E12" t="s">
        <v>179</v>
      </c>
      <c r="F12">
        <v>24</v>
      </c>
      <c r="G12" s="3">
        <f>C12/F12</f>
        <v>3333.3333333333335</v>
      </c>
    </row>
    <row r="13" spans="1:7" x14ac:dyDescent="0.25">
      <c r="A13" t="s">
        <v>159</v>
      </c>
      <c r="B13" t="s">
        <v>158</v>
      </c>
      <c r="C13" s="3">
        <v>15000</v>
      </c>
      <c r="E13" t="s">
        <v>184</v>
      </c>
      <c r="F13">
        <v>6</v>
      </c>
      <c r="G13" s="3">
        <f>C13/F13</f>
        <v>2500</v>
      </c>
    </row>
    <row r="14" spans="1:7" x14ac:dyDescent="0.25">
      <c r="C14" s="3"/>
    </row>
    <row r="15" spans="1:7" x14ac:dyDescent="0.25">
      <c r="C15" s="3"/>
    </row>
    <row r="16" spans="1:7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O62"/>
  <sheetViews>
    <sheetView topLeftCell="A10" workbookViewId="0">
      <selection activeCell="C33" sqref="C33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9" customWidth="1"/>
    <col min="9" max="9" width="15.85546875" bestFit="1" customWidth="1"/>
    <col min="10" max="12" width="14.85546875" bestFit="1" customWidth="1"/>
    <col min="13" max="13" width="13.28515625" bestFit="1" customWidth="1"/>
    <col min="14" max="15" width="14.85546875" bestFit="1" customWidth="1"/>
    <col min="16" max="16" width="13.28515625" bestFit="1" customWidth="1"/>
  </cols>
  <sheetData>
    <row r="1" spans="1:7" ht="30" x14ac:dyDescent="0.25">
      <c r="A1" s="6" t="s">
        <v>160</v>
      </c>
      <c r="B1" s="19" t="s">
        <v>191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6136.3635999999997</v>
      </c>
      <c r="D12" s="2">
        <v>1</v>
      </c>
      <c r="E12" s="14">
        <f xml:space="preserve"> C12*D12</f>
        <v>6136.3635999999997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33240</v>
      </c>
      <c r="D13" s="2">
        <v>1</v>
      </c>
      <c r="E13" s="14">
        <f t="shared" ref="E13:E17" si="0" xml:space="preserve"> C13*D13</f>
        <v>33240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34666.666700000002</v>
      </c>
      <c r="D17" s="2">
        <v>1</v>
      </c>
      <c r="E17" s="14">
        <f t="shared" si="0"/>
        <v>34666.666700000002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96667.030299999999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92045.454500000007</v>
      </c>
      <c r="D25" s="2">
        <v>1</v>
      </c>
      <c r="E25" s="14">
        <f xml:space="preserve"> C25*D25</f>
        <v>92045.454500000007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PhiMayInPhunCanon12m(B26)</f>
        <v>275118.6666</v>
      </c>
      <c r="D26" s="2">
        <v>1</v>
      </c>
      <c r="E26" s="14">
        <f t="shared" ref="E26:E28" si="1" xml:space="preserve"> C26*D26</f>
        <v>275118.6666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3409090.9090999998</v>
      </c>
      <c r="K27" s="3">
        <f>PhiMayInPhunCanon12m(H27)</f>
        <v>9093522.2222000007</v>
      </c>
      <c r="L27" s="3">
        <f>36000*$H27</f>
        <v>3600000</v>
      </c>
      <c r="M27" s="18">
        <f>SUM(J27:L27)/H27</f>
        <v>161026.13131299999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41141.333500000001</v>
      </c>
      <c r="D28" s="2">
        <v>1</v>
      </c>
      <c r="E28" s="14">
        <f t="shared" si="1"/>
        <v>41141.333500000001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ref="E29:E30" si="2" xml:space="preserve"> C29*D29</f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2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626274.78800000006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722941.81830000004</v>
      </c>
      <c r="F34" s="3"/>
      <c r="G34" s="3"/>
      <c r="H34" s="3"/>
      <c r="I34" s="3"/>
    </row>
    <row r="35" spans="1:9" x14ac:dyDescent="0.25">
      <c r="A35" s="2"/>
      <c r="C35" s="3"/>
      <c r="D35" s="17" t="s">
        <v>187</v>
      </c>
      <c r="E35" s="3">
        <v>50000</v>
      </c>
      <c r="F35" s="3"/>
      <c r="G35" s="3"/>
      <c r="H35" s="3"/>
      <c r="I35" s="3"/>
    </row>
    <row r="36" spans="1:9" x14ac:dyDescent="0.25">
      <c r="A36" s="2"/>
      <c r="E36" s="18">
        <f>E34+E35</f>
        <v>772941.81830000004</v>
      </c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A129075C-403C-4143-ADFE-2BAD8D7634AE}">
      <formula1>OFFSET(GIA_GIAY_CO_BAN,1,0,,1)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9224-E0BB-44FC-A3F9-3E865F3F5365}">
  <sheetPr codeName="Trang_tính1"/>
  <dimension ref="A1:O62"/>
  <sheetViews>
    <sheetView tabSelected="1" topLeftCell="A16" workbookViewId="0">
      <selection activeCell="A40" sqref="A40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15.85546875" bestFit="1" customWidth="1"/>
    <col min="9" max="9" width="15.5703125" bestFit="1" customWidth="1"/>
    <col min="10" max="10" width="15" bestFit="1" customWidth="1"/>
    <col min="11" max="12" width="14.85546875" bestFit="1" customWidth="1"/>
    <col min="13" max="13" width="13.42578125" bestFit="1" customWidth="1"/>
    <col min="15" max="15" width="13.28515625" bestFit="1" customWidth="1"/>
  </cols>
  <sheetData>
    <row r="1" spans="1:7" ht="30" x14ac:dyDescent="0.25">
      <c r="A1" s="6" t="s">
        <v>160</v>
      </c>
      <c r="B1" s="19" t="s">
        <v>192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6136.3635999999997</v>
      </c>
      <c r="D12" s="2">
        <v>1</v>
      </c>
      <c r="E12" s="14">
        <f xml:space="preserve"> C12*D12</f>
        <v>6136.3635999999997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33240</v>
      </c>
      <c r="D13" s="2">
        <v>1</v>
      </c>
      <c r="E13" s="14">
        <f t="shared" ref="E13:E17" si="0" xml:space="preserve"> C13*D13</f>
        <v>33240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34666.666700000002</v>
      </c>
      <c r="D17" s="2">
        <v>1</v>
      </c>
      <c r="E17" s="14">
        <f t="shared" si="0"/>
        <v>34666.666700000002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96667.030299999999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92045.454500000007</v>
      </c>
      <c r="D25" s="2">
        <v>1</v>
      </c>
      <c r="E25" s="14">
        <f xml:space="preserve"> C25*D25</f>
        <v>92045.454500000007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PhiMayInPhunCanon12m_35k(B26)</f>
        <v>200718.6666</v>
      </c>
      <c r="D26" s="2">
        <v>1</v>
      </c>
      <c r="E26" s="14">
        <f t="shared" ref="E26:E30" si="1" xml:space="preserve"> C26*D26</f>
        <v>200718.6666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3409090.9090999998</v>
      </c>
      <c r="K27" s="3">
        <f>PhiMayInPhunCanon12m_35k(H27)</f>
        <v>6593522.2221999997</v>
      </c>
      <c r="L27" s="3">
        <f>36000*$H27</f>
        <v>3600000</v>
      </c>
      <c r="M27" s="18">
        <f>SUM(J27:L27)/H27</f>
        <v>136026.13131299999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41141.333500000001</v>
      </c>
      <c r="D28" s="2">
        <v>1</v>
      </c>
      <c r="E28" s="14">
        <f t="shared" si="1"/>
        <v>41141.333500000001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si="1"/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1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551874.78799999994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648541.81829999993</v>
      </c>
      <c r="F34" s="3"/>
      <c r="G34" s="3"/>
      <c r="H34" s="3"/>
      <c r="I34" s="3"/>
    </row>
    <row r="35" spans="1:9" x14ac:dyDescent="0.25">
      <c r="A35" s="2"/>
      <c r="C35" s="3"/>
      <c r="D35" s="17" t="s">
        <v>187</v>
      </c>
      <c r="E35" s="3">
        <v>50000</v>
      </c>
      <c r="F35" s="3"/>
      <c r="G35" s="3"/>
      <c r="H35" s="3"/>
      <c r="I35" s="3"/>
    </row>
    <row r="36" spans="1:9" x14ac:dyDescent="0.25">
      <c r="A36" s="2"/>
      <c r="E36" s="18">
        <f>E34+E35</f>
        <v>698541.81829999993</v>
      </c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8E76F45B-7D17-42E0-B09E-51C355781ADE}">
      <formula1>OFFSET(GIA_GIAY_CO_BAN,1,0,,1)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5351-B9AF-4628-B5FD-4ACFB6193020}">
  <sheetPr codeName="Trang_tính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I24" sqref="I2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139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140</v>
      </c>
      <c r="Q3" t="s">
        <v>141</v>
      </c>
      <c r="R3" t="s">
        <v>142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J34" sqref="J3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37</v>
      </c>
      <c r="F1" s="1" t="s">
        <v>39</v>
      </c>
      <c r="K1" s="1" t="s">
        <v>40</v>
      </c>
      <c r="P1" s="1" t="s">
        <v>54</v>
      </c>
    </row>
    <row r="2" spans="1:18" x14ac:dyDescent="0.25">
      <c r="A2" t="s">
        <v>4</v>
      </c>
      <c r="B2" t="s">
        <v>12</v>
      </c>
      <c r="C2" t="s">
        <v>38</v>
      </c>
      <c r="F2" t="s">
        <v>4</v>
      </c>
      <c r="G2" t="s">
        <v>12</v>
      </c>
      <c r="H2" t="s">
        <v>41</v>
      </c>
      <c r="K2" t="s">
        <v>4</v>
      </c>
      <c r="L2" t="s">
        <v>12</v>
      </c>
      <c r="M2" t="s">
        <v>41</v>
      </c>
      <c r="P2" t="s">
        <v>4</v>
      </c>
      <c r="Q2" t="s">
        <v>12</v>
      </c>
      <c r="R2" t="s">
        <v>55</v>
      </c>
    </row>
    <row r="3" spans="1:18" x14ac:dyDescent="0.25">
      <c r="A3" t="s">
        <v>48</v>
      </c>
      <c r="B3" t="s">
        <v>49</v>
      </c>
      <c r="C3">
        <v>1200</v>
      </c>
      <c r="F3" t="s">
        <v>46</v>
      </c>
      <c r="G3" t="s">
        <v>47</v>
      </c>
      <c r="H3">
        <v>850</v>
      </c>
      <c r="K3" t="s">
        <v>42</v>
      </c>
      <c r="L3" t="s">
        <v>43</v>
      </c>
      <c r="M3">
        <f>3400/10000</f>
        <v>0.34</v>
      </c>
      <c r="P3" t="s">
        <v>86</v>
      </c>
      <c r="Q3" t="s">
        <v>109</v>
      </c>
      <c r="R3">
        <v>345</v>
      </c>
    </row>
    <row r="4" spans="1:18" x14ac:dyDescent="0.25">
      <c r="K4" t="s">
        <v>44</v>
      </c>
      <c r="L4" t="s">
        <v>45</v>
      </c>
      <c r="M4">
        <f>5500/10000</f>
        <v>0.55000000000000004</v>
      </c>
      <c r="P4" t="s">
        <v>84</v>
      </c>
      <c r="Q4" t="s">
        <v>90</v>
      </c>
      <c r="R4">
        <v>324</v>
      </c>
    </row>
    <row r="5" spans="1:18" x14ac:dyDescent="0.25">
      <c r="P5" t="s">
        <v>85</v>
      </c>
      <c r="Q5" t="s">
        <v>92</v>
      </c>
      <c r="R5">
        <v>488</v>
      </c>
    </row>
    <row r="6" spans="1:18" x14ac:dyDescent="0.25">
      <c r="P6" t="s">
        <v>87</v>
      </c>
      <c r="Q6" t="s">
        <v>93</v>
      </c>
      <c r="R6">
        <v>355</v>
      </c>
    </row>
    <row r="7" spans="1:18" x14ac:dyDescent="0.25">
      <c r="P7" t="s">
        <v>88</v>
      </c>
      <c r="Q7" t="s">
        <v>91</v>
      </c>
      <c r="R7">
        <v>500</v>
      </c>
    </row>
    <row r="8" spans="1:18" x14ac:dyDescent="0.25">
      <c r="P8" t="s">
        <v>89</v>
      </c>
      <c r="Q8" t="s">
        <v>94</v>
      </c>
      <c r="R8">
        <v>515</v>
      </c>
    </row>
    <row r="9" spans="1:18" x14ac:dyDescent="0.25">
      <c r="P9" t="s">
        <v>63</v>
      </c>
      <c r="Q9" t="s">
        <v>56</v>
      </c>
      <c r="R9">
        <v>628</v>
      </c>
    </row>
    <row r="10" spans="1:18" x14ac:dyDescent="0.25">
      <c r="P10" t="s">
        <v>110</v>
      </c>
      <c r="Q10" t="s">
        <v>111</v>
      </c>
      <c r="R10">
        <v>700</v>
      </c>
    </row>
    <row r="11" spans="1:18" x14ac:dyDescent="0.25">
      <c r="P11" t="s">
        <v>64</v>
      </c>
      <c r="Q11" t="s">
        <v>57</v>
      </c>
      <c r="R11">
        <v>860</v>
      </c>
    </row>
    <row r="12" spans="1:18" x14ac:dyDescent="0.25">
      <c r="P12" t="s">
        <v>65</v>
      </c>
      <c r="Q12" t="s">
        <v>58</v>
      </c>
      <c r="R12">
        <v>1056</v>
      </c>
    </row>
    <row r="13" spans="1:18" x14ac:dyDescent="0.25">
      <c r="P13" t="s">
        <v>112</v>
      </c>
      <c r="Q13" t="s">
        <v>113</v>
      </c>
      <c r="R13">
        <v>785</v>
      </c>
    </row>
    <row r="14" spans="1:18" x14ac:dyDescent="0.25">
      <c r="P14" t="s">
        <v>118</v>
      </c>
      <c r="Q14" t="s">
        <v>121</v>
      </c>
      <c r="R14">
        <v>1600</v>
      </c>
    </row>
    <row r="15" spans="1:18" x14ac:dyDescent="0.25">
      <c r="P15" t="s">
        <v>114</v>
      </c>
      <c r="Q15" t="s">
        <v>115</v>
      </c>
      <c r="R15">
        <v>1030</v>
      </c>
    </row>
    <row r="16" spans="1:18" x14ac:dyDescent="0.25">
      <c r="P16" t="s">
        <v>126</v>
      </c>
      <c r="Q16" t="s">
        <v>127</v>
      </c>
      <c r="R16">
        <v>1060</v>
      </c>
    </row>
    <row r="17" spans="16:18" x14ac:dyDescent="0.25">
      <c r="P17" t="s">
        <v>66</v>
      </c>
      <c r="Q17" t="s">
        <v>59</v>
      </c>
      <c r="R17">
        <v>1272</v>
      </c>
    </row>
    <row r="18" spans="16:18" x14ac:dyDescent="0.25">
      <c r="P18" t="s">
        <v>119</v>
      </c>
      <c r="Q18" t="s">
        <v>120</v>
      </c>
      <c r="R18">
        <v>2060</v>
      </c>
    </row>
    <row r="19" spans="16:18" x14ac:dyDescent="0.25">
      <c r="P19" t="s">
        <v>67</v>
      </c>
      <c r="Q19" t="s">
        <v>60</v>
      </c>
      <c r="R19">
        <v>1200</v>
      </c>
    </row>
    <row r="20" spans="16:18" x14ac:dyDescent="0.25">
      <c r="P20" t="s">
        <v>68</v>
      </c>
      <c r="Q20" t="s">
        <v>61</v>
      </c>
      <c r="R20">
        <v>1456</v>
      </c>
    </row>
    <row r="21" spans="16:18" x14ac:dyDescent="0.25">
      <c r="P21" t="s">
        <v>69</v>
      </c>
      <c r="Q21" t="s">
        <v>62</v>
      </c>
      <c r="R21">
        <v>1704</v>
      </c>
    </row>
    <row r="22" spans="16:18" x14ac:dyDescent="0.25">
      <c r="P22" t="s">
        <v>74</v>
      </c>
      <c r="Q22" t="s">
        <v>95</v>
      </c>
      <c r="R22">
        <v>488</v>
      </c>
    </row>
    <row r="23" spans="16:18" x14ac:dyDescent="0.25">
      <c r="P23" t="s">
        <v>75</v>
      </c>
      <c r="Q23" t="s">
        <v>96</v>
      </c>
      <c r="R23">
        <v>584</v>
      </c>
    </row>
    <row r="24" spans="16:18" x14ac:dyDescent="0.25">
      <c r="P24" t="s">
        <v>130</v>
      </c>
      <c r="Q24" t="s">
        <v>131</v>
      </c>
      <c r="R24">
        <v>2920</v>
      </c>
    </row>
    <row r="25" spans="16:18" x14ac:dyDescent="0.25">
      <c r="P25" t="s">
        <v>72</v>
      </c>
      <c r="Q25" t="s">
        <v>97</v>
      </c>
      <c r="R25">
        <v>700</v>
      </c>
    </row>
    <row r="26" spans="16:18" x14ac:dyDescent="0.25">
      <c r="P26" t="s">
        <v>132</v>
      </c>
      <c r="Q26" t="s">
        <v>97</v>
      </c>
      <c r="R26">
        <v>3500</v>
      </c>
    </row>
    <row r="27" spans="16:18" x14ac:dyDescent="0.25">
      <c r="P27" t="s">
        <v>71</v>
      </c>
      <c r="Q27" t="s">
        <v>98</v>
      </c>
      <c r="R27">
        <v>900</v>
      </c>
    </row>
    <row r="28" spans="16:18" x14ac:dyDescent="0.25">
      <c r="P28" t="s">
        <v>70</v>
      </c>
      <c r="Q28" t="s">
        <v>99</v>
      </c>
      <c r="R28">
        <v>740</v>
      </c>
    </row>
    <row r="29" spans="16:18" x14ac:dyDescent="0.25">
      <c r="P29" t="s">
        <v>73</v>
      </c>
      <c r="Q29" t="s">
        <v>100</v>
      </c>
      <c r="R29">
        <v>1232</v>
      </c>
    </row>
    <row r="30" spans="16:18" x14ac:dyDescent="0.25">
      <c r="P30" t="s">
        <v>77</v>
      </c>
      <c r="Q30" t="s">
        <v>101</v>
      </c>
    </row>
    <row r="31" spans="16:18" x14ac:dyDescent="0.25">
      <c r="P31" t="s">
        <v>76</v>
      </c>
      <c r="Q31" t="s">
        <v>103</v>
      </c>
    </row>
    <row r="32" spans="16:18" x14ac:dyDescent="0.25">
      <c r="P32" t="s">
        <v>78</v>
      </c>
      <c r="Q32" t="s">
        <v>102</v>
      </c>
    </row>
    <row r="33" spans="16:18" x14ac:dyDescent="0.25">
      <c r="P33" t="s">
        <v>79</v>
      </c>
      <c r="Q33" t="s">
        <v>104</v>
      </c>
    </row>
    <row r="34" spans="16:18" x14ac:dyDescent="0.25">
      <c r="P34" t="s">
        <v>83</v>
      </c>
      <c r="Q34" t="s">
        <v>105</v>
      </c>
    </row>
    <row r="35" spans="16:18" x14ac:dyDescent="0.25">
      <c r="P35" t="s">
        <v>82</v>
      </c>
      <c r="Q35" t="s">
        <v>106</v>
      </c>
    </row>
    <row r="36" spans="16:18" x14ac:dyDescent="0.25">
      <c r="P36" t="s">
        <v>81</v>
      </c>
      <c r="Q36" t="s">
        <v>107</v>
      </c>
    </row>
    <row r="37" spans="16:18" x14ac:dyDescent="0.25">
      <c r="P37" t="s">
        <v>80</v>
      </c>
      <c r="Q37" t="s">
        <v>108</v>
      </c>
    </row>
    <row r="38" spans="16:18" x14ac:dyDescent="0.25">
      <c r="P38" t="s">
        <v>122</v>
      </c>
      <c r="Q38" t="s">
        <v>123</v>
      </c>
      <c r="R38">
        <v>4200</v>
      </c>
    </row>
    <row r="39" spans="16:18" x14ac:dyDescent="0.25">
      <c r="P39" t="s">
        <v>124</v>
      </c>
      <c r="Q39" t="s">
        <v>125</v>
      </c>
      <c r="R39">
        <v>3500</v>
      </c>
    </row>
    <row r="40" spans="16:18" x14ac:dyDescent="0.25">
      <c r="P40" t="s">
        <v>128</v>
      </c>
      <c r="Q40" t="s">
        <v>129</v>
      </c>
      <c r="R40">
        <v>1250</v>
      </c>
    </row>
    <row r="41" spans="16:18" x14ac:dyDescent="0.25">
      <c r="P41" t="s">
        <v>133</v>
      </c>
      <c r="Q41" t="s">
        <v>134</v>
      </c>
      <c r="R41">
        <v>1650</v>
      </c>
    </row>
    <row r="42" spans="16:18" x14ac:dyDescent="0.25">
      <c r="P42" t="s">
        <v>135</v>
      </c>
      <c r="Q42" t="s">
        <v>136</v>
      </c>
      <c r="R42">
        <v>810</v>
      </c>
    </row>
    <row r="43" spans="16:18" x14ac:dyDescent="0.25">
      <c r="P43" t="s">
        <v>137</v>
      </c>
      <c r="Q43" t="s">
        <v>138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7" t="s">
        <v>50</v>
      </c>
      <c r="C2" s="7" t="s">
        <v>51</v>
      </c>
    </row>
    <row r="3" spans="2:3" x14ac:dyDescent="0.25">
      <c r="B3" s="8">
        <v>0.15</v>
      </c>
      <c r="C3" s="8">
        <v>0.13</v>
      </c>
    </row>
    <row r="4" spans="2:3" x14ac:dyDescent="0.25">
      <c r="B4" s="8">
        <v>0.2</v>
      </c>
      <c r="C4" s="9">
        <v>0.16700000000000001</v>
      </c>
    </row>
    <row r="5" spans="2:3" x14ac:dyDescent="0.25">
      <c r="B5" s="8">
        <v>0.25</v>
      </c>
      <c r="C5" s="8">
        <v>0.2</v>
      </c>
    </row>
    <row r="6" spans="2:3" x14ac:dyDescent="0.25">
      <c r="B6" s="8">
        <v>0.3</v>
      </c>
      <c r="C6" s="8">
        <v>0.23</v>
      </c>
    </row>
    <row r="7" spans="2:3" x14ac:dyDescent="0.25">
      <c r="B7" s="9">
        <v>0.33300000000000002</v>
      </c>
      <c r="C7" s="8">
        <v>0.25</v>
      </c>
    </row>
    <row r="8" spans="2:3" x14ac:dyDescent="0.25">
      <c r="B8" s="8">
        <v>0.4</v>
      </c>
      <c r="C8" s="9">
        <v>0.28599999999999998</v>
      </c>
    </row>
    <row r="9" spans="2:3" x14ac:dyDescent="0.25">
      <c r="B9" s="8">
        <v>0.43</v>
      </c>
      <c r="C9" s="8">
        <v>0.3</v>
      </c>
    </row>
    <row r="10" spans="2:3" x14ac:dyDescent="0.25">
      <c r="B10" s="8">
        <v>0.5</v>
      </c>
      <c r="C10" s="8">
        <v>0.33</v>
      </c>
    </row>
    <row r="11" spans="2:3" x14ac:dyDescent="0.25">
      <c r="B11" s="8">
        <v>0.75</v>
      </c>
      <c r="C11" s="9">
        <v>0.42899999999999999</v>
      </c>
    </row>
    <row r="12" spans="2:3" x14ac:dyDescent="0.25">
      <c r="B12" s="8">
        <v>1</v>
      </c>
      <c r="C12" s="8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7</vt:i4>
      </vt:variant>
      <vt:variant>
        <vt:lpstr>Phạm vi Có tên</vt:lpstr>
      </vt:variant>
      <vt:variant>
        <vt:i4>8</vt:i4>
      </vt:variant>
    </vt:vector>
  </HeadingPairs>
  <TitlesOfParts>
    <vt:vector size="15" baseType="lpstr">
      <vt:lpstr>NguyenLieu</vt:lpstr>
      <vt:lpstr>KD-ABCD-30x30</vt:lpstr>
      <vt:lpstr>KD-ABCD-30x30_r1</vt:lpstr>
      <vt:lpstr>Trang_tính2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2019-09-25T03:40:02Z</dcterms:modified>
</cp:coreProperties>
</file>