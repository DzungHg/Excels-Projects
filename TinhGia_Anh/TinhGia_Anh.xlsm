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filterPrivacy="1" codeName="Sô_la_mviê_cNa_y"/>
  <xr:revisionPtr revIDLastSave="0" documentId="13_ncr:1_{7E356877-A69E-4896-94D4-B80092EAC103}" xr6:coauthVersionLast="44" xr6:coauthVersionMax="44" xr10:uidLastSave="{00000000-0000-0000-0000-000000000000}"/>
  <bookViews>
    <workbookView xWindow="0" yWindow="0" windowWidth="28800" windowHeight="15750" activeTab="1" xr2:uid="{00000000-000D-0000-FFFF-FFFF00000000}"/>
  </bookViews>
  <sheets>
    <sheet name="NguyenLieu" sheetId="58" r:id="rId1"/>
    <sheet name="KD-ABCD-30x30" sheetId="38" r:id="rId2"/>
    <sheet name="SP-Cata-A4-Kim" sheetId="37" r:id="rId3"/>
    <sheet name="SP-Cata-A4-Keo" sheetId="39" r:id="rId4"/>
    <sheet name="Menu-LXo-10x19" sheetId="45" r:id="rId5"/>
    <sheet name="Menu-LX-15x19" sheetId="46" r:id="rId6"/>
    <sheet name="Menu-LX-19x30" sheetId="47" r:id="rId7"/>
    <sheet name="Menu-LX-15x34" sheetId="48" r:id="rId8"/>
    <sheet name="Menu-LX-10x19-v2" sheetId="56" r:id="rId9"/>
    <sheet name="Menu-LX-DongCuon" sheetId="57" r:id="rId10"/>
    <sheet name="Menu-LX-15x19-v2" sheetId="55" r:id="rId11"/>
    <sheet name="Menu-LX-19x30_v2" sheetId="54" r:id="rId12"/>
    <sheet name="Menu-LX-15x34_v2" sheetId="53" r:id="rId13"/>
    <sheet name="Menu-BiaCungVit-Ruot" sheetId="49" r:id="rId14"/>
    <sheet name="Menu-BiaCungVit-Bia" sheetId="50" r:id="rId15"/>
    <sheet name="Menu-MoPhang-Ruot" sheetId="51" r:id="rId16"/>
    <sheet name="Menu-MoPhang-Bia" sheetId="52" r:id="rId17"/>
    <sheet name="Base-MayIn" sheetId="10" r:id="rId18"/>
    <sheet name="NguyenVatLieu" sheetId="13" r:id="rId19"/>
    <sheet name="Base-Margin" sheetId="15" r:id="rId20"/>
  </sheets>
  <functionGroups builtInGroupCount="19"/>
  <definedNames>
    <definedName name="atools_list_filter_1" localSheetId="1" hidden="1">'KD-ABCD-30x30'!$B$13:$D$13</definedName>
    <definedName name="atools_list_filter_1" localSheetId="13" hidden="1">'Menu-BiaCungVit-Ruot'!$B$21:$D$21</definedName>
    <definedName name="atools_list_filter_1" localSheetId="4" hidden="1">'Menu-LXo-10x19'!$A$13:$D$13</definedName>
    <definedName name="atools_list_filter_1" localSheetId="16" hidden="1">'Menu-MoPhang-Bia'!$B$19:$D$19</definedName>
    <definedName name="atools_list_filter_1" localSheetId="15" hidden="1">'Menu-MoPhang-Ruot'!$B$19:$D$19</definedName>
    <definedName name="atools_list_filter_1" localSheetId="3" hidden="1">'SP-Cata-A4-Keo'!$A$9:$D$10</definedName>
    <definedName name="atools_list_filter_1" localSheetId="2" hidden="1">'SP-Cata-A4-Kim'!$B$9:$D$11</definedName>
    <definedName name="atools_list_filter_1_colinvisibles_ext" localSheetId="1" hidden="1">";;"</definedName>
    <definedName name="atools_list_filter_1_colinvisibles_ext" localSheetId="13" hidden="1">";;"</definedName>
    <definedName name="atools_list_filter_1_colinvisibles_ext" localSheetId="4" hidden="1">";;;"</definedName>
    <definedName name="atools_list_filter_1_colinvisibles_ext" localSheetId="16" hidden="1">";;"</definedName>
    <definedName name="atools_list_filter_1_colinvisibles_ext" localSheetId="15" hidden="1">";;"</definedName>
    <definedName name="atools_list_filter_1_colinvisibles_ext" localSheetId="3" hidden="1">";;"</definedName>
    <definedName name="atools_list_filter_1_colinvisibles_ext" localSheetId="2" hidden="1">";;"</definedName>
    <definedName name="atools_list_filter_1_colsrcidxs_ext" localSheetId="1" hidden="1">"1;2;3"</definedName>
    <definedName name="atools_list_filter_1_colsrcidxs_ext" localSheetId="13" hidden="1">"1;2;3"</definedName>
    <definedName name="atools_list_filter_1_colsrcidxs_ext" localSheetId="4" hidden="1">"1;2;3;4"</definedName>
    <definedName name="atools_list_filter_1_colsrcidxs_ext" localSheetId="16" hidden="1">"1;2;3"</definedName>
    <definedName name="atools_list_filter_1_colsrcidxs_ext" localSheetId="15" hidden="1">"1;2;3"</definedName>
    <definedName name="atools_list_filter_1_colsrcidxs_ext" localSheetId="3" hidden="1">"1;2;3;4"</definedName>
    <definedName name="atools_list_filter_1_colsrcidxs_ext" localSheetId="2" hidden="1">"1;2;3"</definedName>
    <definedName name="atools_list_filter_1_colwidths_ext" localSheetId="1" hidden="1">"88;96;84"</definedName>
    <definedName name="atools_list_filter_1_colwidths_ext" localSheetId="13" hidden="1">"77;96;88"</definedName>
    <definedName name="atools_list_filter_1_colwidths_ext" localSheetId="4" hidden="1">"92;76;71;80"</definedName>
    <definedName name="atools_list_filter_1_colwidths_ext" localSheetId="16" hidden="1">"88;96;84"</definedName>
    <definedName name="atools_list_filter_1_colwidths_ext" localSheetId="15" hidden="1">"88;96;84"</definedName>
    <definedName name="atools_list_filter_1_colwidths_ext" localSheetId="3" hidden="1">"88;96;84"</definedName>
    <definedName name="atools_list_filter_1_colwidths_ext" localSheetId="2" hidden="1">"88;96;84"</definedName>
    <definedName name="atools_list_filter_1_onrangeaddr" localSheetId="1" hidden="1">"='SP-Cata-Ruot-A4'!$B$9:$D$9"</definedName>
    <definedName name="atools_list_filter_1_onrangeaddr" localSheetId="13" hidden="1">"='Menu-BiaCungVit-Ruot'!$B$21:$D$21"</definedName>
    <definedName name="atools_list_filter_1_onrangeaddr" localSheetId="4" hidden="1">"='Menu-LXo'!$A$13:$D$13"</definedName>
    <definedName name="atools_list_filter_1_onrangeaddr" localSheetId="16" hidden="1">"='Menu-MoPhang-Bia'!$B$19:$D$19"</definedName>
    <definedName name="atools_list_filter_1_onrangeaddr" localSheetId="15" hidden="1">"='Menu-MoPhang-Ruot'!$B$19:$D$19"</definedName>
    <definedName name="atools_list_filter_1_onrangeaddr" localSheetId="3" hidden="1">"='SP-Cata-A4-Keo'!$A$9:$D$10"</definedName>
    <definedName name="atools_list_filter_1_onrangeaddr" localSheetId="2" hidden="1">"='SP-Cata-A4-Kim'!$B$9:$D$11"</definedName>
    <definedName name="atools_list_filter_1_pos_ext" localSheetId="1" hidden="1">"0;1;2"</definedName>
    <definedName name="atools_list_filter_1_pos_ext" localSheetId="13" hidden="1">"0;1;2"</definedName>
    <definedName name="atools_list_filter_1_pos_ext" localSheetId="4" hidden="1">"0;1;2;3"</definedName>
    <definedName name="atools_list_filter_1_pos_ext" localSheetId="16" hidden="1">"0;1;2"</definedName>
    <definedName name="atools_list_filter_1_pos_ext" localSheetId="15" hidden="1">"0;1;2"</definedName>
    <definedName name="atools_list_filter_1_pos_ext" localSheetId="3" hidden="1">"0;1;2"</definedName>
    <definedName name="atools_list_filter_1_pos_ext" localSheetId="2" hidden="1">"0;1;2"</definedName>
    <definedName name="atools_list_filter_1_proper" localSheetId="1" hidden="1">"1|1|0|0|0|||305|309||0|,||1||0||0|18|185|2.0|1|1|1|0"</definedName>
    <definedName name="atools_list_filter_1_proper" localSheetId="13" hidden="1">"1|1|0|0|0|||301|72||0|,||1||0||0|18|185|2.0|1|1|1|0"</definedName>
    <definedName name="atools_list_filter_1_proper" localSheetId="4" hidden="1">"1|1|0|0|0|||365|126||0|,||1||0||0|18|185|2.0|1|1|1|0"</definedName>
    <definedName name="atools_list_filter_1_proper" localSheetId="16" hidden="1">"1|1|0|0|0|||322|133||0|,||1||0||0|18|185|2.0|1|1|1|0"</definedName>
    <definedName name="atools_list_filter_1_proper" localSheetId="15" hidden="1">"1|1|0|0|0|||324|118||0|,||1||0||0|18|185|2.0|1|1|1|0"</definedName>
    <definedName name="atools_list_filter_1_proper" localSheetId="3" hidden="1">"1|1|0|0|0|||305|309||0|,||1||0||0|18|185|2.0|1|1|1|0"</definedName>
    <definedName name="atools_list_filter_1_proper" localSheetId="2" hidden="1">"1|1|1|0|0|||305|309||0|,||1||0||0|18|185|2.0|1|1|1|0"</definedName>
    <definedName name="atools_list_filter_1_source" localSheetId="1" hidden="1">GIA_GIAY_CO_BAN</definedName>
    <definedName name="atools_list_filter_1_source" localSheetId="13" hidden="1">GIA_MANG</definedName>
    <definedName name="atools_list_filter_1_source" localSheetId="4" hidden="1">KHO_CAT_SAN_PHAM</definedName>
    <definedName name="atools_list_filter_1_source" localSheetId="16" hidden="1">GIA_GIAY_CO_BAN</definedName>
    <definedName name="atools_list_filter_1_source" localSheetId="15" hidden="1">GIA_GIAY_CO_BAN</definedName>
    <definedName name="atools_list_filter_1_source" localSheetId="3" hidden="1">GIA_GIAY_CO_BAN</definedName>
    <definedName name="atools_list_filter_1_source" localSheetId="2" hidden="1">GIA_GIAY_CO_BAN</definedName>
    <definedName name="atools_list_filter_1_sourceaddr" localSheetId="1" hidden="1">"=GIA_GIAY_CO_BAN"</definedName>
    <definedName name="atools_list_filter_1_sourceaddr" localSheetId="13" hidden="1">"=GIA_MANG"</definedName>
    <definedName name="atools_list_filter_1_sourceaddr" localSheetId="4" hidden="1">"=KHO_CAT_SAN_PHAM"</definedName>
    <definedName name="atools_list_filter_1_sourceaddr" localSheetId="16" hidden="1">"=GIA_GIAY_CO_BAN"</definedName>
    <definedName name="atools_list_filter_1_sourceaddr" localSheetId="15" hidden="1">"=GIA_GIAY_CO_BAN"</definedName>
    <definedName name="atools_list_filter_1_sourceaddr" localSheetId="3" hidden="1">"=GIA_GIAY_CO_BAN"</definedName>
    <definedName name="atools_list_filter_1_sourceaddr" localSheetId="2" hidden="1">"=GIA_GIAY_CO_BAN"</definedName>
    <definedName name="atools_list_filter_8" localSheetId="4" hidden="1">'Menu-LXo-10x19'!$B$19:$D$19</definedName>
    <definedName name="atools_list_filter_8_colinvisibles_ext" localSheetId="4" hidden="1">";;"</definedName>
    <definedName name="atools_list_filter_8_colsrcidxs_ext" localSheetId="4" hidden="1">"1;2;3"</definedName>
    <definedName name="atools_list_filter_8_colwidths_ext" localSheetId="4" hidden="1">"88;96;84"</definedName>
    <definedName name="atools_list_filter_8_onrangeaddr" localSheetId="4" hidden="1">"='Menu-LXo'!$B$19:$D$19"</definedName>
    <definedName name="atools_list_filter_8_pos_ext" localSheetId="4" hidden="1">"0;1;2"</definedName>
    <definedName name="atools_list_filter_8_proper" localSheetId="4" hidden="1">"1|1|0|0|0|||333|153||0|,||1||0||0|18|185|2.0|1|1|1|0"</definedName>
    <definedName name="atools_list_filter_8_source" localSheetId="4" hidden="1">GIA_GIAY_CO_BAN</definedName>
    <definedName name="atools_list_filter_8_sourceaddr" localSheetId="4" hidden="1">"=GIA_GIAY_CO_BAN"</definedName>
    <definedName name="GIA_DECAL_GIAY_VUONG">#REF!</definedName>
    <definedName name="GIA_GIAY_CO_BAN">NguyenVatLieu!$P$2:$R$50</definedName>
    <definedName name="GIA_KHUON_EP_KIM">NguyenVatLieu!$F$2:$H$4</definedName>
    <definedName name="GIA_MANG">NguyenVatLieu!$A$2:$C$4</definedName>
    <definedName name="GIA_NHU_EP_KIM">NguyenVatLieu!$K$2:$M$5</definedName>
    <definedName name="KHO_CAT_SAN_PHAM">'Base-MayIn'!$O$3:$R$19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0" i="58" l="1"/>
  <c r="C9" i="58"/>
  <c r="I26" i="57" l="1"/>
  <c r="H26" i="57"/>
  <c r="G26" i="57"/>
  <c r="F26" i="57"/>
  <c r="E26" i="57"/>
  <c r="E19" i="57" l="1"/>
  <c r="I13" i="57"/>
  <c r="G13" i="57"/>
  <c r="J13" i="57" s="1"/>
  <c r="F13" i="57"/>
  <c r="I25" i="57"/>
  <c r="E25" i="57"/>
  <c r="F25" i="57"/>
  <c r="G25" i="57"/>
  <c r="H25" i="57"/>
  <c r="M12" i="57"/>
  <c r="H27" i="57" l="1"/>
  <c r="H28" i="57" s="1"/>
  <c r="G27" i="57"/>
  <c r="G28" i="57" s="1"/>
  <c r="F27" i="57"/>
  <c r="F28" i="57" s="1"/>
  <c r="E27" i="57"/>
  <c r="E28" i="57" s="1"/>
  <c r="I27" i="57"/>
  <c r="I28" i="57" s="1"/>
  <c r="B67" i="56" l="1"/>
  <c r="B60" i="56"/>
  <c r="B53" i="56"/>
  <c r="B46" i="56"/>
  <c r="B39" i="56"/>
  <c r="B32" i="56"/>
  <c r="B25" i="56"/>
  <c r="E19" i="56"/>
  <c r="G13" i="56"/>
  <c r="F13" i="56"/>
  <c r="B67" i="55"/>
  <c r="B60" i="55"/>
  <c r="B53" i="55"/>
  <c r="B46" i="55"/>
  <c r="B39" i="55"/>
  <c r="B32" i="55"/>
  <c r="B25" i="55"/>
  <c r="E19" i="55"/>
  <c r="G13" i="55"/>
  <c r="F13" i="55"/>
  <c r="B67" i="54"/>
  <c r="B60" i="54"/>
  <c r="B53" i="54"/>
  <c r="B46" i="54"/>
  <c r="B39" i="54"/>
  <c r="B32" i="54"/>
  <c r="B25" i="54"/>
  <c r="E19" i="54"/>
  <c r="G13" i="54"/>
  <c r="F13" i="54"/>
  <c r="B67" i="53"/>
  <c r="B60" i="53"/>
  <c r="B53" i="53"/>
  <c r="B46" i="53"/>
  <c r="B39" i="53"/>
  <c r="B32" i="53"/>
  <c r="B25" i="53"/>
  <c r="E19" i="53"/>
  <c r="G13" i="53"/>
  <c r="F13" i="53"/>
  <c r="D16" i="56"/>
  <c r="D16" i="55"/>
  <c r="D16" i="54"/>
  <c r="D16" i="53"/>
  <c r="F67" i="56" l="1"/>
  <c r="I60" i="56"/>
  <c r="E60" i="56"/>
  <c r="H53" i="56"/>
  <c r="G46" i="56"/>
  <c r="F39" i="56"/>
  <c r="I32" i="56"/>
  <c r="E32" i="56"/>
  <c r="H25" i="56"/>
  <c r="I67" i="56"/>
  <c r="E67" i="56"/>
  <c r="H60" i="56"/>
  <c r="G53" i="56"/>
  <c r="F46" i="56"/>
  <c r="I39" i="56"/>
  <c r="E39" i="56"/>
  <c r="H32" i="56"/>
  <c r="G25" i="56"/>
  <c r="H67" i="56"/>
  <c r="G60" i="56"/>
  <c r="F53" i="56"/>
  <c r="I46" i="56"/>
  <c r="E46" i="56"/>
  <c r="H39" i="56"/>
  <c r="G32" i="56"/>
  <c r="F25" i="56"/>
  <c r="G67" i="56"/>
  <c r="F60" i="56"/>
  <c r="I53" i="56"/>
  <c r="E53" i="56"/>
  <c r="H46" i="56"/>
  <c r="G39" i="56"/>
  <c r="F32" i="56"/>
  <c r="I25" i="56"/>
  <c r="E25" i="56"/>
  <c r="F67" i="55"/>
  <c r="I60" i="55"/>
  <c r="E60" i="55"/>
  <c r="H53" i="55"/>
  <c r="G46" i="55"/>
  <c r="F39" i="55"/>
  <c r="I32" i="55"/>
  <c r="E32" i="55"/>
  <c r="H25" i="55"/>
  <c r="I53" i="55"/>
  <c r="H46" i="55"/>
  <c r="E25" i="55"/>
  <c r="I67" i="55"/>
  <c r="E67" i="55"/>
  <c r="H60" i="55"/>
  <c r="G53" i="55"/>
  <c r="F46" i="55"/>
  <c r="I39" i="55"/>
  <c r="E39" i="55"/>
  <c r="H32" i="55"/>
  <c r="G25" i="55"/>
  <c r="G60" i="55"/>
  <c r="F53" i="55"/>
  <c r="E46" i="55"/>
  <c r="G32" i="55"/>
  <c r="F25" i="55"/>
  <c r="H67" i="55"/>
  <c r="I46" i="55"/>
  <c r="H39" i="55"/>
  <c r="G67" i="55"/>
  <c r="F60" i="55"/>
  <c r="E53" i="55"/>
  <c r="G39" i="55"/>
  <c r="F32" i="55"/>
  <c r="I25" i="55"/>
  <c r="F67" i="54"/>
  <c r="I60" i="54"/>
  <c r="E60" i="54"/>
  <c r="H53" i="54"/>
  <c r="G46" i="54"/>
  <c r="F39" i="54"/>
  <c r="I32" i="54"/>
  <c r="E32" i="54"/>
  <c r="H25" i="54"/>
  <c r="H67" i="54"/>
  <c r="G60" i="54"/>
  <c r="I46" i="54"/>
  <c r="I67" i="54"/>
  <c r="E67" i="54"/>
  <c r="H60" i="54"/>
  <c r="G53" i="54"/>
  <c r="F46" i="54"/>
  <c r="I39" i="54"/>
  <c r="E39" i="54"/>
  <c r="H32" i="54"/>
  <c r="G25" i="54"/>
  <c r="F53" i="54"/>
  <c r="E46" i="54"/>
  <c r="H39" i="54"/>
  <c r="G32" i="54"/>
  <c r="F25" i="54"/>
  <c r="G67" i="54"/>
  <c r="E25" i="54"/>
  <c r="I53" i="54"/>
  <c r="G39" i="54"/>
  <c r="F60" i="54"/>
  <c r="E53" i="54"/>
  <c r="H46" i="54"/>
  <c r="F32" i="54"/>
  <c r="I25" i="54"/>
  <c r="G67" i="53"/>
  <c r="G60" i="53"/>
  <c r="G53" i="53"/>
  <c r="G46" i="53"/>
  <c r="G39" i="53"/>
  <c r="G32" i="53"/>
  <c r="G25" i="53"/>
  <c r="H67" i="53"/>
  <c r="F67" i="53"/>
  <c r="F60" i="53"/>
  <c r="F53" i="53"/>
  <c r="F46" i="53"/>
  <c r="F39" i="53"/>
  <c r="F32" i="53"/>
  <c r="F25" i="53"/>
  <c r="I67" i="53"/>
  <c r="E67" i="53"/>
  <c r="I60" i="53"/>
  <c r="E60" i="53"/>
  <c r="I53" i="53"/>
  <c r="E53" i="53"/>
  <c r="I46" i="53"/>
  <c r="E46" i="53"/>
  <c r="I39" i="53"/>
  <c r="E39" i="53"/>
  <c r="I32" i="53"/>
  <c r="E32" i="53"/>
  <c r="I25" i="53"/>
  <c r="E25" i="53"/>
  <c r="H60" i="53"/>
  <c r="H53" i="53"/>
  <c r="H46" i="53"/>
  <c r="H39" i="53"/>
  <c r="H32" i="53"/>
  <c r="H25" i="53"/>
  <c r="I30" i="52"/>
  <c r="H30" i="52"/>
  <c r="G30" i="52"/>
  <c r="F30" i="52"/>
  <c r="E30" i="52"/>
  <c r="I25" i="52"/>
  <c r="I27" i="52" s="1"/>
  <c r="H25" i="52"/>
  <c r="G25" i="52"/>
  <c r="F25" i="52"/>
  <c r="F27" i="52" s="1"/>
  <c r="E25" i="52"/>
  <c r="E27" i="52" s="1"/>
  <c r="E19" i="52"/>
  <c r="G13" i="52"/>
  <c r="J13" i="52" s="1"/>
  <c r="F13" i="52"/>
  <c r="I13" i="52" s="1"/>
  <c r="B73" i="51"/>
  <c r="B65" i="51"/>
  <c r="B57" i="51"/>
  <c r="B49" i="51"/>
  <c r="B41" i="51"/>
  <c r="B33" i="51"/>
  <c r="B25" i="51"/>
  <c r="E19" i="51"/>
  <c r="G13" i="51"/>
  <c r="F13" i="51"/>
  <c r="G26" i="52"/>
  <c r="F26" i="52"/>
  <c r="F31" i="52"/>
  <c r="G28" i="52"/>
  <c r="I28" i="52"/>
  <c r="E28" i="52"/>
  <c r="E31" i="52"/>
  <c r="H28" i="52"/>
  <c r="H31" i="52"/>
  <c r="F33" i="52"/>
  <c r="G31" i="52"/>
  <c r="G33" i="52"/>
  <c r="D16" i="51"/>
  <c r="I31" i="52"/>
  <c r="E33" i="52"/>
  <c r="H33" i="52"/>
  <c r="I33" i="52"/>
  <c r="M12" i="52"/>
  <c r="E69" i="56" l="1"/>
  <c r="F62" i="56"/>
  <c r="G62" i="56"/>
  <c r="H62" i="56"/>
  <c r="H55" i="56"/>
  <c r="H48" i="56"/>
  <c r="E48" i="56"/>
  <c r="I41" i="56"/>
  <c r="E62" i="56"/>
  <c r="I27" i="56"/>
  <c r="E55" i="56"/>
  <c r="F27" i="56"/>
  <c r="I48" i="56"/>
  <c r="G27" i="56"/>
  <c r="F48" i="56"/>
  <c r="I69" i="56"/>
  <c r="F41" i="56"/>
  <c r="I62" i="56"/>
  <c r="G41" i="56"/>
  <c r="H41" i="56"/>
  <c r="E41" i="56"/>
  <c r="E34" i="56"/>
  <c r="E27" i="56"/>
  <c r="G69" i="56"/>
  <c r="H69" i="56"/>
  <c r="I34" i="56"/>
  <c r="F34" i="56"/>
  <c r="I55" i="56"/>
  <c r="G34" i="56"/>
  <c r="F55" i="56"/>
  <c r="H34" i="56"/>
  <c r="G55" i="56"/>
  <c r="H27" i="56"/>
  <c r="G48" i="56"/>
  <c r="F69" i="56"/>
  <c r="E55" i="55"/>
  <c r="E48" i="55"/>
  <c r="E34" i="55"/>
  <c r="I48" i="55"/>
  <c r="H34" i="55"/>
  <c r="G55" i="55"/>
  <c r="E27" i="55"/>
  <c r="H55" i="55"/>
  <c r="I27" i="55"/>
  <c r="F62" i="55"/>
  <c r="H69" i="55"/>
  <c r="F55" i="55"/>
  <c r="E41" i="55"/>
  <c r="H62" i="55"/>
  <c r="H48" i="55"/>
  <c r="I34" i="55"/>
  <c r="E62" i="55"/>
  <c r="F34" i="55"/>
  <c r="G69" i="55"/>
  <c r="F27" i="55"/>
  <c r="G62" i="55"/>
  <c r="I41" i="55"/>
  <c r="E69" i="55"/>
  <c r="I55" i="55"/>
  <c r="F41" i="55"/>
  <c r="I62" i="55"/>
  <c r="G41" i="55"/>
  <c r="H41" i="55"/>
  <c r="G34" i="55"/>
  <c r="G27" i="55"/>
  <c r="F48" i="55"/>
  <c r="I69" i="55"/>
  <c r="H27" i="55"/>
  <c r="G48" i="55"/>
  <c r="F69" i="55"/>
  <c r="E27" i="54"/>
  <c r="H34" i="54"/>
  <c r="I48" i="54"/>
  <c r="H55" i="54"/>
  <c r="I27" i="54"/>
  <c r="G69" i="54"/>
  <c r="E41" i="54"/>
  <c r="G62" i="54"/>
  <c r="E62" i="54"/>
  <c r="F34" i="54"/>
  <c r="G41" i="54"/>
  <c r="F27" i="54"/>
  <c r="F55" i="54"/>
  <c r="I41" i="54"/>
  <c r="E69" i="54"/>
  <c r="H69" i="54"/>
  <c r="F41" i="54"/>
  <c r="I62" i="54"/>
  <c r="E55" i="54"/>
  <c r="H41" i="54"/>
  <c r="G55" i="54"/>
  <c r="E34" i="54"/>
  <c r="F62" i="54"/>
  <c r="E48" i="54"/>
  <c r="H62" i="54"/>
  <c r="I34" i="54"/>
  <c r="H48" i="54"/>
  <c r="I55" i="54"/>
  <c r="G34" i="54"/>
  <c r="G27" i="54"/>
  <c r="F48" i="54"/>
  <c r="I69" i="54"/>
  <c r="H27" i="54"/>
  <c r="G48" i="54"/>
  <c r="F69" i="54"/>
  <c r="H48" i="53"/>
  <c r="I27" i="53"/>
  <c r="I41" i="53"/>
  <c r="I55" i="53"/>
  <c r="I69" i="53"/>
  <c r="F48" i="53"/>
  <c r="H69" i="53"/>
  <c r="G48" i="53"/>
  <c r="H27" i="53"/>
  <c r="H55" i="53"/>
  <c r="E34" i="53"/>
  <c r="E48" i="53"/>
  <c r="E62" i="53"/>
  <c r="F27" i="53"/>
  <c r="F55" i="53"/>
  <c r="G27" i="53"/>
  <c r="G55" i="53"/>
  <c r="H34" i="53"/>
  <c r="H62" i="53"/>
  <c r="I34" i="53"/>
  <c r="I48" i="53"/>
  <c r="I62" i="53"/>
  <c r="F34" i="53"/>
  <c r="F62" i="53"/>
  <c r="G34" i="53"/>
  <c r="G62" i="53"/>
  <c r="H41" i="53"/>
  <c r="E27" i="53"/>
  <c r="E41" i="53"/>
  <c r="E55" i="53"/>
  <c r="E69" i="53"/>
  <c r="F41" i="53"/>
  <c r="F69" i="53"/>
  <c r="G41" i="53"/>
  <c r="G69" i="53"/>
  <c r="G27" i="52"/>
  <c r="G29" i="52" s="1"/>
  <c r="G32" i="52" s="1"/>
  <c r="H27" i="52"/>
  <c r="E25" i="51"/>
  <c r="G73" i="51"/>
  <c r="G65" i="51"/>
  <c r="G57" i="51"/>
  <c r="G49" i="51"/>
  <c r="G41" i="51"/>
  <c r="G33" i="51"/>
  <c r="G25" i="51"/>
  <c r="H65" i="51"/>
  <c r="H57" i="51"/>
  <c r="F73" i="51"/>
  <c r="F65" i="51"/>
  <c r="F57" i="51"/>
  <c r="F49" i="51"/>
  <c r="F41" i="51"/>
  <c r="F33" i="51"/>
  <c r="F25" i="51"/>
  <c r="I73" i="51"/>
  <c r="E73" i="51"/>
  <c r="I65" i="51"/>
  <c r="E65" i="51"/>
  <c r="I57" i="51"/>
  <c r="E57" i="51"/>
  <c r="I49" i="51"/>
  <c r="E49" i="51"/>
  <c r="I41" i="51"/>
  <c r="E41" i="51"/>
  <c r="I33" i="51"/>
  <c r="E33" i="51"/>
  <c r="I25" i="51"/>
  <c r="H73" i="51"/>
  <c r="H49" i="51"/>
  <c r="H41" i="51"/>
  <c r="H33" i="51"/>
  <c r="H25" i="51"/>
  <c r="E51" i="51" l="1"/>
  <c r="F27" i="51"/>
  <c r="H67" i="51"/>
  <c r="H27" i="51"/>
  <c r="I35" i="51"/>
  <c r="I67" i="51"/>
  <c r="F67" i="51"/>
  <c r="G59" i="51"/>
  <c r="E27" i="51"/>
  <c r="E59" i="51"/>
  <c r="F75" i="51"/>
  <c r="H51" i="51"/>
  <c r="E35" i="51"/>
  <c r="E67" i="51"/>
  <c r="F59" i="51"/>
  <c r="G51" i="51"/>
  <c r="H75" i="51"/>
  <c r="I51" i="51"/>
  <c r="F35" i="51"/>
  <c r="G27" i="51"/>
  <c r="H35" i="51"/>
  <c r="E43" i="51"/>
  <c r="E75" i="51"/>
  <c r="F43" i="51"/>
  <c r="G35" i="51"/>
  <c r="G67" i="51"/>
  <c r="H43" i="51"/>
  <c r="I27" i="51"/>
  <c r="I43" i="51"/>
  <c r="I59" i="51"/>
  <c r="I75" i="51"/>
  <c r="F51" i="51"/>
  <c r="H59" i="51"/>
  <c r="G43" i="51"/>
  <c r="G75" i="51"/>
  <c r="I30" i="50"/>
  <c r="H30" i="50"/>
  <c r="G30" i="50"/>
  <c r="F30" i="50"/>
  <c r="E30" i="50"/>
  <c r="I25" i="50"/>
  <c r="H25" i="50"/>
  <c r="G25" i="50"/>
  <c r="F25" i="50"/>
  <c r="E25" i="50"/>
  <c r="H26" i="52"/>
  <c r="F33" i="56"/>
  <c r="F61" i="56"/>
  <c r="I26" i="56"/>
  <c r="I33" i="56"/>
  <c r="G54" i="56"/>
  <c r="I54" i="56"/>
  <c r="G26" i="56"/>
  <c r="E47" i="55"/>
  <c r="H26" i="55"/>
  <c r="G61" i="55"/>
  <c r="I68" i="55"/>
  <c r="E33" i="55"/>
  <c r="I26" i="55"/>
  <c r="E61" i="55"/>
  <c r="E68" i="55"/>
  <c r="F47" i="55"/>
  <c r="I47" i="55"/>
  <c r="H68" i="55"/>
  <c r="I54" i="55"/>
  <c r="G54" i="54"/>
  <c r="E61" i="54"/>
  <c r="G40" i="54"/>
  <c r="I68" i="54"/>
  <c r="G61" i="54"/>
  <c r="H40" i="54"/>
  <c r="H26" i="54"/>
  <c r="H47" i="54"/>
  <c r="F47" i="53"/>
  <c r="F26" i="53"/>
  <c r="F33" i="53"/>
  <c r="F68" i="53"/>
  <c r="H54" i="53"/>
  <c r="I54" i="53"/>
  <c r="I33" i="53"/>
  <c r="E68" i="53"/>
  <c r="E47" i="53"/>
  <c r="H61" i="53"/>
  <c r="G61" i="53"/>
  <c r="E47" i="54"/>
  <c r="G68" i="54"/>
  <c r="I33" i="54"/>
  <c r="F54" i="53"/>
  <c r="I47" i="53"/>
  <c r="G40" i="53"/>
  <c r="H40" i="53"/>
  <c r="I26" i="52"/>
  <c r="F68" i="56"/>
  <c r="I40" i="56"/>
  <c r="H68" i="56"/>
  <c r="F26" i="56"/>
  <c r="H47" i="55"/>
  <c r="F33" i="55"/>
  <c r="E54" i="55"/>
  <c r="E54" i="54"/>
  <c r="E40" i="54"/>
  <c r="F47" i="54"/>
  <c r="E26" i="54"/>
  <c r="E33" i="54"/>
  <c r="I26" i="54"/>
  <c r="F40" i="53"/>
  <c r="I40" i="53"/>
  <c r="E33" i="53"/>
  <c r="H33" i="53"/>
  <c r="E68" i="56"/>
  <c r="G40" i="56"/>
  <c r="F54" i="56"/>
  <c r="G61" i="56"/>
  <c r="H61" i="56"/>
  <c r="I47" i="56"/>
  <c r="E33" i="56"/>
  <c r="G47" i="56"/>
  <c r="E61" i="56"/>
  <c r="F47" i="56"/>
  <c r="H40" i="56"/>
  <c r="H33" i="55"/>
  <c r="E40" i="55"/>
  <c r="G68" i="55"/>
  <c r="G40" i="55"/>
  <c r="F68" i="55"/>
  <c r="F61" i="55"/>
  <c r="F54" i="55"/>
  <c r="G54" i="55"/>
  <c r="I61" i="55"/>
  <c r="F33" i="54"/>
  <c r="F26" i="54"/>
  <c r="H33" i="54"/>
  <c r="I40" i="54"/>
  <c r="G26" i="54"/>
  <c r="I61" i="54"/>
  <c r="I47" i="54"/>
  <c r="F61" i="53"/>
  <c r="G68" i="53"/>
  <c r="E61" i="53"/>
  <c r="E26" i="53"/>
  <c r="H68" i="53"/>
  <c r="I61" i="53"/>
  <c r="G26" i="53"/>
  <c r="E26" i="56"/>
  <c r="G68" i="56"/>
  <c r="F40" i="56"/>
  <c r="G33" i="55"/>
  <c r="I33" i="55"/>
  <c r="F40" i="54"/>
  <c r="H47" i="53"/>
  <c r="E26" i="52"/>
  <c r="E54" i="56"/>
  <c r="E40" i="56"/>
  <c r="E47" i="56"/>
  <c r="H47" i="56"/>
  <c r="I68" i="56"/>
  <c r="G33" i="56"/>
  <c r="H33" i="56"/>
  <c r="H26" i="56"/>
  <c r="E26" i="55"/>
  <c r="G47" i="55"/>
  <c r="F26" i="55"/>
  <c r="H54" i="55"/>
  <c r="H61" i="55"/>
  <c r="I40" i="55"/>
  <c r="H40" i="55"/>
  <c r="F61" i="54"/>
  <c r="F68" i="54"/>
  <c r="E68" i="54"/>
  <c r="I54" i="54"/>
  <c r="G47" i="54"/>
  <c r="H54" i="54"/>
  <c r="E54" i="53"/>
  <c r="I26" i="53"/>
  <c r="G47" i="53"/>
  <c r="E40" i="53"/>
  <c r="I61" i="56"/>
  <c r="H54" i="56"/>
  <c r="F40" i="55"/>
  <c r="G26" i="55"/>
  <c r="H61" i="54"/>
  <c r="H68" i="54"/>
  <c r="F54" i="54"/>
  <c r="G33" i="54"/>
  <c r="G54" i="53"/>
  <c r="I68" i="53"/>
  <c r="H26" i="53"/>
  <c r="G33" i="53"/>
  <c r="F26" i="50"/>
  <c r="F26" i="51"/>
  <c r="I58" i="51"/>
  <c r="H42" i="51"/>
  <c r="I66" i="51"/>
  <c r="E58" i="51"/>
  <c r="G50" i="51"/>
  <c r="E42" i="51"/>
  <c r="I74" i="51"/>
  <c r="H26" i="51"/>
  <c r="H34" i="51"/>
  <c r="H58" i="51"/>
  <c r="G58" i="51"/>
  <c r="G66" i="51"/>
  <c r="G74" i="51"/>
  <c r="E26" i="50"/>
  <c r="F74" i="51"/>
  <c r="F42" i="51"/>
  <c r="F50" i="51"/>
  <c r="I50" i="51"/>
  <c r="E74" i="51"/>
  <c r="I26" i="51"/>
  <c r="G26" i="51"/>
  <c r="F34" i="51"/>
  <c r="E50" i="51"/>
  <c r="E66" i="51"/>
  <c r="H66" i="51"/>
  <c r="E34" i="51"/>
  <c r="I42" i="51"/>
  <c r="H74" i="51"/>
  <c r="H50" i="51"/>
  <c r="I26" i="50"/>
  <c r="F58" i="51"/>
  <c r="E26" i="51"/>
  <c r="H26" i="50"/>
  <c r="G42" i="51"/>
  <c r="G26" i="50"/>
  <c r="F66" i="51"/>
  <c r="I34" i="51"/>
  <c r="G34" i="51"/>
  <c r="F46" i="51"/>
  <c r="H78" i="51"/>
  <c r="F42" i="56"/>
  <c r="I49" i="56"/>
  <c r="I35" i="54"/>
  <c r="H63" i="54"/>
  <c r="E70" i="53"/>
  <c r="G63" i="53"/>
  <c r="F70" i="53"/>
  <c r="H28" i="54"/>
  <c r="H49" i="55"/>
  <c r="G62" i="51"/>
  <c r="I70" i="51"/>
  <c r="F28" i="52"/>
  <c r="F28" i="56"/>
  <c r="E28" i="54"/>
  <c r="I30" i="51"/>
  <c r="H49" i="53"/>
  <c r="G54" i="51"/>
  <c r="E70" i="51"/>
  <c r="H28" i="56"/>
  <c r="I63" i="56"/>
  <c r="E28" i="56"/>
  <c r="H63" i="55"/>
  <c r="I35" i="55"/>
  <c r="E42" i="55"/>
  <c r="H35" i="54"/>
  <c r="F70" i="54"/>
  <c r="H70" i="54"/>
  <c r="H42" i="53"/>
  <c r="G70" i="53"/>
  <c r="I56" i="53"/>
  <c r="F54" i="51"/>
  <c r="I28" i="56"/>
  <c r="H70" i="56"/>
  <c r="E28" i="55"/>
  <c r="E28" i="53"/>
  <c r="G42" i="53"/>
  <c r="H31" i="50"/>
  <c r="G61" i="51"/>
  <c r="G77" i="51"/>
  <c r="E28" i="51"/>
  <c r="H45" i="51"/>
  <c r="I34" i="50"/>
  <c r="H76" i="51"/>
  <c r="E61" i="51"/>
  <c r="H37" i="51"/>
  <c r="H53" i="51"/>
  <c r="F53" i="51"/>
  <c r="E53" i="51"/>
  <c r="G34" i="52"/>
  <c r="H34" i="50"/>
  <c r="G37" i="51"/>
  <c r="F45" i="51"/>
  <c r="I76" i="51"/>
  <c r="F37" i="51"/>
  <c r="E29" i="51"/>
  <c r="G29" i="51"/>
  <c r="F28" i="51"/>
  <c r="I77" i="51"/>
  <c r="I37" i="51"/>
  <c r="G45" i="51"/>
  <c r="F36" i="51"/>
  <c r="I60" i="51"/>
  <c r="E56" i="54"/>
  <c r="E49" i="53"/>
  <c r="F28" i="53"/>
  <c r="H56" i="53"/>
  <c r="I38" i="51"/>
  <c r="I56" i="56"/>
  <c r="G42" i="55"/>
  <c r="E35" i="54"/>
  <c r="G35" i="53"/>
  <c r="E38" i="51"/>
  <c r="H35" i="56"/>
  <c r="I35" i="56"/>
  <c r="G56" i="54"/>
  <c r="H28" i="53"/>
  <c r="I63" i="53"/>
  <c r="E42" i="53"/>
  <c r="G63" i="54"/>
  <c r="H36" i="51"/>
  <c r="H68" i="51"/>
  <c r="F52" i="51"/>
  <c r="F61" i="51"/>
  <c r="E31" i="50"/>
  <c r="G60" i="51"/>
  <c r="I45" i="51"/>
  <c r="F44" i="51"/>
  <c r="F77" i="51"/>
  <c r="F78" i="51"/>
  <c r="F49" i="56"/>
  <c r="I42" i="56"/>
  <c r="I63" i="55"/>
  <c r="F35" i="55"/>
  <c r="I70" i="54"/>
  <c r="I70" i="53"/>
  <c r="F38" i="51"/>
  <c r="I49" i="55"/>
  <c r="G28" i="54"/>
  <c r="E30" i="51"/>
  <c r="H46" i="51"/>
  <c r="I70" i="56"/>
  <c r="E49" i="55"/>
  <c r="F70" i="55"/>
  <c r="E70" i="54"/>
  <c r="F35" i="53"/>
  <c r="G28" i="56"/>
  <c r="G70" i="51"/>
  <c r="E78" i="51"/>
  <c r="H30" i="51"/>
  <c r="H49" i="56"/>
  <c r="G42" i="56"/>
  <c r="H70" i="55"/>
  <c r="H56" i="55"/>
  <c r="G49" i="55"/>
  <c r="E49" i="54"/>
  <c r="F35" i="54"/>
  <c r="I28" i="53"/>
  <c r="F63" i="54"/>
  <c r="G56" i="53"/>
  <c r="G78" i="51"/>
  <c r="H56" i="56"/>
  <c r="F63" i="56"/>
  <c r="F49" i="55"/>
  <c r="E35" i="55"/>
  <c r="E42" i="54"/>
  <c r="G30" i="51"/>
  <c r="I54" i="51"/>
  <c r="G49" i="56"/>
  <c r="G35" i="56"/>
  <c r="I56" i="55"/>
  <c r="G70" i="55"/>
  <c r="F56" i="55"/>
  <c r="G42" i="54"/>
  <c r="I28" i="55"/>
  <c r="I49" i="54"/>
  <c r="H70" i="51"/>
  <c r="E54" i="51"/>
  <c r="G63" i="56"/>
  <c r="G70" i="56"/>
  <c r="H63" i="56"/>
  <c r="I42" i="55"/>
  <c r="F42" i="55"/>
  <c r="I42" i="54"/>
  <c r="E63" i="54"/>
  <c r="F56" i="54"/>
  <c r="G49" i="54"/>
  <c r="G28" i="53"/>
  <c r="G49" i="53"/>
  <c r="I35" i="53"/>
  <c r="I46" i="51"/>
  <c r="E56" i="55"/>
  <c r="G35" i="55"/>
  <c r="G35" i="54"/>
  <c r="E35" i="53"/>
  <c r="G53" i="51"/>
  <c r="F68" i="51"/>
  <c r="I52" i="51"/>
  <c r="E45" i="51"/>
  <c r="I44" i="51"/>
  <c r="I69" i="51"/>
  <c r="E60" i="51"/>
  <c r="G31" i="50"/>
  <c r="H28" i="51"/>
  <c r="H60" i="51"/>
  <c r="H69" i="51"/>
  <c r="G36" i="51"/>
  <c r="E44" i="51"/>
  <c r="G52" i="51"/>
  <c r="I68" i="51"/>
  <c r="G28" i="51"/>
  <c r="H61" i="51"/>
  <c r="I36" i="51"/>
  <c r="G38" i="51"/>
  <c r="E62" i="51"/>
  <c r="G56" i="56"/>
  <c r="E42" i="56"/>
  <c r="F35" i="56"/>
  <c r="E63" i="55"/>
  <c r="I28" i="54"/>
  <c r="H56" i="54"/>
  <c r="F49" i="53"/>
  <c r="E63" i="53"/>
  <c r="F28" i="54"/>
  <c r="I49" i="53"/>
  <c r="I78" i="51"/>
  <c r="E70" i="55"/>
  <c r="E56" i="53"/>
  <c r="F70" i="51"/>
  <c r="E63" i="56"/>
  <c r="E35" i="56"/>
  <c r="H42" i="56"/>
  <c r="H28" i="55"/>
  <c r="F28" i="55"/>
  <c r="E70" i="56"/>
  <c r="I63" i="54"/>
  <c r="F62" i="51"/>
  <c r="E56" i="56"/>
  <c r="G28" i="55"/>
  <c r="H42" i="55"/>
  <c r="G70" i="54"/>
  <c r="H49" i="54"/>
  <c r="F63" i="53"/>
  <c r="F56" i="53"/>
  <c r="H38" i="51"/>
  <c r="F56" i="56"/>
  <c r="F63" i="55"/>
  <c r="H42" i="54"/>
  <c r="E34" i="50"/>
  <c r="I53" i="51"/>
  <c r="G34" i="50"/>
  <c r="F29" i="51"/>
  <c r="H52" i="51"/>
  <c r="E69" i="51"/>
  <c r="I61" i="51"/>
  <c r="G69" i="51"/>
  <c r="F31" i="50"/>
  <c r="E46" i="51"/>
  <c r="E49" i="56"/>
  <c r="F42" i="54"/>
  <c r="H70" i="53"/>
  <c r="I42" i="53"/>
  <c r="I62" i="51"/>
  <c r="F70" i="56"/>
  <c r="H54" i="51"/>
  <c r="I70" i="55"/>
  <c r="F49" i="54"/>
  <c r="H62" i="51"/>
  <c r="G63" i="55"/>
  <c r="F30" i="51"/>
  <c r="H35" i="55"/>
  <c r="I56" i="54"/>
  <c r="H35" i="53"/>
  <c r="G46" i="51"/>
  <c r="H63" i="53"/>
  <c r="H44" i="51"/>
  <c r="F69" i="51"/>
  <c r="E77" i="51"/>
  <c r="E76" i="51"/>
  <c r="E68" i="51"/>
  <c r="I29" i="51"/>
  <c r="F60" i="51"/>
  <c r="G44" i="51"/>
  <c r="E36" i="51"/>
  <c r="E52" i="51"/>
  <c r="F76" i="51"/>
  <c r="F42" i="53"/>
  <c r="F34" i="50"/>
  <c r="H29" i="51"/>
  <c r="G56" i="55"/>
  <c r="E37" i="51"/>
  <c r="H77" i="51"/>
  <c r="I28" i="51"/>
  <c r="G68" i="51"/>
  <c r="I31" i="50"/>
  <c r="G76" i="51"/>
  <c r="M12" i="50"/>
  <c r="E29" i="52" l="1"/>
  <c r="E32" i="52" s="1"/>
  <c r="F29" i="52"/>
  <c r="F32" i="52" s="1"/>
  <c r="I29" i="52"/>
  <c r="I32" i="52" s="1"/>
  <c r="H29" i="52"/>
  <c r="H32" i="52" s="1"/>
  <c r="E19" i="50"/>
  <c r="G13" i="50"/>
  <c r="J13" i="50" s="1"/>
  <c r="F13" i="50"/>
  <c r="I13" i="50" s="1"/>
  <c r="B67" i="49"/>
  <c r="B60" i="49"/>
  <c r="B53" i="49"/>
  <c r="B46" i="49"/>
  <c r="B39" i="49"/>
  <c r="B32" i="49"/>
  <c r="B25" i="49"/>
  <c r="E32" i="51"/>
  <c r="E55" i="51"/>
  <c r="F80" i="51"/>
  <c r="E47" i="51"/>
  <c r="H31" i="53"/>
  <c r="F44" i="55"/>
  <c r="G51" i="54"/>
  <c r="H58" i="55"/>
  <c r="H52" i="56"/>
  <c r="G37" i="55"/>
  <c r="E65" i="53"/>
  <c r="F30" i="54"/>
  <c r="G73" i="55"/>
  <c r="I51" i="56"/>
  <c r="I45" i="53"/>
  <c r="E59" i="55"/>
  <c r="H44" i="53"/>
  <c r="H65" i="53"/>
  <c r="F30" i="53"/>
  <c r="E66" i="54"/>
  <c r="I31" i="55"/>
  <c r="E30" i="54"/>
  <c r="G66" i="54"/>
  <c r="G40" i="51"/>
  <c r="I47" i="51"/>
  <c r="E80" i="51"/>
  <c r="H63" i="51"/>
  <c r="H48" i="51"/>
  <c r="F58" i="54"/>
  <c r="G52" i="53"/>
  <c r="F66" i="54"/>
  <c r="H30" i="56"/>
  <c r="H52" i="53"/>
  <c r="I65" i="53"/>
  <c r="G31" i="54"/>
  <c r="F66" i="55"/>
  <c r="E65" i="56"/>
  <c r="I30" i="54"/>
  <c r="F37" i="53"/>
  <c r="I40" i="51"/>
  <c r="E40" i="51"/>
  <c r="I56" i="51"/>
  <c r="H40" i="51"/>
  <c r="I63" i="51"/>
  <c r="H72" i="54"/>
  <c r="I31" i="53"/>
  <c r="H45" i="55"/>
  <c r="H37" i="56"/>
  <c r="H51" i="53"/>
  <c r="I66" i="53"/>
  <c r="G30" i="54"/>
  <c r="F65" i="55"/>
  <c r="E66" i="56"/>
  <c r="E73" i="56"/>
  <c r="F51" i="54"/>
  <c r="I45" i="56"/>
  <c r="G73" i="54"/>
  <c r="H58" i="53"/>
  <c r="G65" i="54"/>
  <c r="F51" i="55"/>
  <c r="E52" i="55"/>
  <c r="H30" i="55"/>
  <c r="F58" i="53"/>
  <c r="E37" i="55"/>
  <c r="F64" i="51"/>
  <c r="F39" i="51"/>
  <c r="G80" i="51"/>
  <c r="G55" i="51"/>
  <c r="I73" i="53"/>
  <c r="H58" i="56"/>
  <c r="I59" i="54"/>
  <c r="F31" i="55"/>
  <c r="E52" i="56"/>
  <c r="G72" i="56"/>
  <c r="F66" i="53"/>
  <c r="I66" i="55"/>
  <c r="H37" i="55"/>
  <c r="G65" i="56"/>
  <c r="F45" i="53"/>
  <c r="F38" i="55"/>
  <c r="I52" i="53"/>
  <c r="E72" i="53"/>
  <c r="H52" i="54"/>
  <c r="I58" i="55"/>
  <c r="I73" i="55"/>
  <c r="I31" i="56"/>
  <c r="G36" i="52"/>
  <c r="E51" i="53"/>
  <c r="I37" i="56"/>
  <c r="H55" i="51"/>
  <c r="G31" i="51"/>
  <c r="G71" i="51"/>
  <c r="E64" i="51"/>
  <c r="G58" i="53"/>
  <c r="I66" i="56"/>
  <c r="E73" i="54"/>
  <c r="G51" i="55"/>
  <c r="E45" i="56"/>
  <c r="G73" i="56"/>
  <c r="F65" i="53"/>
  <c r="I65" i="55"/>
  <c r="H38" i="55"/>
  <c r="G66" i="56"/>
  <c r="I31" i="54"/>
  <c r="H51" i="55"/>
  <c r="I51" i="53"/>
  <c r="E73" i="53"/>
  <c r="H51" i="54"/>
  <c r="I59" i="55"/>
  <c r="I72" i="55"/>
  <c r="F73" i="56"/>
  <c r="E66" i="55"/>
  <c r="F72" i="51"/>
  <c r="H72" i="51"/>
  <c r="F55" i="51"/>
  <c r="H32" i="51"/>
  <c r="F32" i="51"/>
  <c r="H66" i="54"/>
  <c r="E58" i="53"/>
  <c r="I44" i="55"/>
  <c r="G37" i="56"/>
  <c r="I37" i="55"/>
  <c r="E30" i="53"/>
  <c r="H38" i="54"/>
  <c r="G45" i="55"/>
  <c r="E38" i="56"/>
  <c r="E44" i="54"/>
  <c r="G39" i="51"/>
  <c r="E79" i="51"/>
  <c r="H47" i="51"/>
  <c r="G51" i="53"/>
  <c r="H31" i="56"/>
  <c r="G30" i="53"/>
  <c r="F59" i="55"/>
  <c r="G44" i="56"/>
  <c r="H73" i="56"/>
  <c r="I59" i="53"/>
  <c r="I52" i="55"/>
  <c r="G66" i="53"/>
  <c r="E31" i="51"/>
  <c r="F79" i="51"/>
  <c r="H30" i="53"/>
  <c r="G52" i="54"/>
  <c r="H51" i="56"/>
  <c r="G72" i="53"/>
  <c r="E45" i="55"/>
  <c r="H72" i="56"/>
  <c r="I59" i="56"/>
  <c r="E72" i="51"/>
  <c r="G79" i="51"/>
  <c r="I71" i="51"/>
  <c r="G31" i="55"/>
  <c r="I58" i="54"/>
  <c r="E31" i="55"/>
  <c r="I38" i="55"/>
  <c r="G73" i="53"/>
  <c r="G58" i="55"/>
  <c r="E37" i="56"/>
  <c r="F44" i="53"/>
  <c r="F31" i="56"/>
  <c r="G65" i="53"/>
  <c r="F52" i="53"/>
  <c r="H73" i="55"/>
  <c r="I58" i="56"/>
  <c r="F59" i="56"/>
  <c r="H72" i="55"/>
  <c r="H79" i="51"/>
  <c r="I55" i="51"/>
  <c r="I79" i="51"/>
  <c r="G38" i="54"/>
  <c r="I30" i="53"/>
  <c r="H66" i="55"/>
  <c r="E59" i="56"/>
  <c r="H72" i="53"/>
  <c r="F31" i="54"/>
  <c r="F52" i="56"/>
  <c r="F34" i="52"/>
  <c r="E58" i="54"/>
  <c r="I37" i="54"/>
  <c r="F73" i="53"/>
  <c r="E65" i="54"/>
  <c r="H31" i="55"/>
  <c r="G30" i="56"/>
  <c r="G45" i="53"/>
  <c r="F71" i="51"/>
  <c r="F56" i="51"/>
  <c r="F31" i="51"/>
  <c r="E59" i="53"/>
  <c r="G38" i="56"/>
  <c r="H73" i="53"/>
  <c r="F72" i="55"/>
  <c r="H38" i="53"/>
  <c r="F72" i="56"/>
  <c r="F72" i="53"/>
  <c r="E72" i="55"/>
  <c r="H59" i="53"/>
  <c r="H56" i="51"/>
  <c r="G72" i="51"/>
  <c r="G59" i="53"/>
  <c r="E72" i="54"/>
  <c r="E44" i="56"/>
  <c r="I51" i="54"/>
  <c r="H44" i="56"/>
  <c r="G72" i="54"/>
  <c r="G47" i="51"/>
  <c r="F40" i="51"/>
  <c r="G63" i="51"/>
  <c r="G38" i="53"/>
  <c r="H59" i="56"/>
  <c r="F73" i="54"/>
  <c r="I72" i="56"/>
  <c r="F45" i="56"/>
  <c r="I52" i="54"/>
  <c r="G44" i="55"/>
  <c r="H65" i="56"/>
  <c r="E37" i="54"/>
  <c r="I34" i="52"/>
  <c r="E52" i="53"/>
  <c r="H31" i="54"/>
  <c r="E65" i="55"/>
  <c r="I38" i="56"/>
  <c r="H52" i="55"/>
  <c r="F66" i="56"/>
  <c r="E39" i="51"/>
  <c r="F48" i="51"/>
  <c r="I72" i="51"/>
  <c r="H73" i="54"/>
  <c r="H59" i="54"/>
  <c r="E30" i="55"/>
  <c r="F45" i="54"/>
  <c r="E66" i="53"/>
  <c r="F58" i="55"/>
  <c r="G52" i="56"/>
  <c r="E37" i="53"/>
  <c r="F30" i="56"/>
  <c r="E52" i="54"/>
  <c r="F31" i="53"/>
  <c r="I51" i="55"/>
  <c r="G31" i="56"/>
  <c r="I30" i="56"/>
  <c r="F51" i="53"/>
  <c r="I48" i="51"/>
  <c r="H64" i="51"/>
  <c r="F59" i="54"/>
  <c r="F65" i="54"/>
  <c r="E34" i="52"/>
  <c r="I65" i="54"/>
  <c r="F51" i="56"/>
  <c r="E31" i="54"/>
  <c r="I38" i="54"/>
  <c r="H44" i="54"/>
  <c r="G58" i="56"/>
  <c r="E51" i="55"/>
  <c r="E56" i="51"/>
  <c r="E48" i="51"/>
  <c r="F45" i="55"/>
  <c r="H59" i="55"/>
  <c r="F44" i="56"/>
  <c r="F37" i="54"/>
  <c r="H66" i="56"/>
  <c r="G45" i="54"/>
  <c r="F63" i="51"/>
  <c r="I32" i="51"/>
  <c r="I80" i="51"/>
  <c r="I72" i="53"/>
  <c r="E44" i="53"/>
  <c r="H65" i="55"/>
  <c r="E51" i="56"/>
  <c r="E30" i="56"/>
  <c r="H37" i="54"/>
  <c r="E44" i="55"/>
  <c r="F58" i="56"/>
  <c r="E59" i="54"/>
  <c r="G44" i="53"/>
  <c r="I37" i="53"/>
  <c r="G44" i="54"/>
  <c r="E38" i="55"/>
  <c r="F65" i="56"/>
  <c r="I38" i="53"/>
  <c r="I39" i="51"/>
  <c r="E71" i="51"/>
  <c r="G64" i="51"/>
  <c r="I64" i="51"/>
  <c r="G30" i="55"/>
  <c r="F72" i="54"/>
  <c r="H38" i="56"/>
  <c r="G38" i="55"/>
  <c r="I66" i="54"/>
  <c r="F73" i="55"/>
  <c r="I52" i="56"/>
  <c r="E38" i="54"/>
  <c r="I44" i="56"/>
  <c r="H66" i="53"/>
  <c r="H45" i="54"/>
  <c r="E73" i="55"/>
  <c r="G59" i="56"/>
  <c r="I44" i="53"/>
  <c r="G59" i="54"/>
  <c r="H71" i="51"/>
  <c r="H31" i="51"/>
  <c r="H65" i="54"/>
  <c r="I45" i="55"/>
  <c r="F44" i="54"/>
  <c r="I44" i="54"/>
  <c r="G51" i="56"/>
  <c r="E45" i="54"/>
  <c r="E51" i="54"/>
  <c r="I72" i="54"/>
  <c r="H37" i="53"/>
  <c r="H34" i="52"/>
  <c r="G32" i="51"/>
  <c r="E63" i="51"/>
  <c r="I65" i="56"/>
  <c r="G52" i="55"/>
  <c r="E31" i="56"/>
  <c r="G59" i="55"/>
  <c r="E72" i="56"/>
  <c r="F52" i="55"/>
  <c r="H80" i="51"/>
  <c r="F47" i="51"/>
  <c r="G56" i="51"/>
  <c r="G37" i="54"/>
  <c r="H58" i="54"/>
  <c r="F30" i="55"/>
  <c r="E58" i="56"/>
  <c r="E31" i="53"/>
  <c r="F38" i="54"/>
  <c r="H45" i="56"/>
  <c r="E38" i="53"/>
  <c r="F37" i="55"/>
  <c r="F59" i="53"/>
  <c r="F38" i="53"/>
  <c r="G58" i="54"/>
  <c r="G66" i="55"/>
  <c r="F37" i="56"/>
  <c r="H30" i="54"/>
  <c r="I31" i="51"/>
  <c r="H39" i="51"/>
  <c r="G37" i="53"/>
  <c r="E45" i="53"/>
  <c r="H44" i="55"/>
  <c r="G31" i="53"/>
  <c r="I45" i="54"/>
  <c r="G45" i="56"/>
  <c r="H45" i="53"/>
  <c r="I30" i="55"/>
  <c r="E58" i="55"/>
  <c r="G48" i="51"/>
  <c r="I73" i="56"/>
  <c r="G72" i="55"/>
  <c r="F52" i="54"/>
  <c r="I58" i="53"/>
  <c r="I73" i="54"/>
  <c r="F38" i="56"/>
  <c r="G65" i="55"/>
  <c r="G13" i="49" l="1"/>
  <c r="F13" i="49"/>
  <c r="E19" i="49"/>
  <c r="H36" i="52"/>
  <c r="E36" i="52"/>
  <c r="I36" i="52"/>
  <c r="F36" i="52"/>
  <c r="D16" i="49"/>
  <c r="G27" i="50" l="1"/>
  <c r="E27" i="50"/>
  <c r="I27" i="50"/>
  <c r="F27" i="50"/>
  <c r="H27" i="50"/>
  <c r="H67" i="49"/>
  <c r="I60" i="49"/>
  <c r="E60" i="49"/>
  <c r="E61" i="49" s="1"/>
  <c r="F53" i="49"/>
  <c r="G46" i="49"/>
  <c r="H39" i="49"/>
  <c r="I32" i="49"/>
  <c r="I33" i="49" s="1"/>
  <c r="E32" i="49"/>
  <c r="G67" i="49"/>
  <c r="G68" i="49" s="1"/>
  <c r="H60" i="49"/>
  <c r="I53" i="49"/>
  <c r="E53" i="49"/>
  <c r="F46" i="49"/>
  <c r="G39" i="49"/>
  <c r="H32" i="49"/>
  <c r="F67" i="49"/>
  <c r="G60" i="49"/>
  <c r="H53" i="49"/>
  <c r="I46" i="49"/>
  <c r="E46" i="49"/>
  <c r="F39" i="49"/>
  <c r="F40" i="49" s="1"/>
  <c r="G32" i="49"/>
  <c r="I67" i="49"/>
  <c r="E67" i="49"/>
  <c r="F60" i="49"/>
  <c r="G53" i="49"/>
  <c r="H46" i="49"/>
  <c r="H47" i="49" s="1"/>
  <c r="I39" i="49"/>
  <c r="E39" i="49"/>
  <c r="E40" i="49" s="1"/>
  <c r="F32" i="49"/>
  <c r="F25" i="49"/>
  <c r="I25" i="49"/>
  <c r="E25" i="49"/>
  <c r="E26" i="49" s="1"/>
  <c r="G25" i="49"/>
  <c r="H25" i="49"/>
  <c r="H26" i="49" s="1"/>
  <c r="B37" i="48"/>
  <c r="B36" i="48"/>
  <c r="B35" i="48"/>
  <c r="B34" i="48"/>
  <c r="B33" i="48"/>
  <c r="B32" i="48"/>
  <c r="B31" i="48"/>
  <c r="B30" i="48"/>
  <c r="B29" i="48"/>
  <c r="B28" i="48"/>
  <c r="B27" i="48"/>
  <c r="B26" i="48"/>
  <c r="B25" i="48"/>
  <c r="B24" i="48"/>
  <c r="E19" i="48"/>
  <c r="B37" i="47"/>
  <c r="B36" i="47"/>
  <c r="B35" i="47"/>
  <c r="B34" i="47"/>
  <c r="B33" i="47"/>
  <c r="B32" i="47"/>
  <c r="B31" i="47"/>
  <c r="B30" i="47"/>
  <c r="B29" i="47"/>
  <c r="B28" i="47"/>
  <c r="B27" i="47"/>
  <c r="B26" i="47"/>
  <c r="B25" i="47"/>
  <c r="B24" i="47"/>
  <c r="E19" i="47"/>
  <c r="F47" i="49"/>
  <c r="E47" i="49"/>
  <c r="G33" i="49"/>
  <c r="H61" i="49"/>
  <c r="F33" i="49"/>
  <c r="F54" i="49"/>
  <c r="F61" i="49"/>
  <c r="G61" i="49"/>
  <c r="H40" i="49"/>
  <c r="E33" i="49"/>
  <c r="G40" i="49"/>
  <c r="I40" i="49"/>
  <c r="G47" i="49"/>
  <c r="E54" i="49"/>
  <c r="F68" i="49"/>
  <c r="G26" i="49"/>
  <c r="E68" i="49"/>
  <c r="I26" i="49"/>
  <c r="I61" i="49"/>
  <c r="E71" i="49"/>
  <c r="I41" i="47"/>
  <c r="F28" i="50"/>
  <c r="I29" i="49"/>
  <c r="I28" i="50"/>
  <c r="E36" i="49"/>
  <c r="E28" i="49"/>
  <c r="I43" i="49"/>
  <c r="E29" i="49"/>
  <c r="E49" i="49"/>
  <c r="D16" i="48"/>
  <c r="G50" i="49"/>
  <c r="E43" i="49"/>
  <c r="I28" i="49"/>
  <c r="F71" i="49"/>
  <c r="G28" i="50"/>
  <c r="H28" i="50"/>
  <c r="E70" i="49"/>
  <c r="G71" i="49"/>
  <c r="H41" i="47"/>
  <c r="F49" i="49"/>
  <c r="E57" i="49"/>
  <c r="I42" i="49"/>
  <c r="F70" i="49"/>
  <c r="H63" i="49"/>
  <c r="F41" i="48"/>
  <c r="F50" i="49"/>
  <c r="E28" i="50"/>
  <c r="E35" i="49"/>
  <c r="G41" i="47"/>
  <c r="F41" i="47"/>
  <c r="F36" i="49"/>
  <c r="F64" i="49"/>
  <c r="H41" i="48"/>
  <c r="F56" i="49"/>
  <c r="E41" i="48"/>
  <c r="D16" i="47"/>
  <c r="F57" i="49"/>
  <c r="G64" i="49"/>
  <c r="E41" i="47"/>
  <c r="G41" i="48"/>
  <c r="I41" i="48"/>
  <c r="H49" i="49"/>
  <c r="E56" i="49"/>
  <c r="G49" i="49"/>
  <c r="E50" i="49"/>
  <c r="H43" i="49"/>
  <c r="E42" i="49"/>
  <c r="H42" i="49"/>
  <c r="F42" i="49"/>
  <c r="G35" i="49"/>
  <c r="F29" i="49"/>
  <c r="H71" i="49"/>
  <c r="G63" i="49"/>
  <c r="I64" i="49"/>
  <c r="G43" i="49"/>
  <c r="G56" i="49"/>
  <c r="I70" i="49"/>
  <c r="F63" i="49"/>
  <c r="H64" i="49"/>
  <c r="H57" i="49"/>
  <c r="G36" i="49"/>
  <c r="F35" i="49"/>
  <c r="G29" i="49"/>
  <c r="I57" i="49"/>
  <c r="H36" i="49"/>
  <c r="I49" i="49"/>
  <c r="G54" i="49" l="1"/>
  <c r="H54" i="49"/>
  <c r="H68" i="49"/>
  <c r="I29" i="50"/>
  <c r="I32" i="50" s="1"/>
  <c r="E29" i="50"/>
  <c r="E32" i="50" s="1"/>
  <c r="G29" i="50"/>
  <c r="G32" i="50" s="1"/>
  <c r="H29" i="50"/>
  <c r="H32" i="50" s="1"/>
  <c r="F29" i="50"/>
  <c r="F32" i="50" s="1"/>
  <c r="E69" i="49"/>
  <c r="F69" i="49"/>
  <c r="E34" i="49"/>
  <c r="H48" i="49"/>
  <c r="I48" i="49"/>
  <c r="I55" i="49"/>
  <c r="I34" i="49"/>
  <c r="F34" i="49"/>
  <c r="G55" i="49"/>
  <c r="G34" i="49"/>
  <c r="H55" i="49"/>
  <c r="G41" i="49"/>
  <c r="H62" i="49"/>
  <c r="H41" i="49"/>
  <c r="I62" i="49"/>
  <c r="I41" i="49"/>
  <c r="E48" i="49"/>
  <c r="E55" i="49"/>
  <c r="F55" i="49"/>
  <c r="I69" i="49"/>
  <c r="H34" i="49"/>
  <c r="E62" i="49"/>
  <c r="E41" i="49"/>
  <c r="F62" i="49"/>
  <c r="F41" i="49"/>
  <c r="G62" i="49"/>
  <c r="F48" i="49"/>
  <c r="G69" i="49"/>
  <c r="G48" i="49"/>
  <c r="H69" i="49"/>
  <c r="G27" i="49"/>
  <c r="E27" i="49"/>
  <c r="I27" i="49"/>
  <c r="H27" i="49"/>
  <c r="F27" i="49"/>
  <c r="O22" i="48"/>
  <c r="P22" i="48"/>
  <c r="S22" i="48"/>
  <c r="H42" i="48"/>
  <c r="G42" i="48"/>
  <c r="E42" i="48"/>
  <c r="I42" i="48"/>
  <c r="F42" i="48"/>
  <c r="H42" i="47"/>
  <c r="O22" i="47"/>
  <c r="S22" i="47"/>
  <c r="P22" i="47"/>
  <c r="E42" i="47"/>
  <c r="I42" i="47"/>
  <c r="G42" i="47"/>
  <c r="F42" i="47"/>
  <c r="F26" i="49"/>
  <c r="H33" i="49"/>
  <c r="I54" i="49"/>
  <c r="I68" i="49"/>
  <c r="I47" i="49"/>
  <c r="G28" i="49"/>
  <c r="H56" i="49"/>
  <c r="E35" i="50"/>
  <c r="G26" i="47"/>
  <c r="G32" i="47"/>
  <c r="K31" i="47"/>
  <c r="J35" i="47"/>
  <c r="F28" i="47"/>
  <c r="N25" i="48"/>
  <c r="I36" i="47"/>
  <c r="N31" i="48"/>
  <c r="E34" i="47"/>
  <c r="L27" i="47"/>
  <c r="L25" i="47"/>
  <c r="I24" i="47"/>
  <c r="I56" i="49"/>
  <c r="L31" i="48"/>
  <c r="M35" i="47"/>
  <c r="J29" i="48"/>
  <c r="N33" i="47"/>
  <c r="I36" i="48"/>
  <c r="I30" i="49"/>
  <c r="E63" i="49"/>
  <c r="H30" i="47"/>
  <c r="K25" i="47"/>
  <c r="K27" i="47"/>
  <c r="E36" i="48"/>
  <c r="H24" i="48"/>
  <c r="H35" i="49"/>
  <c r="I30" i="47"/>
  <c r="E32" i="47"/>
  <c r="E34" i="48"/>
  <c r="H28" i="47"/>
  <c r="K35" i="47"/>
  <c r="J27" i="47"/>
  <c r="J31" i="48"/>
  <c r="M33" i="48"/>
  <c r="J29" i="47"/>
  <c r="M31" i="48"/>
  <c r="M29" i="48"/>
  <c r="G42" i="49"/>
  <c r="F43" i="49"/>
  <c r="G70" i="49"/>
  <c r="G24" i="48"/>
  <c r="F36" i="48"/>
  <c r="E30" i="47"/>
  <c r="G37" i="49"/>
  <c r="I26" i="47"/>
  <c r="K37" i="47"/>
  <c r="L35" i="47"/>
  <c r="E30" i="48"/>
  <c r="M27" i="48"/>
  <c r="F36" i="47"/>
  <c r="K33" i="47"/>
  <c r="G28" i="48"/>
  <c r="N25" i="47"/>
  <c r="L31" i="47"/>
  <c r="F26" i="47"/>
  <c r="I34" i="48"/>
  <c r="J27" i="48"/>
  <c r="E36" i="47"/>
  <c r="E26" i="47"/>
  <c r="K31" i="48"/>
  <c r="N35" i="48"/>
  <c r="E24" i="48"/>
  <c r="H65" i="49"/>
  <c r="H32" i="48"/>
  <c r="E58" i="49"/>
  <c r="J35" i="48"/>
  <c r="L37" i="48"/>
  <c r="F32" i="47"/>
  <c r="M37" i="48"/>
  <c r="I26" i="48"/>
  <c r="L29" i="48"/>
  <c r="L33" i="47"/>
  <c r="I31" i="49"/>
  <c r="K37" i="48"/>
  <c r="G30" i="48"/>
  <c r="L33" i="48"/>
  <c r="E28" i="48"/>
  <c r="I50" i="49"/>
  <c r="M37" i="47"/>
  <c r="H30" i="48"/>
  <c r="M29" i="47"/>
  <c r="F34" i="48"/>
  <c r="H28" i="48"/>
  <c r="H50" i="49"/>
  <c r="G24" i="47"/>
  <c r="H70" i="49"/>
  <c r="G30" i="47"/>
  <c r="G28" i="47"/>
  <c r="G36" i="48"/>
  <c r="S23" i="48"/>
  <c r="H44" i="49"/>
  <c r="K33" i="48"/>
  <c r="I63" i="49"/>
  <c r="E37" i="49"/>
  <c r="I65" i="49"/>
  <c r="F58" i="49"/>
  <c r="E45" i="49"/>
  <c r="F52" i="49"/>
  <c r="E59" i="49"/>
  <c r="H36" i="48"/>
  <c r="H58" i="49"/>
  <c r="N35" i="47"/>
  <c r="N29" i="47"/>
  <c r="K27" i="48"/>
  <c r="I36" i="49"/>
  <c r="J31" i="47"/>
  <c r="I28" i="48"/>
  <c r="J25" i="48"/>
  <c r="M27" i="47"/>
  <c r="I32" i="47"/>
  <c r="G34" i="48"/>
  <c r="H35" i="50"/>
  <c r="F34" i="47"/>
  <c r="E28" i="47"/>
  <c r="H28" i="49"/>
  <c r="I28" i="47"/>
  <c r="K25" i="48"/>
  <c r="F28" i="49"/>
  <c r="I32" i="48"/>
  <c r="I35" i="49"/>
  <c r="F72" i="49"/>
  <c r="H34" i="47"/>
  <c r="F73" i="49"/>
  <c r="E64" i="49"/>
  <c r="F30" i="47"/>
  <c r="I35" i="50"/>
  <c r="F35" i="50"/>
  <c r="E38" i="49"/>
  <c r="N37" i="47"/>
  <c r="J37" i="48"/>
  <c r="H26" i="48"/>
  <c r="G34" i="47"/>
  <c r="F38" i="49"/>
  <c r="H32" i="47"/>
  <c r="E51" i="49"/>
  <c r="N31" i="47"/>
  <c r="G26" i="48"/>
  <c r="E72" i="49"/>
  <c r="M31" i="47"/>
  <c r="G38" i="49"/>
  <c r="G65" i="49"/>
  <c r="E24" i="47"/>
  <c r="F28" i="48"/>
  <c r="H29" i="49"/>
  <c r="N37" i="48"/>
  <c r="J37" i="47"/>
  <c r="M25" i="48"/>
  <c r="M35" i="48"/>
  <c r="L35" i="48"/>
  <c r="L27" i="48"/>
  <c r="G35" i="50"/>
  <c r="H45" i="49"/>
  <c r="E26" i="48"/>
  <c r="G36" i="47"/>
  <c r="N29" i="48"/>
  <c r="E73" i="49"/>
  <c r="G44" i="49"/>
  <c r="S23" i="47"/>
  <c r="K29" i="47"/>
  <c r="F37" i="49"/>
  <c r="J25" i="47"/>
  <c r="M33" i="47"/>
  <c r="G32" i="48"/>
  <c r="F30" i="48"/>
  <c r="I71" i="49"/>
  <c r="N27" i="48"/>
  <c r="I30" i="48"/>
  <c r="H34" i="48"/>
  <c r="H26" i="47"/>
  <c r="J33" i="47"/>
  <c r="G57" i="49"/>
  <c r="F32" i="48"/>
  <c r="F26" i="48"/>
  <c r="H36" i="47"/>
  <c r="G66" i="49"/>
  <c r="L37" i="47"/>
  <c r="H72" i="49"/>
  <c r="N33" i="48"/>
  <c r="I24" i="48"/>
  <c r="G72" i="49"/>
  <c r="F24" i="48"/>
  <c r="L25" i="48"/>
  <c r="E52" i="49"/>
  <c r="L29" i="47"/>
  <c r="M25" i="47"/>
  <c r="G52" i="49"/>
  <c r="I34" i="47"/>
  <c r="J33" i="48"/>
  <c r="N27" i="47"/>
  <c r="F24" i="47"/>
  <c r="K35" i="48"/>
  <c r="K29" i="48"/>
  <c r="H24" i="47"/>
  <c r="E32" i="48"/>
  <c r="L30" i="48" l="1"/>
  <c r="L28" i="48"/>
  <c r="M30" i="48"/>
  <c r="N36" i="48"/>
  <c r="K28" i="48"/>
  <c r="L34" i="48"/>
  <c r="K30" i="48"/>
  <c r="L36" i="48"/>
  <c r="M28" i="48"/>
  <c r="L24" i="48"/>
  <c r="J28" i="48"/>
  <c r="K34" i="48"/>
  <c r="J32" i="48"/>
  <c r="M32" i="48"/>
  <c r="N24" i="48"/>
  <c r="N32" i="48"/>
  <c r="J26" i="48"/>
  <c r="K32" i="48"/>
  <c r="J24" i="48"/>
  <c r="M34" i="48"/>
  <c r="N28" i="48"/>
  <c r="L26" i="48"/>
  <c r="J30" i="48"/>
  <c r="K36" i="48"/>
  <c r="K24" i="48"/>
  <c r="J34" i="48"/>
  <c r="N34" i="48"/>
  <c r="M26" i="48"/>
  <c r="N26" i="48"/>
  <c r="M36" i="48"/>
  <c r="K26" i="48"/>
  <c r="L32" i="48"/>
  <c r="J36" i="48"/>
  <c r="M24" i="48"/>
  <c r="N30" i="48"/>
  <c r="K24" i="47"/>
  <c r="J26" i="47"/>
  <c r="L24" i="47"/>
  <c r="M32" i="47"/>
  <c r="N24" i="47"/>
  <c r="K32" i="47"/>
  <c r="N28" i="47"/>
  <c r="M34" i="47"/>
  <c r="M28" i="47"/>
  <c r="J30" i="47"/>
  <c r="K36" i="47"/>
  <c r="L36" i="47"/>
  <c r="N26" i="47"/>
  <c r="J36" i="47"/>
  <c r="L30" i="47"/>
  <c r="J24" i="47"/>
  <c r="J28" i="47"/>
  <c r="K34" i="47"/>
  <c r="N32" i="47"/>
  <c r="N34" i="47"/>
  <c r="J32" i="47"/>
  <c r="M26" i="47"/>
  <c r="L26" i="47"/>
  <c r="J34" i="47"/>
  <c r="K26" i="47"/>
  <c r="L32" i="47"/>
  <c r="M36" i="47"/>
  <c r="M24" i="47"/>
  <c r="N30" i="47"/>
  <c r="L28" i="47"/>
  <c r="M30" i="47"/>
  <c r="N36" i="47"/>
  <c r="K30" i="47"/>
  <c r="K28" i="47"/>
  <c r="L34" i="47"/>
  <c r="B37" i="46"/>
  <c r="B36" i="46"/>
  <c r="B35" i="46"/>
  <c r="B34" i="46"/>
  <c r="B33" i="46"/>
  <c r="B32" i="46"/>
  <c r="B31" i="46"/>
  <c r="B30" i="46"/>
  <c r="B29" i="46"/>
  <c r="B28" i="46"/>
  <c r="B27" i="46"/>
  <c r="B26" i="46"/>
  <c r="B25" i="46"/>
  <c r="B24" i="46"/>
  <c r="E19" i="46"/>
  <c r="G59" i="49"/>
  <c r="F44" i="49"/>
  <c r="E31" i="49"/>
  <c r="F65" i="49"/>
  <c r="G30" i="49"/>
  <c r="F30" i="49"/>
  <c r="I41" i="46"/>
  <c r="I58" i="49"/>
  <c r="E66" i="49"/>
  <c r="I52" i="49"/>
  <c r="I38" i="49"/>
  <c r="I73" i="49"/>
  <c r="I59" i="49"/>
  <c r="H66" i="49"/>
  <c r="I66" i="49"/>
  <c r="G73" i="49"/>
  <c r="E44" i="49"/>
  <c r="I37" i="49"/>
  <c r="I51" i="49"/>
  <c r="F31" i="49"/>
  <c r="D16" i="46"/>
  <c r="H59" i="49"/>
  <c r="H37" i="49"/>
  <c r="F41" i="46"/>
  <c r="E41" i="46"/>
  <c r="H52" i="49"/>
  <c r="G58" i="49"/>
  <c r="F45" i="49"/>
  <c r="E30" i="49"/>
  <c r="I44" i="49"/>
  <c r="F59" i="49"/>
  <c r="G41" i="46"/>
  <c r="E65" i="49"/>
  <c r="H31" i="49"/>
  <c r="G37" i="50"/>
  <c r="F37" i="50"/>
  <c r="E37" i="50"/>
  <c r="I37" i="50"/>
  <c r="G45" i="49"/>
  <c r="I45" i="49"/>
  <c r="H51" i="49"/>
  <c r="I72" i="49"/>
  <c r="G51" i="49"/>
  <c r="F51" i="49"/>
  <c r="H73" i="49"/>
  <c r="F66" i="49"/>
  <c r="G31" i="49"/>
  <c r="H37" i="50"/>
  <c r="H41" i="46"/>
  <c r="H30" i="49"/>
  <c r="H38" i="49"/>
  <c r="O22" i="46" l="1"/>
  <c r="F42" i="46"/>
  <c r="G42" i="46"/>
  <c r="S22" i="46"/>
  <c r="P22" i="46"/>
  <c r="H42" i="46"/>
  <c r="E42" i="46"/>
  <c r="I42" i="46"/>
  <c r="M27" i="46"/>
  <c r="F30" i="46"/>
  <c r="N29" i="46"/>
  <c r="N31" i="46"/>
  <c r="S23" i="46"/>
  <c r="F36" i="46"/>
  <c r="L35" i="46"/>
  <c r="L37" i="46"/>
  <c r="M37" i="46"/>
  <c r="F28" i="46"/>
  <c r="M25" i="46"/>
  <c r="J25" i="46"/>
  <c r="I32" i="46"/>
  <c r="H26" i="46"/>
  <c r="M33" i="46"/>
  <c r="H24" i="46"/>
  <c r="K25" i="46"/>
  <c r="G34" i="46"/>
  <c r="J35" i="46"/>
  <c r="I24" i="46"/>
  <c r="F26" i="46"/>
  <c r="J27" i="46"/>
  <c r="N25" i="46"/>
  <c r="E28" i="46"/>
  <c r="E36" i="46"/>
  <c r="J31" i="46"/>
  <c r="J33" i="46"/>
  <c r="K35" i="46"/>
  <c r="J37" i="46"/>
  <c r="L31" i="46"/>
  <c r="K29" i="46"/>
  <c r="H32" i="46"/>
  <c r="H36" i="46"/>
  <c r="I28" i="46"/>
  <c r="E32" i="46"/>
  <c r="G32" i="46"/>
  <c r="L29" i="46"/>
  <c r="M29" i="46"/>
  <c r="H28" i="46"/>
  <c r="K33" i="46"/>
  <c r="L33" i="46"/>
  <c r="E26" i="46"/>
  <c r="N35" i="46"/>
  <c r="G36" i="46"/>
  <c r="G24" i="46"/>
  <c r="G26" i="46"/>
  <c r="J29" i="46"/>
  <c r="H30" i="46"/>
  <c r="M31" i="46"/>
  <c r="F32" i="46"/>
  <c r="G30" i="46"/>
  <c r="E30" i="46"/>
  <c r="E24" i="46"/>
  <c r="N27" i="46"/>
  <c r="I34" i="46"/>
  <c r="K31" i="46"/>
  <c r="H34" i="46"/>
  <c r="I36" i="46"/>
  <c r="F34" i="46"/>
  <c r="L27" i="46"/>
  <c r="F24" i="46"/>
  <c r="L25" i="46"/>
  <c r="N37" i="46"/>
  <c r="K37" i="46"/>
  <c r="K27" i="46"/>
  <c r="M35" i="46"/>
  <c r="I30" i="46"/>
  <c r="I26" i="46"/>
  <c r="E34" i="46"/>
  <c r="G28" i="46"/>
  <c r="N33" i="46"/>
  <c r="L28" i="46" l="1"/>
  <c r="N30" i="46"/>
  <c r="M28" i="46"/>
  <c r="K30" i="46"/>
  <c r="J26" i="46"/>
  <c r="J28" i="46"/>
  <c r="M30" i="46"/>
  <c r="L24" i="46"/>
  <c r="L34" i="46"/>
  <c r="J34" i="46"/>
  <c r="K34" i="46"/>
  <c r="N32" i="46"/>
  <c r="N34" i="46"/>
  <c r="J30" i="46"/>
  <c r="M32" i="46"/>
  <c r="K24" i="46"/>
  <c r="N28" i="46"/>
  <c r="L30" i="46"/>
  <c r="M24" i="46"/>
  <c r="J36" i="46"/>
  <c r="M26" i="46"/>
  <c r="L26" i="46"/>
  <c r="N24" i="46"/>
  <c r="N26" i="46"/>
  <c r="L36" i="46"/>
  <c r="N36" i="46"/>
  <c r="M34" i="46"/>
  <c r="L32" i="46"/>
  <c r="J24" i="46"/>
  <c r="K26" i="46"/>
  <c r="K28" i="46"/>
  <c r="K32" i="46"/>
  <c r="J32" i="46"/>
  <c r="M36" i="46"/>
  <c r="K36" i="46"/>
  <c r="B26" i="45"/>
  <c r="B27" i="45"/>
  <c r="O7" i="10"/>
  <c r="O6" i="10"/>
  <c r="O5" i="10"/>
  <c r="O4" i="10"/>
  <c r="B24" i="45"/>
  <c r="E19" i="45"/>
  <c r="B19" i="38"/>
  <c r="H41" i="45"/>
  <c r="D16" i="45"/>
  <c r="I41" i="45"/>
  <c r="G41" i="45"/>
  <c r="F41" i="45"/>
  <c r="E41" i="45"/>
  <c r="O22" i="45" l="1"/>
  <c r="S22" i="45"/>
  <c r="P22" i="45"/>
  <c r="E42" i="45"/>
  <c r="G42" i="45"/>
  <c r="H42" i="45"/>
  <c r="F42" i="45"/>
  <c r="I42" i="45"/>
  <c r="B25" i="45"/>
  <c r="E26" i="45"/>
  <c r="J35" i="45"/>
  <c r="M31" i="45"/>
  <c r="G26" i="45"/>
  <c r="N27" i="45"/>
  <c r="J27" i="45"/>
  <c r="F24" i="45"/>
  <c r="N25" i="45"/>
  <c r="F32" i="45"/>
  <c r="F28" i="45"/>
  <c r="K31" i="45"/>
  <c r="M27" i="45"/>
  <c r="F36" i="45"/>
  <c r="H26" i="45"/>
  <c r="K27" i="45"/>
  <c r="E34" i="45"/>
  <c r="F34" i="45"/>
  <c r="L31" i="45"/>
  <c r="G24" i="45"/>
  <c r="N31" i="45"/>
  <c r="F26" i="45"/>
  <c r="S23" i="45"/>
  <c r="F30" i="45"/>
  <c r="L37" i="45"/>
  <c r="G34" i="45"/>
  <c r="L27" i="45"/>
  <c r="K33" i="45"/>
  <c r="G30" i="45"/>
  <c r="H36" i="45"/>
  <c r="M29" i="45"/>
  <c r="J31" i="45"/>
  <c r="H32" i="45"/>
  <c r="H30" i="45"/>
  <c r="K35" i="45"/>
  <c r="K29" i="45"/>
  <c r="G28" i="45"/>
  <c r="H24" i="45"/>
  <c r="K37" i="45"/>
  <c r="L29" i="45"/>
  <c r="K25" i="45"/>
  <c r="L33" i="45"/>
  <c r="I36" i="45"/>
  <c r="J37" i="45"/>
  <c r="H34" i="45"/>
  <c r="I32" i="45"/>
  <c r="I24" i="45"/>
  <c r="N33" i="45"/>
  <c r="E28" i="45"/>
  <c r="N35" i="45"/>
  <c r="I26" i="45"/>
  <c r="G36" i="45"/>
  <c r="L25" i="45"/>
  <c r="I34" i="45"/>
  <c r="E30" i="45"/>
  <c r="M33" i="45"/>
  <c r="E32" i="45"/>
  <c r="E36" i="45"/>
  <c r="J25" i="45"/>
  <c r="G32" i="45"/>
  <c r="J29" i="45"/>
  <c r="N29" i="45"/>
  <c r="J33" i="45"/>
  <c r="I30" i="45"/>
  <c r="M35" i="45"/>
  <c r="M37" i="45"/>
  <c r="E24" i="45"/>
  <c r="M25" i="45"/>
  <c r="L35" i="45"/>
  <c r="H28" i="45"/>
  <c r="N37" i="45"/>
  <c r="I28" i="45"/>
  <c r="L32" i="45" l="1"/>
  <c r="N24" i="45"/>
  <c r="L24" i="45"/>
  <c r="N26" i="45"/>
  <c r="J28" i="45"/>
  <c r="L26" i="45"/>
  <c r="M32" i="45"/>
  <c r="M34" i="45"/>
  <c r="J26" i="45"/>
  <c r="L30" i="45"/>
  <c r="K28" i="45"/>
  <c r="K32" i="45"/>
  <c r="N30" i="45"/>
  <c r="J34" i="45"/>
  <c r="L36" i="45"/>
  <c r="M30" i="45"/>
  <c r="K36" i="45"/>
  <c r="M36" i="45"/>
  <c r="L28" i="45"/>
  <c r="J30" i="45"/>
  <c r="L34" i="45"/>
  <c r="N34" i="45"/>
  <c r="J36" i="45"/>
  <c r="M26" i="45"/>
  <c r="K30" i="45"/>
  <c r="J24" i="45"/>
  <c r="M24" i="45"/>
  <c r="K34" i="45"/>
  <c r="N32" i="45"/>
  <c r="N28" i="45"/>
  <c r="K24" i="45"/>
  <c r="M28" i="45"/>
  <c r="N36" i="45"/>
  <c r="J32" i="45"/>
  <c r="K26" i="45"/>
  <c r="B28" i="45"/>
  <c r="N20" i="38"/>
  <c r="G21" i="38"/>
  <c r="D20" i="38"/>
  <c r="D21" i="38"/>
  <c r="E24" i="38"/>
  <c r="D25" i="38"/>
  <c r="H31" i="38"/>
  <c r="F21" i="38"/>
  <c r="D30" i="38"/>
  <c r="E28" i="38"/>
  <c r="N19" i="38"/>
  <c r="C19" i="38"/>
  <c r="F30" i="38"/>
  <c r="C22" i="38"/>
  <c r="D31" i="38"/>
  <c r="H24" i="38"/>
  <c r="H21" i="38"/>
  <c r="C23" i="38"/>
  <c r="C31" i="38"/>
  <c r="F20" i="38"/>
  <c r="G29" i="38"/>
  <c r="C25" i="38"/>
  <c r="H27" i="38"/>
  <c r="H25" i="38"/>
  <c r="D26" i="38"/>
  <c r="F27" i="38"/>
  <c r="F19" i="38"/>
  <c r="F22" i="38"/>
  <c r="F29" i="38"/>
  <c r="D23" i="38"/>
  <c r="C26" i="38"/>
  <c r="H22" i="38"/>
  <c r="C24" i="38"/>
  <c r="F24" i="38"/>
  <c r="E30" i="38"/>
  <c r="F26" i="38"/>
  <c r="D27" i="38"/>
  <c r="G26" i="38"/>
  <c r="D28" i="38"/>
  <c r="H26" i="38"/>
  <c r="E22" i="38"/>
  <c r="G31" i="38"/>
  <c r="G22" i="38"/>
  <c r="C20" i="38"/>
  <c r="C27" i="38"/>
  <c r="C29" i="38"/>
  <c r="F28" i="38"/>
  <c r="E20" i="38"/>
  <c r="G28" i="38"/>
  <c r="C21" i="38"/>
  <c r="G20" i="38"/>
  <c r="D19" i="38"/>
  <c r="H23" i="38"/>
  <c r="E27" i="38"/>
  <c r="H30" i="38"/>
  <c r="C30" i="38"/>
  <c r="F25" i="38"/>
  <c r="D24" i="38"/>
  <c r="G30" i="38"/>
  <c r="F23" i="38"/>
  <c r="G19" i="38"/>
  <c r="F31" i="38"/>
  <c r="D29" i="38"/>
  <c r="G27" i="38"/>
  <c r="H28" i="38"/>
  <c r="G24" i="38"/>
  <c r="H20" i="38"/>
  <c r="E26" i="38"/>
  <c r="C28" i="38"/>
  <c r="G23" i="38"/>
  <c r="E19" i="38"/>
  <c r="D22" i="38"/>
  <c r="E23" i="38"/>
  <c r="H29" i="38"/>
  <c r="G25" i="38"/>
  <c r="E31" i="38"/>
  <c r="E25" i="38"/>
  <c r="H19" i="38"/>
  <c r="E29" i="38"/>
  <c r="E21" i="38"/>
  <c r="B29" i="45" l="1"/>
  <c r="B27" i="38"/>
  <c r="B26" i="38"/>
  <c r="B25" i="38"/>
  <c r="B24" i="38"/>
  <c r="B23" i="38"/>
  <c r="B22" i="38"/>
  <c r="B21" i="38"/>
  <c r="B20" i="38"/>
  <c r="E10" i="39"/>
  <c r="F10" i="39" s="1"/>
  <c r="H15" i="39"/>
  <c r="H21" i="39" s="1"/>
  <c r="G15" i="39"/>
  <c r="G21" i="39" s="1"/>
  <c r="F15" i="39"/>
  <c r="F20" i="39" s="1"/>
  <c r="E15" i="39"/>
  <c r="E20" i="39" s="1"/>
  <c r="D15" i="39"/>
  <c r="D20" i="39" s="1"/>
  <c r="C15" i="39"/>
  <c r="C20" i="39" s="1"/>
  <c r="E9" i="39"/>
  <c r="F9" i="39" s="1"/>
  <c r="H24" i="37"/>
  <c r="G24" i="37"/>
  <c r="F24" i="37"/>
  <c r="E24" i="37"/>
  <c r="D24" i="37"/>
  <c r="C24" i="37"/>
  <c r="H19" i="37"/>
  <c r="G19" i="37"/>
  <c r="F19" i="37"/>
  <c r="E19" i="37"/>
  <c r="D19" i="37"/>
  <c r="C19" i="37"/>
  <c r="F10" i="37"/>
  <c r="F9" i="37"/>
  <c r="H18" i="39"/>
  <c r="C18" i="37"/>
  <c r="H18" i="37"/>
  <c r="G18" i="39"/>
  <c r="E18" i="39"/>
  <c r="G18" i="37"/>
  <c r="F18" i="39"/>
  <c r="F18" i="37"/>
  <c r="C26" i="39"/>
  <c r="D26" i="39"/>
  <c r="G26" i="39"/>
  <c r="F26" i="39"/>
  <c r="D18" i="39"/>
  <c r="C18" i="39"/>
  <c r="H26" i="39"/>
  <c r="E26" i="39"/>
  <c r="D18" i="37"/>
  <c r="E18" i="37"/>
  <c r="B30" i="45" l="1"/>
  <c r="G27" i="39"/>
  <c r="C27" i="39"/>
  <c r="H27" i="39"/>
  <c r="D27" i="39"/>
  <c r="E27" i="39"/>
  <c r="F27" i="39"/>
  <c r="C21" i="39"/>
  <c r="D21" i="39"/>
  <c r="G16" i="39"/>
  <c r="G20" i="39"/>
  <c r="H20" i="39"/>
  <c r="C16" i="39"/>
  <c r="E21" i="39"/>
  <c r="H16" i="39"/>
  <c r="D16" i="39"/>
  <c r="F21" i="39"/>
  <c r="E16" i="39"/>
  <c r="F16" i="39"/>
  <c r="A21" i="38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37" i="38" s="1"/>
  <c r="A38" i="38" s="1"/>
  <c r="A39" i="38" s="1"/>
  <c r="A40" i="38" s="1"/>
  <c r="A41" i="38" s="1"/>
  <c r="A42" i="38" s="1"/>
  <c r="A20" i="38"/>
  <c r="E13" i="38"/>
  <c r="J17" i="38" s="1"/>
  <c r="E10" i="37"/>
  <c r="E9" i="37"/>
  <c r="H15" i="37"/>
  <c r="H16" i="37" s="1"/>
  <c r="G15" i="37"/>
  <c r="G16" i="37" s="1"/>
  <c r="F15" i="37"/>
  <c r="F20" i="37" s="1"/>
  <c r="E15" i="37"/>
  <c r="E20" i="37" s="1"/>
  <c r="D15" i="37"/>
  <c r="D20" i="37" s="1"/>
  <c r="C15" i="37"/>
  <c r="C20" i="37" s="1"/>
  <c r="C17" i="39"/>
  <c r="E17" i="39"/>
  <c r="D17" i="39"/>
  <c r="F17" i="39"/>
  <c r="G17" i="37"/>
  <c r="H17" i="39"/>
  <c r="H17" i="37"/>
  <c r="G17" i="39"/>
  <c r="H26" i="37"/>
  <c r="G26" i="37"/>
  <c r="E26" i="37"/>
  <c r="F26" i="37"/>
  <c r="C26" i="37"/>
  <c r="D26" i="37"/>
  <c r="B32" i="45" l="1"/>
  <c r="B31" i="45"/>
  <c r="D23" i="39"/>
  <c r="D29" i="39" s="1"/>
  <c r="G27" i="37"/>
  <c r="G30" i="37" s="1"/>
  <c r="G33" i="37" s="1"/>
  <c r="E23" i="39"/>
  <c r="E29" i="39" s="1"/>
  <c r="G23" i="37"/>
  <c r="C27" i="37"/>
  <c r="C30" i="37" s="1"/>
  <c r="C33" i="37" s="1"/>
  <c r="F27" i="37"/>
  <c r="F30" i="37" s="1"/>
  <c r="F33" i="37" s="1"/>
  <c r="G23" i="39"/>
  <c r="G29" i="39" s="1"/>
  <c r="H23" i="37"/>
  <c r="C23" i="39"/>
  <c r="C29" i="39" s="1"/>
  <c r="H27" i="37"/>
  <c r="H30" i="37" s="1"/>
  <c r="H33" i="37" s="1"/>
  <c r="H23" i="39"/>
  <c r="H29" i="39" s="1"/>
  <c r="D27" i="37"/>
  <c r="D30" i="37" s="1"/>
  <c r="D33" i="37" s="1"/>
  <c r="F23" i="39"/>
  <c r="F29" i="39" s="1"/>
  <c r="E27" i="37"/>
  <c r="E30" i="37" s="1"/>
  <c r="E33" i="37" s="1"/>
  <c r="C19" i="39"/>
  <c r="H19" i="39"/>
  <c r="F19" i="39"/>
  <c r="D19" i="39"/>
  <c r="E19" i="39"/>
  <c r="G19" i="39"/>
  <c r="E21" i="37"/>
  <c r="F21" i="37"/>
  <c r="G21" i="37"/>
  <c r="H21" i="37"/>
  <c r="C21" i="37"/>
  <c r="D21" i="37"/>
  <c r="F16" i="37"/>
  <c r="E16" i="37"/>
  <c r="D16" i="37"/>
  <c r="C16" i="37"/>
  <c r="H20" i="37"/>
  <c r="G20" i="37"/>
  <c r="F17" i="37"/>
  <c r="E17" i="37"/>
  <c r="D17" i="37"/>
  <c r="C17" i="37"/>
  <c r="G34" i="39"/>
  <c r="C34" i="39"/>
  <c r="D34" i="39"/>
  <c r="E34" i="39"/>
  <c r="H34" i="39"/>
  <c r="F34" i="39"/>
  <c r="B33" i="45" l="1"/>
  <c r="H29" i="37"/>
  <c r="H34" i="37" s="1"/>
  <c r="G29" i="37"/>
  <c r="G34" i="37" s="1"/>
  <c r="F23" i="37"/>
  <c r="F29" i="37" s="1"/>
  <c r="F34" i="37" s="1"/>
  <c r="C23" i="37"/>
  <c r="C29" i="37" s="1"/>
  <c r="C34" i="37" s="1"/>
  <c r="D23" i="37"/>
  <c r="D29" i="37" s="1"/>
  <c r="D34" i="37" s="1"/>
  <c r="E23" i="37"/>
  <c r="E29" i="37" s="1"/>
  <c r="E34" i="37" s="1"/>
  <c r="B34" i="45" l="1"/>
  <c r="B35" i="45" l="1"/>
  <c r="B36" i="45" l="1"/>
  <c r="B37" i="45" l="1"/>
  <c r="M3" i="13"/>
  <c r="M4" i="13" l="1"/>
  <c r="G19" i="10" l="1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</calcChain>
</file>

<file path=xl/sharedStrings.xml><?xml version="1.0" encoding="utf-8"?>
<sst xmlns="http://schemas.openxmlformats.org/spreadsheetml/2006/main" count="1237" uniqueCount="294">
  <si>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</si>
  <si>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</si>
  <si>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</si>
  <si>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</si>
  <si>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</si>
  <si>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</si>
  <si>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</si>
  <si>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</si>
  <si>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</si>
  <si>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</si>
  <si>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</si>
  <si>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</si>
  <si>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</si>
  <si>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</si>
  <si>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</si>
  <si>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</si>
  <si>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</si>
  <si>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</si>
  <si>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</si>
  <si>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</si>
  <si>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</si>
  <si>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</si>
  <si>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</si>
  <si>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</si>
  <si>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</si>
  <si>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</si>
  <si>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</si>
  <si>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</si>
  <si>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</si>
  <si>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</si>
  <si>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</si>
  <si>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</si>
  <si>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</si>
  <si>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</si>
  <si>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</si>
  <si>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</si>
  <si>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</si>
  <si>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KEO EVA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</si>
  <si>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</si>
  <si>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</si>
  <si>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</si>
  <si>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</si>
  <si>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</si>
  <si>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</si>
  <si>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</si>
  <si>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</si>
  <si>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</si>
  <si>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</si>
  <si>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</si>
  <si>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</si>
  <si>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</si>
  <si>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Markup</t>
  </si>
  <si>
    <t>Margin</t>
  </si>
  <si>
    <t>Rộng (cm)</t>
  </si>
  <si>
    <t>Cao (cm)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</si>
  <si>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</si>
  <si>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</si>
  <si>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</si>
  <si>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</si>
  <si>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</si>
  <si>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</si>
  <si>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</si>
  <si>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</si>
  <si>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</si>
  <si>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</si>
  <si>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</si>
  <si>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</si>
  <si>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</si>
  <si>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</si>
  <si>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</si>
  <si>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</si>
  <si>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</si>
  <si>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</si>
  <si>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</si>
  <si>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</si>
  <si>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</si>
  <si>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</si>
  <si>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</si>
  <si>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</si>
  <si>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</si>
  <si>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</si>
  <si>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</si>
  <si>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</si>
  <si>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</si>
  <si>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</si>
  <si>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</si>
  <si>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</si>
  <si>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</si>
  <si>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</si>
  <si>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</si>
  <si>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</si>
  <si>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</si>
  <si>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</si>
  <si>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</si>
  <si>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</si>
  <si>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</si>
  <si>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</si>
  <si>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</si>
  <si>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</si>
  <si>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</si>
  <si>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</si>
  <si>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</si>
  <si>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</si>
  <si>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</si>
  <si>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</si>
  <si>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</si>
  <si>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</si>
  <si>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</si>
  <si>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</si>
  <si>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</si>
  <si>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</si>
  <si>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</si>
  <si>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</si>
  <si>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</si>
  <si>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</si>
  <si>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</si>
  <si>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</si>
  <si>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Tờ chạy</t>
  </si>
  <si>
    <t>32x43</t>
  </si>
  <si>
    <t>Khổ cắt</t>
  </si>
  <si>
    <t>Mục / số lượng SP</t>
  </si>
  <si>
    <t>Giấy</t>
  </si>
  <si>
    <t>Mã</t>
  </si>
  <si>
    <t>Tên</t>
  </si>
  <si>
    <t>Thành tiền Mark up</t>
  </si>
  <si>
    <t>Đơn giá /Tờ chạy</t>
  </si>
  <si>
    <t>Số sản phẩm/ tờ chạy</t>
  </si>
  <si>
    <t>Cập nhật ngày</t>
  </si>
  <si>
    <t>Số tờ chạy theo giấy cần + bù hao</t>
  </si>
  <si>
    <t>Số tờ A4 theo tờ chạy (tính in)</t>
  </si>
  <si>
    <t>Số tờ A4 / tờ chạy (dùng tính click in)</t>
  </si>
  <si>
    <t>(là 43% margin)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</si>
  <si>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</si>
  <si>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</si>
  <si>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</si>
  <si>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</si>
  <si>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</si>
  <si>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</si>
  <si>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</si>
  <si>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</si>
  <si>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COC300-32x39</t>
  </si>
  <si>
    <t>C300gsm 32x39</t>
  </si>
  <si>
    <t>Phí giấy default</t>
  </si>
  <si>
    <t>EUR-PRI-120-32x45</t>
  </si>
  <si>
    <t>Euro Prim 120 32x45</t>
  </si>
  <si>
    <t>FORT120-79x109</t>
  </si>
  <si>
    <t>FO120 79x109</t>
  </si>
  <si>
    <t>FOR150-79x109</t>
  </si>
  <si>
    <t>Cataloque A4 - Kim</t>
  </si>
  <si>
    <t>Giấy bìa riêng</t>
  </si>
  <si>
    <t>Giấy ruột &amp; bìa chung</t>
  </si>
  <si>
    <t>Phí giấy ruột + bìa chung</t>
  </si>
  <si>
    <t>Tổng giá bán in 1M + bìa  chung</t>
  </si>
  <si>
    <t>Phí đón cuốn kim lồng</t>
  </si>
  <si>
    <t>Giá đóng kim lồng</t>
  </si>
  <si>
    <t>(phần bìa và đóng kim)</t>
  </si>
  <si>
    <t>=Phí in số trang * lợi nhuận</t>
  </si>
  <si>
    <t>Số trang, tiền in 2 M theo  số lượng cuốn, giá TB/trang A4</t>
  </si>
  <si>
    <t>Tiền bán giấy / A4</t>
  </si>
  <si>
    <t>NY-Giá đóng kim lồng</t>
  </si>
  <si>
    <t>Phí in bìa 1M Bìa riêng 300gsm</t>
  </si>
  <si>
    <t>Phí cán màng bìa riêng 300</t>
  </si>
  <si>
    <t>Tổng giá bán in 1M + giấy bìa riêng + Cán Màng</t>
  </si>
  <si>
    <t>Giá  in bìa 1M bìa chung (giá tb vơi ruột)</t>
  </si>
  <si>
    <t>Giá in bìa riêng cán màng + phí đóng</t>
  </si>
  <si>
    <t>Giá in chung  + phí đóng</t>
  </si>
  <si>
    <t>NY-Giá đóng kim lồng + Bìa riêng</t>
  </si>
  <si>
    <t>Cataloque A4 - Keo</t>
  </si>
  <si>
    <t>Phí đóng cuốn KEO EVA</t>
  </si>
  <si>
    <t>Giá đóng  KEO EVA</t>
  </si>
  <si>
    <t xml:space="preserve">Tổng giá bán in 1M + giấy bìa riêng </t>
  </si>
  <si>
    <t>Decal-32x485</t>
  </si>
  <si>
    <t>Decal 32 x 48.5 cm</t>
  </si>
  <si>
    <t>Decal-32x26</t>
  </si>
  <si>
    <t>Decal 32 x 26 cm</t>
  </si>
  <si>
    <t>Decal-32x39</t>
  </si>
  <si>
    <t>Decal 32 x 39 cm</t>
  </si>
  <si>
    <t>=*(1+$D$7)/($A13*C$12)</t>
  </si>
  <si>
    <t>Giá tờ giấy 150gsm A4</t>
  </si>
  <si>
    <t>Quy cách</t>
  </si>
  <si>
    <t>Cán phủ</t>
  </si>
  <si>
    <t>Ruột Menu</t>
  </si>
  <si>
    <t>Menu lò xo các khổ</t>
  </si>
  <si>
    <t>Giấy ruột giống nhau</t>
  </si>
  <si>
    <t>In tờ chạy</t>
  </si>
  <si>
    <t>Couche 300gsm</t>
  </si>
  <si>
    <t>Không / cán màng</t>
  </si>
  <si>
    <t xml:space="preserve">Đóng cuốn </t>
  </si>
  <si>
    <t>Lò xo bình thưởng</t>
  </si>
  <si>
    <t>Khổ cắt SP</t>
  </si>
  <si>
    <t>rong</t>
  </si>
  <si>
    <t>cao</t>
  </si>
  <si>
    <t>bleed</t>
  </si>
  <si>
    <t>10x19cm</t>
  </si>
  <si>
    <t>Blead</t>
  </si>
  <si>
    <t>Giấy c300gsm</t>
  </si>
  <si>
    <t xml:space="preserve">Dùng khổ menu to nhất để tính click </t>
  </si>
  <si>
    <t>không</t>
  </si>
  <si>
    <t>cán</t>
  </si>
  <si>
    <t>Tính theo bảng giá cài trên web</t>
  </si>
  <si>
    <t>Tiền in</t>
  </si>
  <si>
    <t>số tờ chạy theo trang</t>
  </si>
  <si>
    <t>Tờ a4 in 2M</t>
  </si>
  <si>
    <t>Tính thử cho in</t>
  </si>
  <si>
    <t>Tiền cán màng</t>
  </si>
  <si>
    <t>Tiín thử cho cán màng</t>
  </si>
  <si>
    <t>số tờ chạy theo trang số mặt</t>
  </si>
  <si>
    <t>Tính cán qua đây để chống việc 0 nhất quán về công thức</t>
  </si>
  <si>
    <t xml:space="preserve">Tiền đóng cuốn </t>
  </si>
  <si>
    <t>Tiền /m lò xo TB</t>
  </si>
  <si>
    <t>Phí đóng lò xo</t>
  </si>
  <si>
    <t>Giá lô</t>
  </si>
  <si>
    <t>Tóm giá lô</t>
  </si>
  <si>
    <t>số tờ chạy theo trang * cuốn</t>
  </si>
  <si>
    <t>Tiền cán màng 2M</t>
  </si>
  <si>
    <t>15x34cm</t>
  </si>
  <si>
    <t>15x19cm</t>
  </si>
  <si>
    <t>19x30cm</t>
  </si>
  <si>
    <t>Ruột menu bìa cứng bắt vít</t>
  </si>
  <si>
    <t>20x28cm</t>
  </si>
  <si>
    <t>Chừa lề bắt vít</t>
  </si>
  <si>
    <t>T. Rộng</t>
  </si>
  <si>
    <t>T. Cao</t>
  </si>
  <si>
    <t>Tổng không màng</t>
  </si>
  <si>
    <t>Tổng cán màng</t>
  </si>
  <si>
    <t>Màng (đ/m2)</t>
  </si>
  <si>
    <t>Số tờ chạy</t>
  </si>
  <si>
    <t>Tiền giấy</t>
  </si>
  <si>
    <t>Tiền cấn</t>
  </si>
  <si>
    <t>Phần bìa cứng của me nu</t>
  </si>
  <si>
    <t>Bìa cứng 2 cánh có vít, giấy C150gsm cán màng, bồi lên bìa cứng 2.5 ly của Lanvi, đóng cuốn bắt vít</t>
  </si>
  <si>
    <t>Công đoạn: in, cán màng, cắt bìa cứng, vô bìa cứng</t>
  </si>
  <si>
    <t>Số cuốn</t>
  </si>
  <si>
    <t>Khổ sản phẩm</t>
  </si>
  <si>
    <t>Rộng</t>
  </si>
  <si>
    <t>Cao</t>
  </si>
  <si>
    <t>Cánh bìa cứng (một cánh)</t>
  </si>
  <si>
    <t>Giá mua tờ bìa cứng 2.5mm</t>
  </si>
  <si>
    <t>Tờ A4</t>
  </si>
  <si>
    <t>Tờ chạy in</t>
  </si>
  <si>
    <t>Số tấm in / tờ chạy</t>
  </si>
  <si>
    <t>Số tờ in ch</t>
  </si>
  <si>
    <t>Tiền in bìa 1 mặt</t>
  </si>
  <si>
    <t>Phí carton</t>
  </si>
  <si>
    <t>Tiền bồi bìa gổm carton</t>
  </si>
  <si>
    <t>Tổng tiền giấy bao</t>
  </si>
  <si>
    <t>Tổng tiền làm bìa</t>
  </si>
  <si>
    <t>Tiền vô bìa</t>
  </si>
  <si>
    <t>Tiền đóng cuốn bìa cứng bắt vít</t>
  </si>
  <si>
    <t>I12:J13</t>
  </si>
  <si>
    <t>Giá TB/Cuốn</t>
  </si>
  <si>
    <t>Ruột Mở phẳng 20x28</t>
  </si>
  <si>
    <t>Couche 250gsm</t>
  </si>
  <si>
    <t>Tiền ghép thành ruột tờ lót keo</t>
  </si>
  <si>
    <t>Tiền đóng cuốn bìa cứng</t>
  </si>
  <si>
    <t>Giấy c150gsm</t>
  </si>
  <si>
    <t>Ruột menu Lò xo cơ bản</t>
  </si>
  <si>
    <t>Đóng cuốn lò xo</t>
  </si>
  <si>
    <t>Bìa lò xo chung cuốn</t>
  </si>
  <si>
    <t>Lấy giá lò xo trung bình</t>
  </si>
  <si>
    <t>Công đoạn: sắp cuốn, đột, vô lò xo</t>
  </si>
  <si>
    <t>Phí sắp đột vô lò xo</t>
  </si>
  <si>
    <t>Lò xo</t>
  </si>
  <si>
    <t>Loxo chung</t>
  </si>
  <si>
    <t>Lò xo chung</t>
  </si>
  <si>
    <t>Đơn giá /met</t>
  </si>
  <si>
    <t>Phí lò xo lấy a4</t>
  </si>
  <si>
    <t>Niêm yết TB cuốn</t>
  </si>
  <si>
    <t>Giấy in Ảnh</t>
  </si>
  <si>
    <t>Giấy ảnh RC 180gsm 91cm x 30m - TQ</t>
  </si>
  <si>
    <t>Giấy ảnh RC 260gsm 1.27cm x 30m - TQ</t>
  </si>
  <si>
    <t>Giấy ảnh RC 260gsm 1.27cm x 30m - Nhật</t>
  </si>
  <si>
    <t>Chất liệu</t>
  </si>
  <si>
    <t>BOP-MAT-32-4000</t>
  </si>
  <si>
    <t>INJ180-RC-91-30-TQ</t>
  </si>
  <si>
    <t>INJ260-RC-127-30-NH</t>
  </si>
  <si>
    <t>INJ260-RC-127-30-TQ</t>
  </si>
  <si>
    <t>Màng BOPP mờ 32cm x 4000</t>
  </si>
  <si>
    <t>Màng LAMI mờ 1.27cm x 45m</t>
  </si>
  <si>
    <t>LAM-MAT-127-45</t>
  </si>
  <si>
    <t>VAN3MM-120-240</t>
  </si>
  <si>
    <t>Ván 3mm 1.2 x 2.4m</t>
  </si>
  <si>
    <t>Giá / m2/tấm</t>
  </si>
  <si>
    <t>Bìa lót giữa có keo 62 x 92cm</t>
  </si>
  <si>
    <t>BIAKEO-62-92</t>
  </si>
  <si>
    <t>Kinh doanh Album Cổ điển 30x30cm</t>
  </si>
  <si>
    <t>Khổ ruột</t>
  </si>
  <si>
    <t>Tờ in bìa chạy</t>
  </si>
  <si>
    <t>Tờ in ruột chạy</t>
  </si>
  <si>
    <t>Số tờ đôi ruột</t>
  </si>
  <si>
    <t>Số trang ruột</t>
  </si>
  <si>
    <t>Tính giá bìa</t>
  </si>
  <si>
    <t>Tính giá ruột</t>
  </si>
  <si>
    <t>Mục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</si>
</sst>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C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5" fillId="2" borderId="0" applyNumberFormat="0" applyBorder="0" applyAlignment="0" applyProtection="0"/>
    <xf numFmtId="0" fontId="6" fillId="3" borderId="1" applyNumberFormat="0" applyAlignment="0" applyProtection="0"/>
  </cellStyleXfs>
  <cellXfs count="25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164" fontId="0" fillId="0" borderId="0" xfId="0" applyNumberFormat="1"/>
    <xf numFmtId="17" fontId="0" fillId="0" borderId="0" xfId="0" quotePrefix="1" applyNumberFormat="1"/>
    <xf numFmtId="43" fontId="0" fillId="0" borderId="0" xfId="2" applyFont="1"/>
    <xf numFmtId="0" fontId="2" fillId="0" borderId="0" xfId="0" applyFont="1" applyAlignment="1">
      <alignment wrapText="1"/>
    </xf>
    <xf numFmtId="164" fontId="2" fillId="0" borderId="0" xfId="0" applyNumberFormat="1" applyFont="1"/>
    <xf numFmtId="164" fontId="0" fillId="0" borderId="0" xfId="1" applyNumberFormat="1" applyFont="1"/>
    <xf numFmtId="0" fontId="4" fillId="0" borderId="0" xfId="0" applyFont="1"/>
    <xf numFmtId="9" fontId="4" fillId="0" borderId="0" xfId="0" applyNumberFormat="1" applyFont="1"/>
    <xf numFmtId="10" fontId="4" fillId="0" borderId="0" xfId="0" applyNumberFormat="1" applyFont="1"/>
    <xf numFmtId="14" fontId="0" fillId="0" borderId="0" xfId="0" applyNumberFormat="1"/>
    <xf numFmtId="164" fontId="0" fillId="0" borderId="0" xfId="0" applyNumberFormat="1" applyFont="1"/>
    <xf numFmtId="9" fontId="5" fillId="2" borderId="1" xfId="3" applyNumberFormat="1" applyBorder="1"/>
    <xf numFmtId="0" fontId="6" fillId="3" borderId="1" xfId="4"/>
    <xf numFmtId="0" fontId="0" fillId="0" borderId="0" xfId="0" quotePrefix="1"/>
    <xf numFmtId="0" fontId="0" fillId="0" borderId="0" xfId="0" quotePrefix="1" applyAlignment="1">
      <alignment wrapText="1"/>
    </xf>
    <xf numFmtId="164" fontId="3" fillId="0" borderId="0" xfId="0" quotePrefix="1" applyNumberFormat="1" applyFont="1"/>
    <xf numFmtId="0" fontId="0" fillId="4" borderId="0" xfId="0" applyFill="1" applyAlignment="1">
      <alignment wrapText="1"/>
    </xf>
    <xf numFmtId="0" fontId="0" fillId="4" borderId="0" xfId="0" applyFill="1"/>
    <xf numFmtId="164" fontId="0" fillId="4" borderId="0" xfId="0" applyNumberFormat="1" applyFill="1"/>
    <xf numFmtId="0" fontId="7" fillId="0" borderId="0" xfId="0" applyFont="1"/>
    <xf numFmtId="164" fontId="2" fillId="0" borderId="0" xfId="1" applyNumberFormat="1" applyFont="1"/>
    <xf numFmtId="164" fontId="8" fillId="0" borderId="0" xfId="0" applyNumberFormat="1" applyFont="1"/>
  </cellXfs>
  <cellStyles count="5">
    <cellStyle name="Bình thường" xfId="0" builtinId="0"/>
    <cellStyle name="Dấu phẩy" xfId="2" builtinId="3"/>
    <cellStyle name="Tiền tệ" xfId="1" builtinId="4"/>
    <cellStyle name="Tính toán" xfId="4" builtinId="22"/>
    <cellStyle name="Tốt" xfId="3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E66CD219-7906-4CEC-B7A9-F76C6DE66047}"/>
            </a:ext>
          </a:extLst>
        </xdr:cNvPr>
        <xdr:cNvSpPr txBox="1"/>
      </xdr:nvSpPr>
      <xdr:spPr>
        <a:xfrm>
          <a:off x="3486150" y="133350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5A3EEC4-6BBC-4532-940D-7AEED91E2985}"/>
            </a:ext>
          </a:extLst>
        </xdr:cNvPr>
        <xdr:cNvSpPr txBox="1"/>
      </xdr:nvSpPr>
      <xdr:spPr>
        <a:xfrm>
          <a:off x="3086100" y="133350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2C77888-CCC2-42AC-A4DB-731E5AC079C3}"/>
            </a:ext>
          </a:extLst>
        </xdr:cNvPr>
        <xdr:cNvSpPr txBox="1"/>
      </xdr:nvSpPr>
      <xdr:spPr>
        <a:xfrm>
          <a:off x="3238500" y="133350"/>
          <a:ext cx="4295775" cy="95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180975</xdr:rowOff>
    </xdr:from>
    <xdr:to>
      <xdr:col>12</xdr:col>
      <xdr:colOff>333375</xdr:colOff>
      <xdr:row>6</xdr:row>
      <xdr:rowOff>38100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7E4F3E0-9C6C-4ED7-BD23-B4C66931A365}"/>
            </a:ext>
          </a:extLst>
        </xdr:cNvPr>
        <xdr:cNvSpPr txBox="1"/>
      </xdr:nvSpPr>
      <xdr:spPr>
        <a:xfrm>
          <a:off x="8591550" y="180975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00BDB77-69EA-43BD-95FD-6C4086667499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B85355AF-E5BC-40EB-82E0-3B1707B42F0C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7D2E73B2-3D6C-4395-B8BB-0A253013C594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7413EA70-F6C7-415F-B50B-1D3A7495444F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6FBDB533-5AEE-4CF9-BBF3-9FF01315F97C}"/>
            </a:ext>
          </a:extLst>
        </xdr:cNvPr>
        <xdr:cNvSpPr txBox="1"/>
      </xdr:nvSpPr>
      <xdr:spPr>
        <a:xfrm>
          <a:off x="11020424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AE028CC-04AD-4098-9561-7B4B157C7D7F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effectLst/>
            </a:rPr>
            <a:t>PhiLamRuotCuonMP_Tay(soCuon As Integer, soToDoiTrenMoiCuon As Integer) </a:t>
          </a: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6</xdr:row>
      <xdr:rowOff>0</xdr:rowOff>
    </xdr:from>
    <xdr:to>
      <xdr:col>19</xdr:col>
      <xdr:colOff>238125</xdr:colOff>
      <xdr:row>14</xdr:row>
      <xdr:rowOff>295275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1BFB100B-167E-434F-A86F-0CFE4AB09BE4}"/>
            </a:ext>
          </a:extLst>
        </xdr:cNvPr>
        <xdr:cNvSpPr txBox="1"/>
      </xdr:nvSpPr>
      <xdr:spPr>
        <a:xfrm>
          <a:off x="13230225" y="1143000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effectLst/>
            </a:rPr>
            <a:t>PhiDongCuonMP_Tay(soCuon As Integer, soToDoi As Integer) As Double</a:t>
          </a: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275EC-62B4-49A3-B4A4-9A7805B05A61}">
  <sheetPr codeName="Trang_tính2"/>
  <dimension ref="A2:C21"/>
  <sheetViews>
    <sheetView workbookViewId="0">
      <selection activeCell="C19" sqref="C19"/>
    </sheetView>
  </sheetViews>
  <sheetFormatPr defaultRowHeight="15" x14ac:dyDescent="0.25"/>
  <cols>
    <col min="1" max="1" width="19.85546875" bestFit="1" customWidth="1"/>
    <col min="2" max="2" width="35.28515625" bestFit="1" customWidth="1"/>
    <col min="3" max="3" width="12.7109375" bestFit="1" customWidth="1"/>
  </cols>
  <sheetData>
    <row r="2" spans="1:3" x14ac:dyDescent="0.25">
      <c r="B2" t="s">
        <v>268</v>
      </c>
    </row>
    <row r="4" spans="1:3" x14ac:dyDescent="0.25">
      <c r="A4" s="1" t="s">
        <v>122</v>
      </c>
      <c r="B4" s="1" t="s">
        <v>272</v>
      </c>
      <c r="C4" s="1" t="s">
        <v>282</v>
      </c>
    </row>
    <row r="5" spans="1:3" x14ac:dyDescent="0.25">
      <c r="A5" t="s">
        <v>274</v>
      </c>
      <c r="B5" t="s">
        <v>269</v>
      </c>
      <c r="C5" s="3">
        <v>37000</v>
      </c>
    </row>
    <row r="6" spans="1:3" x14ac:dyDescent="0.25">
      <c r="A6" t="s">
        <v>276</v>
      </c>
      <c r="B6" t="s">
        <v>270</v>
      </c>
      <c r="C6" s="3">
        <v>36000</v>
      </c>
    </row>
    <row r="7" spans="1:3" x14ac:dyDescent="0.25">
      <c r="A7" t="s">
        <v>275</v>
      </c>
      <c r="B7" t="s">
        <v>271</v>
      </c>
      <c r="C7" s="3">
        <v>45000</v>
      </c>
    </row>
    <row r="9" spans="1:3" x14ac:dyDescent="0.25">
      <c r="A9" t="s">
        <v>273</v>
      </c>
      <c r="B9" t="s">
        <v>277</v>
      </c>
      <c r="C9" s="3">
        <f>24*93000/(0.32*4000)</f>
        <v>1743.75</v>
      </c>
    </row>
    <row r="10" spans="1:3" x14ac:dyDescent="0.25">
      <c r="A10" t="s">
        <v>279</v>
      </c>
      <c r="B10" t="s">
        <v>278</v>
      </c>
      <c r="C10" s="3">
        <f>1400000/(1.27*45)</f>
        <v>24496.937882764654</v>
      </c>
    </row>
    <row r="11" spans="1:3" x14ac:dyDescent="0.25">
      <c r="C11" s="3"/>
    </row>
    <row r="12" spans="1:3" x14ac:dyDescent="0.25">
      <c r="A12" t="s">
        <v>280</v>
      </c>
      <c r="B12" t="s">
        <v>281</v>
      </c>
      <c r="C12" s="3">
        <v>80000</v>
      </c>
    </row>
    <row r="13" spans="1:3" x14ac:dyDescent="0.25">
      <c r="A13" t="s">
        <v>284</v>
      </c>
      <c r="B13" t="s">
        <v>283</v>
      </c>
      <c r="C13" s="3">
        <v>15000</v>
      </c>
    </row>
    <row r="14" spans="1:3" x14ac:dyDescent="0.25">
      <c r="C14" s="3"/>
    </row>
    <row r="15" spans="1:3" x14ac:dyDescent="0.25">
      <c r="C15" s="3"/>
    </row>
    <row r="16" spans="1:3" x14ac:dyDescent="0.25">
      <c r="C16" s="3"/>
    </row>
    <row r="17" spans="3:3" x14ac:dyDescent="0.25">
      <c r="C17" s="3"/>
    </row>
    <row r="18" spans="3:3" x14ac:dyDescent="0.25">
      <c r="C18" s="3"/>
    </row>
    <row r="19" spans="3:3" x14ac:dyDescent="0.25">
      <c r="C19" s="3"/>
    </row>
    <row r="20" spans="3:3" x14ac:dyDescent="0.25">
      <c r="C20" s="3"/>
    </row>
    <row r="21" spans="3:3" x14ac:dyDescent="0.25">
      <c r="C21" s="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61011-059B-441B-8584-01F6CF1699F9}">
  <sheetPr codeName="Sheet8"/>
  <dimension ref="A1:N60"/>
  <sheetViews>
    <sheetView tabSelected="1" workbookViewId="0">
      <selection activeCell="D18" sqref="D18"/>
    </sheetView>
  </sheetViews>
  <sheetFormatPr defaultRowHeight="15" x14ac:dyDescent="0.25"/>
  <cols>
    <col min="1" max="1" width="20" bestFit="1" customWidth="1"/>
    <col min="2" max="2" width="17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10" width="15" bestFit="1" customWidth="1"/>
    <col min="14" max="14" width="13.28515625" bestFit="1" customWidth="1"/>
  </cols>
  <sheetData>
    <row r="1" spans="1:10" x14ac:dyDescent="0.25">
      <c r="A1" s="1" t="s">
        <v>285</v>
      </c>
    </row>
    <row r="2" spans="1:10" x14ac:dyDescent="0.25">
      <c r="A2" t="s">
        <v>127</v>
      </c>
      <c r="B2" s="12">
        <v>43729</v>
      </c>
    </row>
    <row r="3" spans="1:10" x14ac:dyDescent="0.25">
      <c r="B3" t="s">
        <v>53</v>
      </c>
      <c r="C3" t="s">
        <v>54</v>
      </c>
    </row>
    <row r="4" spans="1:10" x14ac:dyDescent="0.25">
      <c r="A4" t="s">
        <v>286</v>
      </c>
      <c r="B4">
        <v>30</v>
      </c>
      <c r="C4">
        <v>30</v>
      </c>
    </row>
    <row r="5" spans="1:10" x14ac:dyDescent="0.25">
      <c r="A5" t="s">
        <v>288</v>
      </c>
      <c r="B5" s="1">
        <v>32</v>
      </c>
      <c r="C5">
        <v>62</v>
      </c>
      <c r="E5" s="2"/>
    </row>
    <row r="6" spans="1:10" x14ac:dyDescent="0.25">
      <c r="A6" t="s">
        <v>287</v>
      </c>
      <c r="B6" s="1">
        <v>36</v>
      </c>
      <c r="C6">
        <v>70</v>
      </c>
      <c r="E6" s="2"/>
    </row>
    <row r="7" spans="1:10" x14ac:dyDescent="0.25">
      <c r="A7" t="s">
        <v>290</v>
      </c>
      <c r="B7" s="1">
        <v>30</v>
      </c>
      <c r="E7" s="2"/>
    </row>
    <row r="8" spans="1:10" x14ac:dyDescent="0.25">
      <c r="A8" t="s">
        <v>289</v>
      </c>
      <c r="B8" s="1">
        <v>15</v>
      </c>
      <c r="E8" s="2"/>
    </row>
    <row r="9" spans="1:10" x14ac:dyDescent="0.25">
      <c r="B9" s="1"/>
      <c r="E9" s="2"/>
    </row>
    <row r="10" spans="1:10" x14ac:dyDescent="0.25">
      <c r="A10" t="s">
        <v>291</v>
      </c>
      <c r="D10" s="1">
        <v>2</v>
      </c>
      <c r="E10">
        <v>2</v>
      </c>
    </row>
    <row r="11" spans="1:10" x14ac:dyDescent="0.25">
      <c r="A11" t="s">
        <v>51</v>
      </c>
      <c r="D11" s="14">
        <v>0.75</v>
      </c>
      <c r="E11" s="15" t="s">
        <v>131</v>
      </c>
    </row>
    <row r="12" spans="1:10" x14ac:dyDescent="0.25">
      <c r="B12" t="s">
        <v>122</v>
      </c>
      <c r="C12" t="s">
        <v>123</v>
      </c>
      <c r="D12" t="s">
        <v>125</v>
      </c>
      <c r="E12" t="s">
        <v>124</v>
      </c>
    </row>
    <row r="13" spans="1:10" ht="14.25" customHeight="1" x14ac:dyDescent="0.25">
      <c r="A13" t="s">
        <v>121</v>
      </c>
      <c r="B13" t="s">
        <v>90</v>
      </c>
      <c r="C13" t="s">
        <v>95</v>
      </c>
      <c r="D13">
        <v>515</v>
      </c>
      <c r="E13" s="3">
        <f>D13*(1+D11)</f>
        <v>901.25</v>
      </c>
    </row>
    <row r="14" spans="1:10" ht="14.25" customHeight="1" x14ac:dyDescent="0.25">
      <c r="E14" s="3"/>
    </row>
    <row r="15" spans="1:10" ht="14.25" customHeight="1" x14ac:dyDescent="0.25">
      <c r="E15" s="3"/>
    </row>
    <row r="16" spans="1:10" x14ac:dyDescent="0.25">
      <c r="E16" s="3"/>
      <c r="J16" t="s">
        <v>178</v>
      </c>
    </row>
    <row r="17" spans="1:14" x14ac:dyDescent="0.25">
      <c r="A17" t="s">
        <v>292</v>
      </c>
      <c r="J17" s="18">
        <f>$E$13/2</f>
        <v>450.625</v>
      </c>
    </row>
    <row r="18" spans="1:14" ht="30" x14ac:dyDescent="0.25">
      <c r="A18" s="6" t="s">
        <v>293</v>
      </c>
      <c r="B18" s="17" t="s">
        <v>156</v>
      </c>
      <c r="C18">
        <v>15</v>
      </c>
      <c r="D18">
        <v>20</v>
      </c>
      <c r="E18">
        <v>50</v>
      </c>
      <c r="F18">
        <v>100</v>
      </c>
      <c r="G18">
        <v>150</v>
      </c>
      <c r="H18">
        <v>200</v>
      </c>
      <c r="N18" s="16" t="s">
        <v>177</v>
      </c>
    </row>
    <row r="19" spans="1:14" x14ac:dyDescent="0.25">
      <c r="A19" s="2">
        <v>8</v>
      </c>
      <c r="B19">
        <f>$A19*C$18</f>
        <v>120</v>
      </c>
      <c r="C19" s="3" t="e">
        <f ca="1">PhiMayInToner4M_Max($A19*C$18)*(1+$D$11)/($A19*C$18)</f>
        <v>#NAME?</v>
      </c>
      <c r="D19" s="3" t="e">
        <f ca="1">PhiMayInToner4M_Max($A19*D$18)*(1+$D$11)/($A19*D$18)</f>
        <v>#NAME?</v>
      </c>
      <c r="E19" s="3" t="e">
        <f ca="1">PhiMayInToner4M_Max($A19*E$18)*(1+$D$11)/($A19*E$18)</f>
        <v>#NAME?</v>
      </c>
      <c r="F19" s="3" t="e">
        <f ca="1">PhiMayInToner4M_Max($A19*F$18)*(1+$D$11)/($A19*F$18)</f>
        <v>#NAME?</v>
      </c>
      <c r="G19" s="3" t="e">
        <f ca="1">PhiMayInToner4M_Max($A19*G$18)*(1+$D$11)/($A19*G$18)</f>
        <v>#NAME?</v>
      </c>
      <c r="H19" s="3" t="e">
        <f ca="1">PhiMayInToner4M_Max($A19*H$18)*(1+$D$11)/($A19*H$18)</f>
        <v>#NAME?</v>
      </c>
      <c r="N19" s="3" t="e">
        <f ca="1">PhiMayInToner4M_Max(80)</f>
        <v>#NAME?</v>
      </c>
    </row>
    <row r="20" spans="1:14" x14ac:dyDescent="0.25">
      <c r="A20" s="2">
        <f>A19+4</f>
        <v>12</v>
      </c>
      <c r="B20">
        <f t="shared" ref="B20:B27" si="0">$A20*C$18</f>
        <v>180</v>
      </c>
      <c r="C20" s="3" t="e">
        <f ca="1">PhiMayInToner4M_Max($A20*C$18)*(1+$D$11)/($A20*C$18)</f>
        <v>#NAME?</v>
      </c>
      <c r="D20" s="3" t="e">
        <f ca="1">PhiMayInToner4M_Max($A20*D$18)*(1+$D$11)/($A20*D$18)</f>
        <v>#NAME?</v>
      </c>
      <c r="E20" s="3" t="e">
        <f ca="1">PhiMayInToner4M_Max($A20*E$18)*(1+$D$11)/($A20*E$18)</f>
        <v>#NAME?</v>
      </c>
      <c r="F20" s="3" t="e">
        <f ca="1">PhiMayInToner4M_Max($A20*F$18)*(1+$D$11)/($A20*F$18)</f>
        <v>#NAME?</v>
      </c>
      <c r="G20" s="3" t="e">
        <f ca="1">PhiMayInToner4M_Max($A20*G$18)*(1+$D$11)/($A20*G$18)</f>
        <v>#NAME?</v>
      </c>
      <c r="H20" s="3" t="e">
        <f ca="1">PhiMayInToner4M_Max($A20*H$18)*(1+$D$11)/($A20*H$18)</f>
        <v>#NAME?</v>
      </c>
      <c r="N20">
        <f>80*60*0.8</f>
        <v>3840</v>
      </c>
    </row>
    <row r="21" spans="1:14" x14ac:dyDescent="0.25">
      <c r="A21" s="2">
        <f t="shared" ref="A21:A42" si="1">A20+4</f>
        <v>16</v>
      </c>
      <c r="B21">
        <f t="shared" si="0"/>
        <v>240</v>
      </c>
      <c r="C21" s="3" t="e">
        <f ca="1">PhiMayInToner4M_Max($A21*C$18)*(1+$D$11)/($A21*C$18)</f>
        <v>#NAME?</v>
      </c>
      <c r="D21" s="3" t="e">
        <f ca="1">PhiMayInToner4M_Max($A21*D$18)*(1+$D$11)/($A21*D$18)</f>
        <v>#NAME?</v>
      </c>
      <c r="E21" s="3" t="e">
        <f ca="1">PhiMayInToner4M_Max($A21*E$18)*(1+$D$11)/($A21*E$18)</f>
        <v>#NAME?</v>
      </c>
      <c r="F21" s="3" t="e">
        <f ca="1">PhiMayInToner4M_Max($A21*F$18)*(1+$D$11)/($A21*F$18)</f>
        <v>#NAME?</v>
      </c>
      <c r="G21" s="3" t="e">
        <f ca="1">PhiMayInToner4M_Max($A21*G$18)*(1+$D$11)/($A21*G$18)</f>
        <v>#NAME?</v>
      </c>
      <c r="H21" s="3" t="e">
        <f ca="1">PhiMayInToner4M_Max($A21*H$18)*(1+$D$11)/($A21*H$18)</f>
        <v>#NAME?</v>
      </c>
    </row>
    <row r="22" spans="1:14" x14ac:dyDescent="0.25">
      <c r="A22" s="2">
        <f t="shared" si="1"/>
        <v>20</v>
      </c>
      <c r="B22">
        <f t="shared" si="0"/>
        <v>300</v>
      </c>
      <c r="C22" s="3" t="e">
        <f ca="1">PhiMayInToner4M_Max($A22*C$18)*(1+$D$11)/($A22*C$18)</f>
        <v>#NAME?</v>
      </c>
      <c r="D22" s="3" t="e">
        <f ca="1">PhiMayInToner4M_Max($A22*D$18)*(1+$D$11)/($A22*D$18)</f>
        <v>#NAME?</v>
      </c>
      <c r="E22" s="3" t="e">
        <f ca="1">PhiMayInToner4M_Max($A22*E$18)*(1+$D$11)/($A22*E$18)</f>
        <v>#NAME?</v>
      </c>
      <c r="F22" s="3" t="e">
        <f ca="1">PhiMayInToner4M_Max($A22*F$18)*(1+$D$11)/($A22*F$18)</f>
        <v>#NAME?</v>
      </c>
      <c r="G22" s="3" t="e">
        <f ca="1">PhiMayInToner4M_Max($A22*G$18)*(1+$D$11)/($A22*G$18)</f>
        <v>#NAME?</v>
      </c>
      <c r="H22" s="3" t="e">
        <f ca="1">PhiMayInToner4M_Max($A22*H$18)*(1+$D$11)/($A22*H$18)</f>
        <v>#NAME?</v>
      </c>
    </row>
    <row r="23" spans="1:14" x14ac:dyDescent="0.25">
      <c r="A23" s="2">
        <f t="shared" si="1"/>
        <v>24</v>
      </c>
      <c r="B23">
        <f t="shared" si="0"/>
        <v>360</v>
      </c>
      <c r="C23" s="3" t="e">
        <f ca="1">PhiMayInToner4M_Max($A23*C$18)*(1+$D$11)/($A23*C$18)</f>
        <v>#NAME?</v>
      </c>
      <c r="D23" s="3" t="e">
        <f ca="1">PhiMayInToner4M_Max($A23*D$18)*(1+$D$11)/($A23*D$18)</f>
        <v>#NAME?</v>
      </c>
      <c r="E23" s="3" t="e">
        <f ca="1">PhiMayInToner4M_Max($A23*E$18)*(1+$D$11)/($A23*E$18)</f>
        <v>#NAME?</v>
      </c>
      <c r="F23" s="3" t="e">
        <f ca="1">PhiMayInToner4M_Max($A23*F$18)*(1+$D$11)/($A23*F$18)</f>
        <v>#NAME?</v>
      </c>
      <c r="G23" s="3" t="e">
        <f ca="1">PhiMayInToner4M_Max($A23*G$18)*(1+$D$11)/($A23*G$18)</f>
        <v>#NAME?</v>
      </c>
      <c r="H23" s="3" t="e">
        <f ca="1">PhiMayInToner4M_Max($A23*H$18)*(1+$D$11)/($A23*H$18)</f>
        <v>#NAME?</v>
      </c>
    </row>
    <row r="24" spans="1:14" x14ac:dyDescent="0.25">
      <c r="A24" s="2">
        <f t="shared" si="1"/>
        <v>28</v>
      </c>
      <c r="B24">
        <f t="shared" si="0"/>
        <v>420</v>
      </c>
      <c r="C24" s="3" t="e">
        <f ca="1">PhiMayInToner4M_Max($A24*C$18)*(1+$D$11)/($A24*C$18)</f>
        <v>#NAME?</v>
      </c>
      <c r="D24" s="3" t="e">
        <f ca="1">PhiMayInToner4M_Max($A24*D$18)*(1+$D$11)/($A24*D$18)</f>
        <v>#NAME?</v>
      </c>
      <c r="E24" s="3" t="e">
        <f ca="1">PhiMayInToner4M_Max($A24*E$18)*(1+$D$11)/($A24*E$18)</f>
        <v>#NAME?</v>
      </c>
      <c r="F24" s="3" t="e">
        <f ca="1">PhiMayInToner4M_Max($A24*F$18)*(1+$D$11)/($A24*F$18)</f>
        <v>#NAME?</v>
      </c>
      <c r="G24" s="3" t="e">
        <f ca="1">PhiMayInToner4M_Max($A24*G$18)*(1+$D$11)/($A24*G$18)</f>
        <v>#NAME?</v>
      </c>
      <c r="H24" s="3" t="e">
        <f ca="1">PhiMayInToner4M_Max($A24*H$18)*(1+$D$11)/($A24*H$18)</f>
        <v>#NAME?</v>
      </c>
    </row>
    <row r="25" spans="1:14" x14ac:dyDescent="0.25">
      <c r="A25" s="2">
        <f t="shared" si="1"/>
        <v>32</v>
      </c>
      <c r="B25">
        <f t="shared" si="0"/>
        <v>480</v>
      </c>
      <c r="C25" s="3" t="e">
        <f ca="1">PhiMayInToner4M_Max($A25*C$18)*(1+$D$11)/($A25*C$18)</f>
        <v>#NAME?</v>
      </c>
      <c r="D25" s="3" t="e">
        <f ca="1">PhiMayInToner4M_Max($A25*D$18)*(1+$D$11)/($A25*D$18)</f>
        <v>#NAME?</v>
      </c>
      <c r="E25" s="3" t="e">
        <f ca="1">PhiMayInToner4M_Max($A25*E$18)*(1+$D$11)/($A25*E$18)</f>
        <v>#NAME?</v>
      </c>
      <c r="F25" s="3" t="e">
        <f ca="1">PhiMayInToner4M_Max($A25*F$18)*(1+$D$11)/($A25*F$18)</f>
        <v>#NAME?</v>
      </c>
      <c r="G25" s="3" t="e">
        <f ca="1">PhiMayInToner4M_Max($A25*G$18)*(1+$D$11)/($A25*G$18)</f>
        <v>#NAME?</v>
      </c>
      <c r="H25" s="3" t="e">
        <f ca="1">PhiMayInToner4M_Max($A25*H$18)*(1+$D$11)/($A25*H$18)</f>
        <v>#NAME?</v>
      </c>
    </row>
    <row r="26" spans="1:14" x14ac:dyDescent="0.25">
      <c r="A26" s="2">
        <f t="shared" si="1"/>
        <v>36</v>
      </c>
      <c r="B26">
        <f t="shared" si="0"/>
        <v>540</v>
      </c>
      <c r="C26" s="3" t="e">
        <f ca="1">PhiMayInToner4M_Max($A26*C$18)*(1+$D$11)/($A26*C$18)</f>
        <v>#NAME?</v>
      </c>
      <c r="D26" s="3" t="e">
        <f ca="1">PhiMayInToner4M_Max($A26*D$18)*(1+$D$11)/($A26*D$18)</f>
        <v>#NAME?</v>
      </c>
      <c r="E26" s="3" t="e">
        <f ca="1">PhiMayInToner4M_Max($A26*E$18)*(1+$D$11)/($A26*E$18)</f>
        <v>#NAME?</v>
      </c>
      <c r="F26" s="3" t="e">
        <f ca="1">PhiMayInToner4M_Max($A26*F$18)*(1+$D$11)/($A26*F$18)</f>
        <v>#NAME?</v>
      </c>
      <c r="G26" s="3" t="e">
        <f ca="1">PhiMayInToner4M_Max($A26*G$18)*(1+$D$11)/($A26*G$18)</f>
        <v>#NAME?</v>
      </c>
      <c r="H26" s="3" t="e">
        <f ca="1">PhiMayInToner4M_Max($A26*H$18)*(1+$D$11)/($A26*H$18)</f>
        <v>#NAME?</v>
      </c>
    </row>
    <row r="27" spans="1:14" x14ac:dyDescent="0.25">
      <c r="A27" s="2">
        <f t="shared" si="1"/>
        <v>40</v>
      </c>
      <c r="B27">
        <f t="shared" si="0"/>
        <v>600</v>
      </c>
      <c r="C27" s="3" t="e">
        <f ca="1">PhiMayInToner4M_Max($A27*C$18)*(1+$D$11)/($A27*C$18)</f>
        <v>#NAME?</v>
      </c>
      <c r="D27" s="3" t="e">
        <f ca="1">PhiMayInToner4M_Max($A27*D$18)*(1+$D$11)/($A27*D$18)</f>
        <v>#NAME?</v>
      </c>
      <c r="E27" s="3" t="e">
        <f ca="1">PhiMayInToner4M_Max($A27*E$18)*(1+$D$11)/($A27*E$18)</f>
        <v>#NAME?</v>
      </c>
      <c r="F27" s="3" t="e">
        <f ca="1">PhiMayInToner4M_Max($A27*F$18)*(1+$D$11)/($A27*F$18)</f>
        <v>#NAME?</v>
      </c>
      <c r="G27" s="3" t="e">
        <f ca="1">PhiMayInToner4M_Max($A27*G$18)*(1+$D$11)/($A27*G$18)</f>
        <v>#NAME?</v>
      </c>
      <c r="H27" s="3" t="e">
        <f ca="1">PhiMayInToner4M_Max($A27*H$18)*(1+$D$11)/($A27*H$18)</f>
        <v>#NAME?</v>
      </c>
    </row>
    <row r="28" spans="1:14" x14ac:dyDescent="0.25">
      <c r="A28" s="2">
        <f t="shared" si="1"/>
        <v>44</v>
      </c>
      <c r="C28" s="3" t="e">
        <f ca="1">PhiMayInToner4M_Max($A28*C$18)*(1+$D$11)/($A28*C$18)</f>
        <v>#NAME?</v>
      </c>
      <c r="D28" s="3" t="e">
        <f ca="1">PhiMayInToner4M_Max($A28*D$18)*(1+$D$11)/($A28*D$18)</f>
        <v>#NAME?</v>
      </c>
      <c r="E28" s="3" t="e">
        <f ca="1">PhiMayInToner4M_Max($A28*E$18)*(1+$D$11)/($A28*E$18)</f>
        <v>#NAME?</v>
      </c>
      <c r="F28" s="3" t="e">
        <f ca="1">PhiMayInToner4M_Max($A28*F$18)*(1+$D$11)/($A28*F$18)</f>
        <v>#NAME?</v>
      </c>
      <c r="G28" s="3" t="e">
        <f ca="1">PhiMayInToner4M_Max($A28*G$18)*(1+$D$11)/($A28*G$18)</f>
        <v>#NAME?</v>
      </c>
      <c r="H28" s="3" t="e">
        <f ca="1">PhiMayInToner4M_Max($A28*H$18)*(1+$D$11)/($A28*H$18)</f>
        <v>#NAME?</v>
      </c>
    </row>
    <row r="29" spans="1:14" x14ac:dyDescent="0.25">
      <c r="A29" s="2">
        <f t="shared" si="1"/>
        <v>48</v>
      </c>
      <c r="C29" s="3" t="e">
        <f ca="1">PhiMayInToner4M_Max($A29*C$18)*(1+$D$11)/($A29*C$18)</f>
        <v>#NAME?</v>
      </c>
      <c r="D29" s="3" t="e">
        <f ca="1">PhiMayInToner4M_Max($A29*D$18)*(1+$D$11)/($A29*D$18)</f>
        <v>#NAME?</v>
      </c>
      <c r="E29" s="3" t="e">
        <f ca="1">PhiMayInToner4M_Max($A29*E$18)*(1+$D$11)/($A29*E$18)</f>
        <v>#NAME?</v>
      </c>
      <c r="F29" s="3" t="e">
        <f ca="1">PhiMayInToner4M_Max($A29*F$18)*(1+$D$11)/($A29*F$18)</f>
        <v>#NAME?</v>
      </c>
      <c r="G29" s="3" t="e">
        <f ca="1">PhiMayInToner4M_Max($A29*G$18)*(1+$D$11)/($A29*G$18)</f>
        <v>#NAME?</v>
      </c>
      <c r="H29" s="3" t="e">
        <f ca="1">PhiMayInToner4M_Max($A29*H$18)*(1+$D$11)/($A29*H$18)</f>
        <v>#NAME?</v>
      </c>
    </row>
    <row r="30" spans="1:14" x14ac:dyDescent="0.25">
      <c r="A30" s="2">
        <f t="shared" si="1"/>
        <v>52</v>
      </c>
      <c r="C30" s="3" t="e">
        <f ca="1">PhiMayInToner4M_Max($A30*C$18)*(1+$D$11)/($A30*C$18)</f>
        <v>#NAME?</v>
      </c>
      <c r="D30" s="3" t="e">
        <f ca="1">PhiMayInToner4M_Max($A30*D$18)*(1+$D$11)/($A30*D$18)</f>
        <v>#NAME?</v>
      </c>
      <c r="E30" s="3" t="e">
        <f ca="1">PhiMayInToner4M_Max($A30*E$18)*(1+$D$11)/($A30*E$18)</f>
        <v>#NAME?</v>
      </c>
      <c r="F30" s="3" t="e">
        <f ca="1">PhiMayInToner4M_Max($A30*F$18)*(1+$D$11)/($A30*F$18)</f>
        <v>#NAME?</v>
      </c>
      <c r="G30" s="3" t="e">
        <f ca="1">PhiMayInToner4M_Max($A30*G$18)*(1+$D$11)/($A30*G$18)</f>
        <v>#NAME?</v>
      </c>
      <c r="H30" s="3" t="e">
        <f ca="1">PhiMayInToner4M_Max($A30*H$18)*(1+$D$11)/($A30*H$18)</f>
        <v>#NAME?</v>
      </c>
    </row>
    <row r="31" spans="1:14" x14ac:dyDescent="0.25">
      <c r="A31" s="2">
        <f t="shared" si="1"/>
        <v>56</v>
      </c>
      <c r="C31" s="3" t="e">
        <f ca="1">PhiMayInToner4M_Max($A31*C$18)*(1+$D$11)/($A31*C$18)</f>
        <v>#NAME?</v>
      </c>
      <c r="D31" s="3" t="e">
        <f ca="1">PhiMayInToner4M_Max($A31*D$18)*(1+$D$11)/($A31*D$18)</f>
        <v>#NAME?</v>
      </c>
      <c r="E31" s="3" t="e">
        <f ca="1">PhiMayInToner4M_Max($A31*E$18)*(1+$D$11)/($A31*E$18)</f>
        <v>#NAME?</v>
      </c>
      <c r="F31" s="3" t="e">
        <f ca="1">PhiMayInToner4M_Max($A31*F$18)*(1+$D$11)/($A31*F$18)</f>
        <v>#NAME?</v>
      </c>
      <c r="G31" s="3" t="e">
        <f ca="1">PhiMayInToner4M_Max($A31*G$18)*(1+$D$11)/($A31*G$18)</f>
        <v>#NAME?</v>
      </c>
      <c r="H31" s="3" t="e">
        <f ca="1">PhiMayInToner4M_Max($A31*H$18)*(1+$D$11)/($A31*H$18)</f>
        <v>#NAME?</v>
      </c>
    </row>
    <row r="32" spans="1:14" x14ac:dyDescent="0.25">
      <c r="A32" s="2">
        <f t="shared" si="1"/>
        <v>60</v>
      </c>
      <c r="C32" s="3"/>
      <c r="D32" s="3"/>
      <c r="E32" s="3"/>
      <c r="F32" s="3"/>
      <c r="G32" s="3"/>
      <c r="H32" s="3"/>
    </row>
    <row r="33" spans="1:8" x14ac:dyDescent="0.25">
      <c r="A33" s="2">
        <f t="shared" si="1"/>
        <v>64</v>
      </c>
      <c r="C33" s="3"/>
      <c r="D33" s="3"/>
      <c r="E33" s="3"/>
      <c r="F33" s="3"/>
      <c r="G33" s="3"/>
      <c r="H33" s="3"/>
    </row>
    <row r="34" spans="1:8" x14ac:dyDescent="0.25">
      <c r="A34" s="2">
        <f t="shared" si="1"/>
        <v>68</v>
      </c>
    </row>
    <row r="35" spans="1:8" x14ac:dyDescent="0.25">
      <c r="A35" s="2">
        <f t="shared" si="1"/>
        <v>72</v>
      </c>
    </row>
    <row r="36" spans="1:8" x14ac:dyDescent="0.25">
      <c r="A36" s="2">
        <f t="shared" si="1"/>
        <v>76</v>
      </c>
    </row>
    <row r="37" spans="1:8" x14ac:dyDescent="0.25">
      <c r="A37" s="2">
        <f t="shared" si="1"/>
        <v>80</v>
      </c>
    </row>
    <row r="38" spans="1:8" x14ac:dyDescent="0.25">
      <c r="A38" s="2">
        <f t="shared" si="1"/>
        <v>84</v>
      </c>
    </row>
    <row r="39" spans="1:8" x14ac:dyDescent="0.25">
      <c r="A39" s="2">
        <f t="shared" si="1"/>
        <v>88</v>
      </c>
    </row>
    <row r="40" spans="1:8" x14ac:dyDescent="0.25">
      <c r="A40" s="2">
        <f t="shared" si="1"/>
        <v>92</v>
      </c>
    </row>
    <row r="41" spans="1:8" x14ac:dyDescent="0.25">
      <c r="A41" s="2">
        <f t="shared" si="1"/>
        <v>96</v>
      </c>
    </row>
    <row r="42" spans="1:8" x14ac:dyDescent="0.25">
      <c r="A42" s="2">
        <f t="shared" si="1"/>
        <v>100</v>
      </c>
    </row>
    <row r="43" spans="1:8" x14ac:dyDescent="0.25">
      <c r="A43" s="2"/>
    </row>
    <row r="44" spans="1:8" x14ac:dyDescent="0.25">
      <c r="A44" s="2"/>
    </row>
    <row r="45" spans="1:8" x14ac:dyDescent="0.25">
      <c r="A45" s="2"/>
    </row>
    <row r="46" spans="1:8" x14ac:dyDescent="0.25">
      <c r="A46" s="2"/>
    </row>
    <row r="47" spans="1:8" x14ac:dyDescent="0.25">
      <c r="A47" s="2"/>
    </row>
    <row r="48" spans="1:8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8 B13:B16" xr:uid="{A129075C-403C-4143-ADFE-2BAD8D7634AE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06FA-F525-4A81-B059-57B0875437FF}">
  <sheetPr codeName="Sheet9"/>
  <dimension ref="A1:H34"/>
  <sheetViews>
    <sheetView workbookViewId="0">
      <selection activeCell="J34" sqref="J34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148</v>
      </c>
      <c r="B1" t="s">
        <v>155</v>
      </c>
    </row>
    <row r="2" spans="1:8" x14ac:dyDescent="0.25">
      <c r="A2" t="s">
        <v>127</v>
      </c>
      <c r="B2" s="12">
        <v>43609</v>
      </c>
    </row>
    <row r="3" spans="1:8" x14ac:dyDescent="0.25">
      <c r="B3" t="s">
        <v>53</v>
      </c>
      <c r="C3" t="s">
        <v>54</v>
      </c>
    </row>
    <row r="4" spans="1:8" x14ac:dyDescent="0.25">
      <c r="A4" t="s">
        <v>119</v>
      </c>
      <c r="B4">
        <v>30</v>
      </c>
      <c r="C4">
        <v>42</v>
      </c>
    </row>
    <row r="5" spans="1:8" ht="30" x14ac:dyDescent="0.25">
      <c r="A5" t="s">
        <v>117</v>
      </c>
      <c r="B5" s="1" t="s">
        <v>118</v>
      </c>
      <c r="C5">
        <v>32</v>
      </c>
      <c r="D5">
        <v>43</v>
      </c>
      <c r="E5" s="2" t="s">
        <v>130</v>
      </c>
    </row>
    <row r="6" spans="1:8" x14ac:dyDescent="0.25">
      <c r="A6" t="s">
        <v>126</v>
      </c>
      <c r="D6" s="1">
        <v>1</v>
      </c>
      <c r="E6">
        <v>2</v>
      </c>
    </row>
    <row r="7" spans="1:8" x14ac:dyDescent="0.25">
      <c r="A7" t="s">
        <v>51</v>
      </c>
      <c r="D7" s="14">
        <v>0.75</v>
      </c>
      <c r="E7" s="15" t="s">
        <v>131</v>
      </c>
    </row>
    <row r="8" spans="1:8" x14ac:dyDescent="0.25">
      <c r="B8" t="s">
        <v>122</v>
      </c>
      <c r="C8" t="s">
        <v>123</v>
      </c>
      <c r="D8" t="s">
        <v>125</v>
      </c>
      <c r="E8" t="s">
        <v>124</v>
      </c>
      <c r="F8" t="s">
        <v>158</v>
      </c>
    </row>
    <row r="9" spans="1:8" x14ac:dyDescent="0.25">
      <c r="A9" t="s">
        <v>149</v>
      </c>
      <c r="B9" t="s">
        <v>67</v>
      </c>
      <c r="C9" t="s">
        <v>60</v>
      </c>
      <c r="D9">
        <v>1272</v>
      </c>
      <c r="E9" s="3">
        <f>D9*(1+$D$7)</f>
        <v>2226</v>
      </c>
      <c r="F9" s="3">
        <f>E9/2</f>
        <v>1113</v>
      </c>
    </row>
    <row r="10" spans="1:8" x14ac:dyDescent="0.25">
      <c r="A10" t="s">
        <v>150</v>
      </c>
      <c r="B10" t="s">
        <v>90</v>
      </c>
      <c r="C10" t="s">
        <v>95</v>
      </c>
      <c r="D10">
        <v>515</v>
      </c>
      <c r="E10" s="3">
        <f>D10*(1+$D$7)</f>
        <v>901.25</v>
      </c>
      <c r="F10" s="3">
        <f>E10/2</f>
        <v>450.625</v>
      </c>
    </row>
    <row r="11" spans="1:8" x14ac:dyDescent="0.25">
      <c r="E11" s="3"/>
    </row>
    <row r="12" spans="1:8" x14ac:dyDescent="0.25">
      <c r="E12" s="3"/>
    </row>
    <row r="14" spans="1:8" x14ac:dyDescent="0.25">
      <c r="A14" s="1" t="s">
        <v>120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128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129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160</v>
      </c>
      <c r="C17" s="13" t="e">
        <f t="shared" ref="C17:H17" ca="1" si="2">PhiMayInToner4M(C$16)</f>
        <v>#NAME?</v>
      </c>
      <c r="D17" s="13" t="e">
        <f t="shared" ca="1" si="2"/>
        <v>#NAME?</v>
      </c>
      <c r="E17" s="13" t="e">
        <f t="shared" ca="1" si="2"/>
        <v>#NAME?</v>
      </c>
      <c r="F17" s="13" t="e">
        <f t="shared" ca="1" si="2"/>
        <v>#NAME?</v>
      </c>
      <c r="G17" s="13" t="e">
        <f t="shared" ca="1" si="2"/>
        <v>#NAME?</v>
      </c>
      <c r="H17" s="13" t="e">
        <f t="shared" ca="1" si="2"/>
        <v>#NAME?</v>
      </c>
    </row>
    <row r="18" spans="1:8" ht="30" x14ac:dyDescent="0.25">
      <c r="A18" s="2" t="s">
        <v>161</v>
      </c>
      <c r="C18" s="13">
        <f t="shared" ref="C18:H18" si="3">PhiMayCanMang(C$15, $C$5/100, $D$5/100)</f>
        <v>37960.784200000002</v>
      </c>
      <c r="D18" s="13">
        <f t="shared" si="3"/>
        <v>38996.078399999999</v>
      </c>
      <c r="E18" s="13">
        <f t="shared" si="3"/>
        <v>42360.784200000002</v>
      </c>
      <c r="F18" s="13">
        <f t="shared" si="3"/>
        <v>47796.078399999999</v>
      </c>
      <c r="G18" s="13">
        <f t="shared" si="3"/>
        <v>53490.196000000004</v>
      </c>
      <c r="H18" s="13">
        <f t="shared" si="3"/>
        <v>58925.490100000003</v>
      </c>
    </row>
    <row r="19" spans="1:8" ht="30" x14ac:dyDescent="0.25">
      <c r="A19" s="2" t="s">
        <v>163</v>
      </c>
      <c r="C19" s="13">
        <f t="shared" ref="C19:H19" si="4">900*C$16</f>
        <v>19800</v>
      </c>
      <c r="D19" s="13">
        <f t="shared" si="4"/>
        <v>37800</v>
      </c>
      <c r="E19" s="13">
        <f t="shared" si="4"/>
        <v>91800</v>
      </c>
      <c r="F19" s="13">
        <f t="shared" si="4"/>
        <v>181800</v>
      </c>
      <c r="G19" s="13">
        <f t="shared" si="4"/>
        <v>271800</v>
      </c>
      <c r="H19" s="13">
        <f t="shared" si="4"/>
        <v>361800</v>
      </c>
    </row>
    <row r="20" spans="1:8" x14ac:dyDescent="0.25">
      <c r="A20" s="2" t="s">
        <v>142</v>
      </c>
      <c r="C20" s="13">
        <f t="shared" ref="C20:H20" si="5">C$15*$D$9</f>
        <v>13992</v>
      </c>
      <c r="D20" s="13">
        <f t="shared" si="5"/>
        <v>26712</v>
      </c>
      <c r="E20" s="13">
        <f t="shared" si="5"/>
        <v>64872</v>
      </c>
      <c r="F20" s="13">
        <f t="shared" si="5"/>
        <v>128472</v>
      </c>
      <c r="G20" s="13">
        <f t="shared" si="5"/>
        <v>192072</v>
      </c>
      <c r="H20" s="13">
        <f t="shared" si="5"/>
        <v>255672</v>
      </c>
    </row>
    <row r="21" spans="1:8" x14ac:dyDescent="0.25">
      <c r="A21" s="2" t="s">
        <v>151</v>
      </c>
      <c r="C21" s="13">
        <f t="shared" ref="C21:H21" si="6">C$15*$D$10</f>
        <v>5665</v>
      </c>
      <c r="D21" s="13">
        <f t="shared" si="6"/>
        <v>10815</v>
      </c>
      <c r="E21" s="13">
        <f t="shared" si="6"/>
        <v>26265</v>
      </c>
      <c r="F21" s="13">
        <f t="shared" si="6"/>
        <v>52015</v>
      </c>
      <c r="G21" s="13">
        <f t="shared" si="6"/>
        <v>77765</v>
      </c>
      <c r="H21" s="13">
        <f t="shared" si="6"/>
        <v>103515</v>
      </c>
    </row>
    <row r="22" spans="1:8" x14ac:dyDescent="0.25">
      <c r="A22" s="2"/>
      <c r="C22" s="7"/>
      <c r="D22" s="7"/>
      <c r="E22" s="7"/>
      <c r="F22" s="7"/>
      <c r="G22" s="7"/>
      <c r="H22" s="7"/>
    </row>
    <row r="23" spans="1:8" ht="45" x14ac:dyDescent="0.25">
      <c r="A23" s="2" t="s">
        <v>162</v>
      </c>
      <c r="C23" s="7" t="e">
        <f t="shared" ref="C23:H23" ca="1" si="7" xml:space="preserve"> (C$17+C$18+C$20)*(1+$D$7)</f>
        <v>#NAME?</v>
      </c>
      <c r="D23" s="7" t="e">
        <f t="shared" ca="1" si="7"/>
        <v>#NAME?</v>
      </c>
      <c r="E23" s="7" t="e">
        <f t="shared" ca="1" si="7"/>
        <v>#NAME?</v>
      </c>
      <c r="F23" s="7" t="e">
        <f t="shared" ca="1" si="7"/>
        <v>#NAME?</v>
      </c>
      <c r="G23" s="7" t="e">
        <f t="shared" ca="1" si="7"/>
        <v>#NAME?</v>
      </c>
      <c r="H23" s="7" t="e">
        <f t="shared" ca="1" si="7"/>
        <v>#NAME?</v>
      </c>
    </row>
    <row r="24" spans="1:8" ht="30" x14ac:dyDescent="0.25">
      <c r="A24" s="2" t="s">
        <v>152</v>
      </c>
      <c r="C24" s="7">
        <f t="shared" ref="C24:H24" si="8" xml:space="preserve"> C$19+C$21*(1+$D$7)</f>
        <v>29713.75</v>
      </c>
      <c r="D24" s="7">
        <f t="shared" si="8"/>
        <v>56726.25</v>
      </c>
      <c r="E24" s="7">
        <f t="shared" si="8"/>
        <v>137763.75</v>
      </c>
      <c r="F24" s="7">
        <f t="shared" si="8"/>
        <v>272826.25</v>
      </c>
      <c r="G24" s="7">
        <f t="shared" si="8"/>
        <v>407888.75</v>
      </c>
      <c r="H24" s="7">
        <f t="shared" si="8"/>
        <v>542951.25</v>
      </c>
    </row>
    <row r="25" spans="1:8" x14ac:dyDescent="0.25">
      <c r="A25" s="2"/>
    </row>
    <row r="26" spans="1:8" x14ac:dyDescent="0.25">
      <c r="A26" s="2" t="s">
        <v>153</v>
      </c>
      <c r="C26" s="3">
        <f t="shared" ref="C26:H26" si="9">PhiDongKimLong(C$14)</f>
        <v>140833.3333</v>
      </c>
      <c r="D26" s="3">
        <f t="shared" si="9"/>
        <v>156666.6667</v>
      </c>
      <c r="E26" s="3">
        <f t="shared" si="9"/>
        <v>204166.6667</v>
      </c>
      <c r="F26" s="3">
        <f t="shared" si="9"/>
        <v>283333.3333</v>
      </c>
      <c r="G26" s="3">
        <f t="shared" si="9"/>
        <v>362500</v>
      </c>
      <c r="H26" s="3">
        <f t="shared" si="9"/>
        <v>441666.6667</v>
      </c>
    </row>
    <row r="27" spans="1:8" x14ac:dyDescent="0.25">
      <c r="A27" s="2" t="s">
        <v>154</v>
      </c>
      <c r="C27" s="7">
        <f t="shared" ref="C27:H27" si="10">C$26*(1+$D$7)</f>
        <v>246458.33327499998</v>
      </c>
      <c r="D27" s="7">
        <f t="shared" si="10"/>
        <v>274166.66672500002</v>
      </c>
      <c r="E27" s="7">
        <f t="shared" si="10"/>
        <v>357291.66672500002</v>
      </c>
      <c r="F27" s="7">
        <f t="shared" si="10"/>
        <v>495833.33327499998</v>
      </c>
      <c r="G27" s="7">
        <f t="shared" si="10"/>
        <v>634375</v>
      </c>
      <c r="H27" s="7">
        <f t="shared" si="10"/>
        <v>772916.66672500002</v>
      </c>
    </row>
    <row r="28" spans="1:8" x14ac:dyDescent="0.25">
      <c r="A28" s="2"/>
      <c r="C28" s="3"/>
      <c r="D28" s="3"/>
      <c r="E28" s="3"/>
      <c r="F28" s="3"/>
      <c r="G28" s="3"/>
      <c r="H28" s="3"/>
    </row>
    <row r="29" spans="1:8" ht="30" x14ac:dyDescent="0.25">
      <c r="A29" s="2" t="s">
        <v>164</v>
      </c>
      <c r="C29" s="3" t="e">
        <f t="shared" ref="C29:H29" ca="1" si="11">C$23+C$27</f>
        <v>#NAME?</v>
      </c>
      <c r="D29" s="3" t="e">
        <f t="shared" ca="1" si="11"/>
        <v>#NAME?</v>
      </c>
      <c r="E29" s="3" t="e">
        <f t="shared" ca="1" si="11"/>
        <v>#NAME?</v>
      </c>
      <c r="F29" s="3" t="e">
        <f t="shared" ca="1" si="11"/>
        <v>#NAME?</v>
      </c>
      <c r="G29" s="3" t="e">
        <f t="shared" ca="1" si="11"/>
        <v>#NAME?</v>
      </c>
      <c r="H29" s="3" t="e">
        <f t="shared" ca="1" si="11"/>
        <v>#NAME?</v>
      </c>
    </row>
    <row r="30" spans="1:8" x14ac:dyDescent="0.25">
      <c r="A30" s="2" t="s">
        <v>165</v>
      </c>
      <c r="C30" s="3">
        <f t="shared" ref="C30:H30" si="12">C$24+C$27</f>
        <v>276172.08327499998</v>
      </c>
      <c r="D30" s="3">
        <f t="shared" si="12"/>
        <v>330892.91672500002</v>
      </c>
      <c r="E30" s="3">
        <f t="shared" si="12"/>
        <v>495055.41672500002</v>
      </c>
      <c r="F30" s="3">
        <f t="shared" si="12"/>
        <v>768659.58327499998</v>
      </c>
      <c r="G30" s="3">
        <f t="shared" si="12"/>
        <v>1042263.75</v>
      </c>
      <c r="H30" s="3">
        <f t="shared" si="12"/>
        <v>1315867.9167249999</v>
      </c>
    </row>
    <row r="33" spans="1:8" x14ac:dyDescent="0.25">
      <c r="A33" s="2" t="s">
        <v>159</v>
      </c>
      <c r="C33" s="3">
        <f t="shared" ref="C33:H33" si="13">C$30-MOD(C$30,1000)</f>
        <v>276000</v>
      </c>
      <c r="D33" s="3">
        <f t="shared" si="13"/>
        <v>330000</v>
      </c>
      <c r="E33" s="3">
        <f t="shared" si="13"/>
        <v>495000</v>
      </c>
      <c r="F33" s="3">
        <f t="shared" si="13"/>
        <v>768000</v>
      </c>
      <c r="G33" s="3">
        <f t="shared" si="13"/>
        <v>1042000</v>
      </c>
      <c r="H33" s="3">
        <f t="shared" si="13"/>
        <v>1315000</v>
      </c>
    </row>
    <row r="34" spans="1:8" ht="30" x14ac:dyDescent="0.25">
      <c r="A34" s="2" t="s">
        <v>166</v>
      </c>
      <c r="C34" s="3" t="e">
        <f t="shared" ref="C34:H34" ca="1" si="14">C$29-MOD(C$29,1000)</f>
        <v>#NAME?</v>
      </c>
      <c r="D34" s="3" t="e">
        <f t="shared" ca="1" si="14"/>
        <v>#NAME?</v>
      </c>
      <c r="E34" s="3" t="e">
        <f t="shared" ca="1" si="14"/>
        <v>#NAME?</v>
      </c>
      <c r="F34" s="3" t="e">
        <f t="shared" ca="1" si="14"/>
        <v>#NAME?</v>
      </c>
      <c r="G34" s="3" t="e">
        <f t="shared" ca="1" si="14"/>
        <v>#NAME?</v>
      </c>
      <c r="H34" s="3" t="e">
        <f t="shared" ca="1" si="14"/>
        <v>#NAME?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" xr:uid="{FD332A98-ED50-4D09-BD7A-3BD4746C0C4D}">
      <formula1>OFFSET(GIA_GIAY_CO_BAN,1,0,,1)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36F6E-9476-49EF-A691-1839043CCD38}">
  <sheetPr codeName="Sheet10"/>
  <dimension ref="A1:H34"/>
  <sheetViews>
    <sheetView workbookViewId="0">
      <selection activeCell="H47" sqref="H47"/>
    </sheetView>
  </sheetViews>
  <sheetFormatPr defaultRowHeight="15" x14ac:dyDescent="0.25"/>
  <cols>
    <col min="1" max="1" width="22.42578125" bestFit="1" customWidth="1"/>
    <col min="2" max="2" width="15.285156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167</v>
      </c>
      <c r="B1" t="s">
        <v>37</v>
      </c>
    </row>
    <row r="2" spans="1:8" x14ac:dyDescent="0.25">
      <c r="A2" t="s">
        <v>127</v>
      </c>
      <c r="B2" s="12">
        <v>43609</v>
      </c>
    </row>
    <row r="3" spans="1:8" x14ac:dyDescent="0.25">
      <c r="B3" t="s">
        <v>53</v>
      </c>
      <c r="C3" t="s">
        <v>54</v>
      </c>
    </row>
    <row r="4" spans="1:8" x14ac:dyDescent="0.25">
      <c r="A4" t="s">
        <v>119</v>
      </c>
      <c r="B4">
        <v>30</v>
      </c>
      <c r="C4">
        <v>42</v>
      </c>
    </row>
    <row r="5" spans="1:8" ht="30" x14ac:dyDescent="0.25">
      <c r="A5" t="s">
        <v>117</v>
      </c>
      <c r="B5" s="1" t="s">
        <v>31</v>
      </c>
      <c r="C5">
        <v>32</v>
      </c>
      <c r="D5">
        <v>47</v>
      </c>
      <c r="E5" s="2" t="s">
        <v>130</v>
      </c>
    </row>
    <row r="6" spans="1:8" x14ac:dyDescent="0.25">
      <c r="A6" t="s">
        <v>126</v>
      </c>
      <c r="D6" s="1">
        <v>1</v>
      </c>
      <c r="E6">
        <v>2</v>
      </c>
    </row>
    <row r="7" spans="1:8" x14ac:dyDescent="0.25">
      <c r="A7" t="s">
        <v>51</v>
      </c>
      <c r="D7" s="14">
        <v>0.75</v>
      </c>
      <c r="E7" s="15" t="s">
        <v>131</v>
      </c>
    </row>
    <row r="8" spans="1:8" x14ac:dyDescent="0.25">
      <c r="B8" t="s">
        <v>122</v>
      </c>
      <c r="C8" t="s">
        <v>123</v>
      </c>
      <c r="D8" t="s">
        <v>125</v>
      </c>
      <c r="E8" t="s">
        <v>124</v>
      </c>
      <c r="F8" t="s">
        <v>158</v>
      </c>
    </row>
    <row r="9" spans="1:8" x14ac:dyDescent="0.25">
      <c r="A9" t="s">
        <v>66</v>
      </c>
      <c r="B9" t="s">
        <v>59</v>
      </c>
      <c r="C9">
        <v>1056</v>
      </c>
      <c r="D9">
        <v>1056</v>
      </c>
      <c r="E9" s="3">
        <f>D9*(1+$D$7)</f>
        <v>1848</v>
      </c>
      <c r="F9" s="3">
        <f>E9/2</f>
        <v>924</v>
      </c>
    </row>
    <row r="10" spans="1:8" x14ac:dyDescent="0.25">
      <c r="A10" t="s">
        <v>87</v>
      </c>
      <c r="B10" t="s">
        <v>110</v>
      </c>
      <c r="C10">
        <v>345</v>
      </c>
      <c r="D10">
        <v>345</v>
      </c>
      <c r="E10" s="3">
        <f>D10*(1+$D$7)</f>
        <v>603.75</v>
      </c>
      <c r="F10" s="3">
        <f>E10/2</f>
        <v>301.875</v>
      </c>
    </row>
    <row r="11" spans="1:8" x14ac:dyDescent="0.25">
      <c r="E11" s="3"/>
    </row>
    <row r="12" spans="1:8" x14ac:dyDescent="0.25">
      <c r="E12" s="3"/>
    </row>
    <row r="14" spans="1:8" x14ac:dyDescent="0.25">
      <c r="A14" s="1" t="s">
        <v>120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128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129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160</v>
      </c>
      <c r="C17" s="13" t="e">
        <f t="shared" ref="C17:H17" ca="1" si="2">PhiMayInToner4M(C$16)</f>
        <v>#NAME?</v>
      </c>
      <c r="D17" s="13" t="e">
        <f t="shared" ca="1" si="2"/>
        <v>#NAME?</v>
      </c>
      <c r="E17" s="13" t="e">
        <f t="shared" ca="1" si="2"/>
        <v>#NAME?</v>
      </c>
      <c r="F17" s="13" t="e">
        <f t="shared" ca="1" si="2"/>
        <v>#NAME?</v>
      </c>
      <c r="G17" s="13" t="e">
        <f t="shared" ca="1" si="2"/>
        <v>#NAME?</v>
      </c>
      <c r="H17" s="13" t="e">
        <f t="shared" ca="1" si="2"/>
        <v>#NAME?</v>
      </c>
    </row>
    <row r="18" spans="1:8" ht="30" x14ac:dyDescent="0.25">
      <c r="A18" s="2" t="s">
        <v>161</v>
      </c>
      <c r="C18" s="13">
        <f t="shared" ref="C18:H18" si="3">PhiMayCanMang(C$15, $C$5/100, $D$5/100)</f>
        <v>37960.784200000002</v>
      </c>
      <c r="D18" s="13">
        <f t="shared" si="3"/>
        <v>39254.901899999997</v>
      </c>
      <c r="E18" s="13">
        <f t="shared" si="3"/>
        <v>42878.431299999997</v>
      </c>
      <c r="F18" s="13">
        <f t="shared" si="3"/>
        <v>48831.372499999998</v>
      </c>
      <c r="G18" s="13">
        <f t="shared" si="3"/>
        <v>55043.137199999997</v>
      </c>
      <c r="H18" s="13">
        <f t="shared" si="3"/>
        <v>60996.078399999999</v>
      </c>
    </row>
    <row r="19" spans="1:8" ht="30" x14ac:dyDescent="0.25">
      <c r="A19" s="2" t="s">
        <v>163</v>
      </c>
      <c r="C19" s="13">
        <f t="shared" ref="C19:H19" si="4">900*C$16</f>
        <v>19800</v>
      </c>
      <c r="D19" s="13">
        <f t="shared" si="4"/>
        <v>37800</v>
      </c>
      <c r="E19" s="13">
        <f t="shared" si="4"/>
        <v>91800</v>
      </c>
      <c r="F19" s="13">
        <f t="shared" si="4"/>
        <v>181800</v>
      </c>
      <c r="G19" s="13">
        <f t="shared" si="4"/>
        <v>271800</v>
      </c>
      <c r="H19" s="13">
        <f t="shared" si="4"/>
        <v>361800</v>
      </c>
    </row>
    <row r="20" spans="1:8" x14ac:dyDescent="0.25">
      <c r="A20" s="2" t="s">
        <v>142</v>
      </c>
      <c r="C20" s="13">
        <f t="shared" ref="C20:H20" si="5">C$15*$D$9</f>
        <v>11616</v>
      </c>
      <c r="D20" s="13">
        <f t="shared" si="5"/>
        <v>22176</v>
      </c>
      <c r="E20" s="13">
        <f t="shared" si="5"/>
        <v>53856</v>
      </c>
      <c r="F20" s="13">
        <f t="shared" si="5"/>
        <v>106656</v>
      </c>
      <c r="G20" s="13">
        <f t="shared" si="5"/>
        <v>159456</v>
      </c>
      <c r="H20" s="13">
        <f t="shared" si="5"/>
        <v>212256</v>
      </c>
    </row>
    <row r="21" spans="1:8" x14ac:dyDescent="0.25">
      <c r="A21" s="2" t="s">
        <v>151</v>
      </c>
      <c r="C21" s="13">
        <f t="shared" ref="C21:H21" si="6">C$15*$D$10</f>
        <v>3795</v>
      </c>
      <c r="D21" s="13">
        <f t="shared" si="6"/>
        <v>7245</v>
      </c>
      <c r="E21" s="13">
        <f t="shared" si="6"/>
        <v>17595</v>
      </c>
      <c r="F21" s="13">
        <f t="shared" si="6"/>
        <v>34845</v>
      </c>
      <c r="G21" s="13">
        <f t="shared" si="6"/>
        <v>52095</v>
      </c>
      <c r="H21" s="13">
        <f t="shared" si="6"/>
        <v>69345</v>
      </c>
    </row>
    <row r="22" spans="1:8" x14ac:dyDescent="0.25">
      <c r="A22" s="2"/>
      <c r="C22" s="7"/>
      <c r="D22" s="7"/>
      <c r="E22" s="7"/>
      <c r="F22" s="7"/>
      <c r="G22" s="7"/>
      <c r="H22" s="7"/>
    </row>
    <row r="23" spans="1:8" ht="30" x14ac:dyDescent="0.25">
      <c r="A23" s="2" t="s">
        <v>170</v>
      </c>
      <c r="C23" s="7" t="e">
        <f t="shared" ref="C23:H23" ca="1" si="7" xml:space="preserve"> (C$17+C$20)*(1+$D$7)</f>
        <v>#NAME?</v>
      </c>
      <c r="D23" s="7" t="e">
        <f t="shared" ca="1" si="7"/>
        <v>#NAME?</v>
      </c>
      <c r="E23" s="7" t="e">
        <f t="shared" ca="1" si="7"/>
        <v>#NAME?</v>
      </c>
      <c r="F23" s="7" t="e">
        <f t="shared" ca="1" si="7"/>
        <v>#NAME?</v>
      </c>
      <c r="G23" s="7" t="e">
        <f t="shared" ca="1" si="7"/>
        <v>#NAME?</v>
      </c>
      <c r="H23" s="7" t="e">
        <f t="shared" ca="1" si="7"/>
        <v>#NAME?</v>
      </c>
    </row>
    <row r="24" spans="1:8" x14ac:dyDescent="0.25">
      <c r="A24" s="2"/>
      <c r="C24" s="7"/>
      <c r="D24" s="7"/>
      <c r="E24" s="7"/>
      <c r="F24" s="7"/>
      <c r="G24" s="7"/>
      <c r="H24" s="7"/>
    </row>
    <row r="25" spans="1:8" x14ac:dyDescent="0.25">
      <c r="A25" s="2"/>
    </row>
    <row r="26" spans="1:8" x14ac:dyDescent="0.25">
      <c r="A26" s="2" t="s">
        <v>168</v>
      </c>
      <c r="C26" s="3">
        <f t="shared" ref="C26:H26" si="8">PhiDongCuonKeoEVA(C$14)</f>
        <v>212500</v>
      </c>
      <c r="D26" s="3">
        <f t="shared" si="8"/>
        <v>225000</v>
      </c>
      <c r="E26" s="3">
        <f t="shared" si="8"/>
        <v>262500</v>
      </c>
      <c r="F26" s="3">
        <f t="shared" si="8"/>
        <v>325000</v>
      </c>
      <c r="G26" s="3">
        <f t="shared" si="8"/>
        <v>387500</v>
      </c>
      <c r="H26" s="3">
        <f t="shared" si="8"/>
        <v>450000</v>
      </c>
    </row>
    <row r="27" spans="1:8" x14ac:dyDescent="0.25">
      <c r="A27" s="2" t="s">
        <v>169</v>
      </c>
      <c r="C27" s="7">
        <f t="shared" ref="C27:H27" si="9">C$26*(1+$D$7)</f>
        <v>371875</v>
      </c>
      <c r="D27" s="7">
        <f t="shared" si="9"/>
        <v>393750</v>
      </c>
      <c r="E27" s="7">
        <f t="shared" si="9"/>
        <v>459375</v>
      </c>
      <c r="F27" s="7">
        <f t="shared" si="9"/>
        <v>568750</v>
      </c>
      <c r="G27" s="7">
        <f t="shared" si="9"/>
        <v>678125</v>
      </c>
      <c r="H27" s="7">
        <f t="shared" si="9"/>
        <v>787500</v>
      </c>
    </row>
    <row r="28" spans="1:8" x14ac:dyDescent="0.25">
      <c r="A28" s="2"/>
      <c r="C28" s="3"/>
      <c r="D28" s="3"/>
      <c r="E28" s="3"/>
      <c r="F28" s="3"/>
      <c r="G28" s="3"/>
      <c r="H28" s="3"/>
    </row>
    <row r="29" spans="1:8" ht="30" x14ac:dyDescent="0.25">
      <c r="A29" s="2" t="s">
        <v>164</v>
      </c>
      <c r="C29" s="3" t="e">
        <f t="shared" ref="C29:H29" ca="1" si="10">C$23+C$27</f>
        <v>#NAME?</v>
      </c>
      <c r="D29" s="3" t="e">
        <f t="shared" ca="1" si="10"/>
        <v>#NAME?</v>
      </c>
      <c r="E29" s="3" t="e">
        <f t="shared" ca="1" si="10"/>
        <v>#NAME?</v>
      </c>
      <c r="F29" s="3" t="e">
        <f t="shared" ca="1" si="10"/>
        <v>#NAME?</v>
      </c>
      <c r="G29" s="3" t="e">
        <f t="shared" ca="1" si="10"/>
        <v>#NAME?</v>
      </c>
      <c r="H29" s="3" t="e">
        <f t="shared" ca="1" si="10"/>
        <v>#NAME?</v>
      </c>
    </row>
    <row r="30" spans="1:8" x14ac:dyDescent="0.25">
      <c r="A30" s="2"/>
      <c r="C30" s="3"/>
      <c r="D30" s="3"/>
      <c r="E30" s="3"/>
      <c r="F30" s="3"/>
      <c r="G30" s="3"/>
      <c r="H30" s="3"/>
    </row>
    <row r="33" spans="1:8" x14ac:dyDescent="0.25">
      <c r="A33" s="2"/>
      <c r="C33" s="3"/>
      <c r="D33" s="3"/>
      <c r="E33" s="3"/>
      <c r="F33" s="3"/>
      <c r="G33" s="3"/>
      <c r="H33" s="3"/>
    </row>
    <row r="34" spans="1:8" ht="30" x14ac:dyDescent="0.25">
      <c r="A34" s="2" t="s">
        <v>166</v>
      </c>
      <c r="C34" s="3" t="e">
        <f ca="1">LamChanHangNgan(C$29)</f>
        <v>#VALUE!</v>
      </c>
      <c r="D34" s="3" t="e">
        <f t="shared" ref="D34:H34" ca="1" si="11">LamChanHangNgan(D$29)</f>
        <v>#VALUE!</v>
      </c>
      <c r="E34" s="3" t="e">
        <f t="shared" ca="1" si="11"/>
        <v>#VALUE!</v>
      </c>
      <c r="F34" s="3" t="e">
        <f t="shared" ca="1" si="11"/>
        <v>#VALUE!</v>
      </c>
      <c r="G34" s="3" t="e">
        <f t="shared" ca="1" si="11"/>
        <v>#VALUE!</v>
      </c>
      <c r="H34" s="3" t="e">
        <f t="shared" ca="1" si="11"/>
        <v>#VALUE!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 A9:A10" xr:uid="{F68065F7-6633-4D40-836A-157BEFFBCB97}">
      <formula1>OFFSET(GIA_GIAY_CO_BAN,1,0,,1)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047D1-CCAD-45FF-BD56-572712B23527}">
  <sheetPr codeName="Trang_tính1"/>
  <dimension ref="A1:T65"/>
  <sheetViews>
    <sheetView topLeftCell="A22" workbookViewId="0">
      <selection activeCell="E41" sqref="E41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2" width="13.28515625" bestFit="1" customWidth="1"/>
    <col min="13" max="14" width="14.85546875" bestFit="1" customWidth="1"/>
    <col min="18" max="18" width="14.140625" bestFit="1" customWidth="1"/>
  </cols>
  <sheetData>
    <row r="1" spans="1:5" x14ac:dyDescent="0.25">
      <c r="A1" t="s">
        <v>182</v>
      </c>
    </row>
    <row r="2" spans="1:5" x14ac:dyDescent="0.25">
      <c r="A2" t="s">
        <v>179</v>
      </c>
      <c r="B2" t="s">
        <v>183</v>
      </c>
    </row>
    <row r="3" spans="1:5" x14ac:dyDescent="0.25">
      <c r="A3" t="s">
        <v>184</v>
      </c>
      <c r="B3" t="s">
        <v>32</v>
      </c>
    </row>
    <row r="4" spans="1:5" x14ac:dyDescent="0.25">
      <c r="A4" t="s">
        <v>121</v>
      </c>
      <c r="B4" t="s">
        <v>185</v>
      </c>
    </row>
    <row r="5" spans="1:5" x14ac:dyDescent="0.25">
      <c r="A5" t="s">
        <v>180</v>
      </c>
      <c r="B5" t="s">
        <v>186</v>
      </c>
    </row>
    <row r="6" spans="1:5" x14ac:dyDescent="0.25">
      <c r="A6" t="s">
        <v>187</v>
      </c>
      <c r="B6" t="s">
        <v>188</v>
      </c>
    </row>
    <row r="9" spans="1:5" x14ac:dyDescent="0.25">
      <c r="A9" s="1" t="s">
        <v>181</v>
      </c>
      <c r="B9" t="s">
        <v>196</v>
      </c>
    </row>
    <row r="10" spans="1:5" x14ac:dyDescent="0.25">
      <c r="A10" t="s">
        <v>127</v>
      </c>
      <c r="B10" s="12">
        <v>43609</v>
      </c>
    </row>
    <row r="11" spans="1:5" x14ac:dyDescent="0.25">
      <c r="B11" t="s">
        <v>53</v>
      </c>
      <c r="C11" t="s">
        <v>54</v>
      </c>
    </row>
    <row r="12" spans="1:5" x14ac:dyDescent="0.25">
      <c r="A12" t="s">
        <v>119</v>
      </c>
      <c r="D12" t="s">
        <v>194</v>
      </c>
    </row>
    <row r="13" spans="1:5" x14ac:dyDescent="0.25">
      <c r="A13" t="s">
        <v>193</v>
      </c>
      <c r="B13">
        <v>10</v>
      </c>
      <c r="C13">
        <v>19</v>
      </c>
      <c r="D13">
        <v>0.3</v>
      </c>
    </row>
    <row r="15" spans="1:5" ht="30" x14ac:dyDescent="0.25">
      <c r="A15" t="s">
        <v>117</v>
      </c>
      <c r="B15" s="1" t="s">
        <v>31</v>
      </c>
      <c r="C15">
        <v>32</v>
      </c>
      <c r="D15">
        <v>47</v>
      </c>
      <c r="E15" s="2" t="s">
        <v>130</v>
      </c>
    </row>
    <row r="16" spans="1:5" x14ac:dyDescent="0.25">
      <c r="A16" t="s">
        <v>126</v>
      </c>
      <c r="D16" s="1">
        <f>SoConTrenToLon($C$15,$D$15,$B$13+$D$13,$C$13+$D$13)</f>
        <v>6</v>
      </c>
      <c r="E16">
        <v>2</v>
      </c>
    </row>
    <row r="17" spans="1:20" x14ac:dyDescent="0.25">
      <c r="A17" t="s">
        <v>51</v>
      </c>
      <c r="D17" s="14">
        <v>0.75</v>
      </c>
      <c r="E17" s="15" t="s">
        <v>131</v>
      </c>
    </row>
    <row r="18" spans="1:20" x14ac:dyDescent="0.25">
      <c r="B18" t="s">
        <v>122</v>
      </c>
      <c r="C18" t="s">
        <v>123</v>
      </c>
      <c r="D18" t="s">
        <v>125</v>
      </c>
      <c r="E18" t="s">
        <v>124</v>
      </c>
    </row>
    <row r="19" spans="1:20" x14ac:dyDescent="0.25">
      <c r="A19" t="s">
        <v>195</v>
      </c>
      <c r="B19" t="s">
        <v>67</v>
      </c>
      <c r="C19" t="s">
        <v>60</v>
      </c>
      <c r="D19">
        <v>1272</v>
      </c>
      <c r="E19" s="3">
        <f>D19*(1+D17)</f>
        <v>2226</v>
      </c>
    </row>
    <row r="20" spans="1:20" x14ac:dyDescent="0.25">
      <c r="E20" s="3"/>
    </row>
    <row r="21" spans="1:20" ht="75" x14ac:dyDescent="0.25">
      <c r="E21" s="3"/>
      <c r="O21" s="2" t="s">
        <v>201</v>
      </c>
      <c r="P21" s="2" t="s">
        <v>202</v>
      </c>
      <c r="Q21" s="2"/>
      <c r="S21" s="2" t="s">
        <v>206</v>
      </c>
      <c r="T21" s="2" t="s">
        <v>202</v>
      </c>
    </row>
    <row r="22" spans="1:20" x14ac:dyDescent="0.25">
      <c r="A22" t="s">
        <v>199</v>
      </c>
      <c r="J22" s="18"/>
      <c r="N22" t="s">
        <v>203</v>
      </c>
      <c r="O22">
        <f>$A24*E$23/2/$D$16</f>
        <v>10</v>
      </c>
      <c r="P22">
        <f>$A24*E$23/$D$16*$E$16</f>
        <v>40</v>
      </c>
      <c r="R22" t="s">
        <v>205</v>
      </c>
      <c r="S22">
        <f>$A24*E$23/$D$16*2</f>
        <v>40</v>
      </c>
    </row>
    <row r="23" spans="1:20" ht="45" x14ac:dyDescent="0.25">
      <c r="A23" s="6" t="s">
        <v>157</v>
      </c>
      <c r="B23" s="17" t="s">
        <v>156</v>
      </c>
      <c r="D23" t="s">
        <v>180</v>
      </c>
      <c r="E23">
        <v>10</v>
      </c>
      <c r="F23">
        <v>20</v>
      </c>
      <c r="G23">
        <v>30</v>
      </c>
      <c r="H23">
        <v>40</v>
      </c>
      <c r="I23">
        <v>50</v>
      </c>
      <c r="J23" s="22" t="s">
        <v>207</v>
      </c>
      <c r="N23" s="16" t="s">
        <v>200</v>
      </c>
      <c r="R23" s="16" t="s">
        <v>214</v>
      </c>
      <c r="S23">
        <f>PhiMayCanMang($A24*E23/$D$16*2, $C$15/100,$D$15/100)</f>
        <v>41584.313699999999</v>
      </c>
    </row>
    <row r="24" spans="1:20" x14ac:dyDescent="0.25">
      <c r="A24" s="2">
        <v>12</v>
      </c>
      <c r="B24">
        <f t="shared" ref="B24:B37" si="0">$A24*E$23</f>
        <v>120</v>
      </c>
      <c r="D24" t="s">
        <v>197</v>
      </c>
      <c r="E24" s="3" t="e">
        <f ca="1">LamChanHangNgan((PhiInKM4M_BHR70($A24*E$23/$D$16*$E$16)+$A24*E$23/$D$16*$D$19)*(1+$D$17))</f>
        <v>#VALUE!</v>
      </c>
      <c r="F24" s="3" t="e">
        <f ca="1">LamChanHangNgan((PhiInKM4M_BHR70($A24*F$23/$D$16*$E$16)+$A24*F$23/$D$16*$D$19)*(1+$D$17))</f>
        <v>#VALUE!</v>
      </c>
      <c r="G24" s="3" t="e">
        <f ca="1">LamChanHangNgan((PhiInKM4M_BHR70($A24*G$23/$D$16*$E$16)+$A24*G$23/$D$16*$D$19)*(1+$D$17))</f>
        <v>#VALUE!</v>
      </c>
      <c r="H24" s="3" t="e">
        <f ca="1">LamChanHangNgan((PhiInKM4M_BHR70($A24*H$23/$D$16*$E$16)+$A24*H$23/$D$16*$D$19)*(1+$D$17))</f>
        <v>#VALUE!</v>
      </c>
      <c r="I24" s="3" t="e">
        <f ca="1">LamChanHangNgan((PhiInKM4M_BHR70($A24*I$23/$D$16*$E$16)+$A24*I$23/$D$16*$D$19)*(1+$D$17))</f>
        <v>#VALUE!</v>
      </c>
      <c r="J24" s="3" t="e">
        <f ca="1">E24</f>
        <v>#VALUE!</v>
      </c>
      <c r="K24" s="3" t="e">
        <f t="shared" ref="K24:N24" ca="1" si="1">F24</f>
        <v>#VALUE!</v>
      </c>
      <c r="L24" s="3" t="e">
        <f t="shared" ca="1" si="1"/>
        <v>#VALUE!</v>
      </c>
      <c r="M24" s="3" t="e">
        <f t="shared" ca="1" si="1"/>
        <v>#VALUE!</v>
      </c>
      <c r="N24" s="3" t="e">
        <f t="shared" ca="1" si="1"/>
        <v>#VALUE!</v>
      </c>
      <c r="R24" s="3"/>
    </row>
    <row r="25" spans="1:20" x14ac:dyDescent="0.25">
      <c r="A25" s="19">
        <v>12</v>
      </c>
      <c r="B25" s="20">
        <f t="shared" si="0"/>
        <v>120</v>
      </c>
      <c r="C25" s="20"/>
      <c r="D25" s="20" t="s">
        <v>198</v>
      </c>
      <c r="J25" s="21" t="e">
        <f ca="1">LamChanHangNgan((PhiInKM4M_BHR70($A25*E$23/$D$16*$E$16)+$A24*E$23/$D$16*$D$19+PhiMayCanMang($A25*E$23/$D$16*2, $C$15/100,$D$15/100))*(1+$D$17))</f>
        <v>#VALUE!</v>
      </c>
      <c r="K25" s="21" t="e">
        <f ca="1">LamChanHangNgan((PhiInKM4M_BHR70($A25*F$23/$D$16*$E$16)+$A24*F$23/$D$16*$D$19+PhiMayCanMang($A25*F$23/$D$16*2, $C$15/100,$D$15/100))*(1+$D$17))</f>
        <v>#VALUE!</v>
      </c>
      <c r="L25" s="21" t="e">
        <f ca="1">LamChanHangNgan((PhiInKM4M_BHR70($A25*G$23/$D$16*$E$16)+$A24*G$23/$D$16*$D$19+PhiMayCanMang($A25*G$23/$D$16*2, $C$15/100,$D$15/100))*(1+$D$17))</f>
        <v>#VALUE!</v>
      </c>
      <c r="M25" s="21" t="e">
        <f ca="1">LamChanHangNgan((PhiInKM4M_BHR70($A25*H$23/$D$16*$E$16)+$A24*H$23/$D$16*$D$19+PhiMayCanMang($A25*H$23/$D$16*2, $C$15/100,$D$15/100))*(1+$D$17))</f>
        <v>#VALUE!</v>
      </c>
      <c r="N25" s="21" t="e">
        <f ca="1">LamChanHangNgan((PhiInKM4M_BHR70($A25*I$23/$D$16*$E$16)+$A24*I$23/$D$16*$D$19+PhiMayCanMang($A25*I$23/$D$16*2, $C$15/100,$D$15/100))*(1+$D$17))</f>
        <v>#VALUE!</v>
      </c>
    </row>
    <row r="26" spans="1:20" x14ac:dyDescent="0.25">
      <c r="A26" s="2">
        <v>14</v>
      </c>
      <c r="B26">
        <f t="shared" si="0"/>
        <v>140</v>
      </c>
      <c r="D26" t="s">
        <v>197</v>
      </c>
      <c r="E26" s="3" t="e">
        <f ca="1">LamChanHangNgan((PhiInKM4M_BHR70($A26*E$23/$D$16*$E$16)+$A26*E$23/$D$16*$D$19)*(1+$D$17))</f>
        <v>#VALUE!</v>
      </c>
      <c r="F26" s="3" t="e">
        <f ca="1">LamChanHangNgan((PhiInKM4M_BHR70($A26*F$23/$D$16*$E$16)+$A26*F$23/$D$16*$D$19)*(1+$D$17))</f>
        <v>#VALUE!</v>
      </c>
      <c r="G26" s="3" t="e">
        <f ca="1">LamChanHangNgan((PhiInKM4M_BHR70($A26*G$23/$D$16*$E$16)+$A26*G$23/$D$16*$D$19)*(1+$D$17))</f>
        <v>#VALUE!</v>
      </c>
      <c r="H26" s="3" t="e">
        <f ca="1">LamChanHangNgan((PhiInKM4M_BHR70($A26*H$23/$D$16*$E$16)+$A26*H$23/$D$16*$D$19)*(1+$D$17))</f>
        <v>#VALUE!</v>
      </c>
      <c r="I26" s="3" t="e">
        <f ca="1">LamChanHangNgan((PhiInKM4M_BHR70($A26*I$23/$D$16*$E$16)+$A26*I$23/$D$16*$D$19)*(1+$D$17))</f>
        <v>#VALUE!</v>
      </c>
      <c r="J26" s="3" t="e">
        <f ca="1">E26</f>
        <v>#VALUE!</v>
      </c>
      <c r="K26" s="3" t="e">
        <f t="shared" ref="K26:N26" ca="1" si="2">F26</f>
        <v>#VALUE!</v>
      </c>
      <c r="L26" s="3" t="e">
        <f t="shared" ca="1" si="2"/>
        <v>#VALUE!</v>
      </c>
      <c r="M26" s="3" t="e">
        <f t="shared" ca="1" si="2"/>
        <v>#VALUE!</v>
      </c>
      <c r="N26" s="3" t="e">
        <f t="shared" ca="1" si="2"/>
        <v>#VALUE!</v>
      </c>
    </row>
    <row r="27" spans="1:20" x14ac:dyDescent="0.25">
      <c r="A27" s="19">
        <v>14</v>
      </c>
      <c r="B27" s="20">
        <f t="shared" si="0"/>
        <v>140</v>
      </c>
      <c r="C27" s="20"/>
      <c r="D27" s="20" t="s">
        <v>198</v>
      </c>
      <c r="E27" s="21"/>
      <c r="F27" s="21"/>
      <c r="G27" s="21"/>
      <c r="H27" s="21"/>
      <c r="I27" s="21"/>
      <c r="J27" s="21" t="e">
        <f ca="1">LamChanHangNgan((PhiInKM4M_BHR70($A27*E$23/$D$16*$E$16)+$A26*E$23/$D$16*$D$19+PhiMayCanMang($A27*E$23/$D$16*2, $C$15/100,$D$15/100))*(1+$D$17))</f>
        <v>#VALUE!</v>
      </c>
      <c r="K27" s="21" t="e">
        <f ca="1">LamChanHangNgan((PhiInKM4M_BHR70($A27*F$23/$D$16*$E$16)+$A26*F$23/$D$16*$D$19+PhiMayCanMang($A27*F$23/$D$16*2, $C$15/100,$D$15/100))*(1+$D$17))</f>
        <v>#VALUE!</v>
      </c>
      <c r="L27" s="21" t="e">
        <f ca="1">LamChanHangNgan((PhiInKM4M_BHR70($A27*G$23/$D$16*$E$16)+$A26*G$23/$D$16*$D$19+PhiMayCanMang($A27*G$23/$D$16*2, $C$15/100,$D$15/100))*(1+$D$17))</f>
        <v>#VALUE!</v>
      </c>
      <c r="M27" s="21" t="e">
        <f ca="1">LamChanHangNgan((PhiInKM4M_BHR70($A27*H$23/$D$16*$E$16)+$A26*H$23/$D$16*$D$19+PhiMayCanMang($A27*H$23/$D$16*2, $C$15/100,$D$15/100))*(1+$D$17))</f>
        <v>#VALUE!</v>
      </c>
      <c r="N27" s="21" t="e">
        <f ca="1">LamChanHangNgan((PhiInKM4M_BHR70($A27*I$23/$D$16*$E$16)+$A26*I$23/$D$16*$D$19+PhiMayCanMang($A27*I$23/$D$16*2, $C$15/100,$D$15/100))*(1+$D$17))</f>
        <v>#VALUE!</v>
      </c>
    </row>
    <row r="28" spans="1:20" x14ac:dyDescent="0.25">
      <c r="A28" s="2">
        <v>16</v>
      </c>
      <c r="B28">
        <f t="shared" si="0"/>
        <v>160</v>
      </c>
      <c r="D28" t="s">
        <v>197</v>
      </c>
      <c r="E28" s="3" t="e">
        <f ca="1">LamChanHangNgan((PhiInKM4M_BHR70($A28*E$23/$D$16*$E$16)+$A28*E$23/$D$16*$D$19)*(1+$D$17))</f>
        <v>#VALUE!</v>
      </c>
      <c r="F28" s="3" t="e">
        <f ca="1">LamChanHangNgan((PhiInKM4M_BHR70($A28*F$23/$D$16*$E$16)+$A28*F$23/$D$16*$D$19)*(1+$D$17))</f>
        <v>#VALUE!</v>
      </c>
      <c r="G28" s="3" t="e">
        <f ca="1">LamChanHangNgan((PhiInKM4M_BHR70($A28*G$23/$D$16*$E$16)+$A28*G$23/$D$16*$D$19)*(1+$D$17))</f>
        <v>#VALUE!</v>
      </c>
      <c r="H28" s="3" t="e">
        <f ca="1">LamChanHangNgan((PhiInKM4M_BHR70($A28*H$23/$D$16*$E$16)+$A28*H$23/$D$16*$D$19)*(1+$D$17))</f>
        <v>#VALUE!</v>
      </c>
      <c r="I28" s="3" t="e">
        <f ca="1">LamChanHangNgan((PhiInKM4M_BHR70($A28*I$23/$D$16*$E$16)+$A28*I$23/$D$16*$D$19)*(1+$D$17))</f>
        <v>#VALUE!</v>
      </c>
      <c r="J28" s="3" t="e">
        <f ca="1">E28</f>
        <v>#VALUE!</v>
      </c>
      <c r="K28" s="3" t="e">
        <f t="shared" ref="K28:N28" ca="1" si="3">F28</f>
        <v>#VALUE!</v>
      </c>
      <c r="L28" s="3" t="e">
        <f t="shared" ca="1" si="3"/>
        <v>#VALUE!</v>
      </c>
      <c r="M28" s="3" t="e">
        <f t="shared" ca="1" si="3"/>
        <v>#VALUE!</v>
      </c>
      <c r="N28" s="3" t="e">
        <f t="shared" ca="1" si="3"/>
        <v>#VALUE!</v>
      </c>
    </row>
    <row r="29" spans="1:20" x14ac:dyDescent="0.25">
      <c r="A29" s="19">
        <v>16</v>
      </c>
      <c r="B29" s="20">
        <f t="shared" si="0"/>
        <v>160</v>
      </c>
      <c r="C29" s="20"/>
      <c r="D29" s="20" t="s">
        <v>198</v>
      </c>
      <c r="E29" s="21"/>
      <c r="F29" s="21"/>
      <c r="G29" s="21"/>
      <c r="H29" s="21"/>
      <c r="I29" s="21"/>
      <c r="J29" s="21" t="e">
        <f ca="1">LamChanHangNgan((PhiInKM4M_BHR70($A29*E$23/$D$16*$E$16)+$A28*E$23/$D$16*$D$19+PhiMayCanMang($A29*E$23/$D$16*2, $C$15/100,$D$15/100))*(1+$D$17))</f>
        <v>#VALUE!</v>
      </c>
      <c r="K29" s="21" t="e">
        <f ca="1">LamChanHangNgan((PhiInKM4M_BHR70($A29*F$23/$D$16*$E$16)+$A28*F$23/$D$16*$D$19+PhiMayCanMang($A29*F$23/$D$16*2, $C$15/100,$D$15/100))*(1+$D$17))</f>
        <v>#VALUE!</v>
      </c>
      <c r="L29" s="21" t="e">
        <f ca="1">LamChanHangNgan((PhiInKM4M_BHR70($A29*G$23/$D$16*$E$16)+$A28*G$23/$D$16*$D$19+PhiMayCanMang($A29*G$23/$D$16*2, $C$15/100,$D$15/100))*(1+$D$17))</f>
        <v>#VALUE!</v>
      </c>
      <c r="M29" s="21" t="e">
        <f ca="1">LamChanHangNgan((PhiInKM4M_BHR70($A29*H$23/$D$16*$E$16)+$A28*H$23/$D$16*$D$19+PhiMayCanMang($A29*H$23/$D$16*2, $C$15/100,$D$15/100))*(1+$D$17))</f>
        <v>#VALUE!</v>
      </c>
      <c r="N29" s="21" t="e">
        <f ca="1">LamChanHangNgan((PhiInKM4M_BHR70($A29*I$23/$D$16*$E$16)+$A28*I$23/$D$16*$D$19+PhiMayCanMang($A29*I$23/$D$16*2, $C$15/100,$D$15/100))*(1+$D$17))</f>
        <v>#VALUE!</v>
      </c>
    </row>
    <row r="30" spans="1:20" x14ac:dyDescent="0.25">
      <c r="A30" s="2">
        <v>18</v>
      </c>
      <c r="B30">
        <f t="shared" si="0"/>
        <v>180</v>
      </c>
      <c r="D30" t="s">
        <v>197</v>
      </c>
      <c r="E30" s="3" t="e">
        <f ca="1">LamChanHangNgan((PhiInKM4M_BHR70($A30*E$23/$D$16*$E$16)+$A30*E$23/$D$16*$D$19)*(1+$D$17))</f>
        <v>#VALUE!</v>
      </c>
      <c r="F30" s="3" t="e">
        <f ca="1">LamChanHangNgan((PhiInKM4M_BHR70($A30*F$23/$D$16*$E$16)+$A30*F$23/$D$16*$D$19)*(1+$D$17))</f>
        <v>#VALUE!</v>
      </c>
      <c r="G30" s="3" t="e">
        <f ca="1">LamChanHangNgan((PhiInKM4M_BHR70($A30*G$23/$D$16*$E$16)+$A30*G$23/$D$16*$D$19)*(1+$D$17))</f>
        <v>#VALUE!</v>
      </c>
      <c r="H30" s="3" t="e">
        <f ca="1">LamChanHangNgan((PhiInKM4M_BHR70($A30*H$23/$D$16*$E$16)+$A30*H$23/$D$16*$D$19)*(1+$D$17))</f>
        <v>#VALUE!</v>
      </c>
      <c r="I30" s="3" t="e">
        <f ca="1">LamChanHangNgan((PhiInKM4M_BHR70($A30*I$23/$D$16*$E$16)+$A30*I$23/$D$16*$D$19)*(1+$D$17))</f>
        <v>#VALUE!</v>
      </c>
      <c r="J30" s="3" t="e">
        <f ca="1">E30</f>
        <v>#VALUE!</v>
      </c>
      <c r="K30" s="3" t="e">
        <f t="shared" ref="K30:N30" ca="1" si="4">F30</f>
        <v>#VALUE!</v>
      </c>
      <c r="L30" s="3" t="e">
        <f t="shared" ca="1" si="4"/>
        <v>#VALUE!</v>
      </c>
      <c r="M30" s="3" t="e">
        <f t="shared" ca="1" si="4"/>
        <v>#VALUE!</v>
      </c>
      <c r="N30" s="3" t="e">
        <f t="shared" ca="1" si="4"/>
        <v>#VALUE!</v>
      </c>
    </row>
    <row r="31" spans="1:20" x14ac:dyDescent="0.25">
      <c r="A31" s="19">
        <v>18</v>
      </c>
      <c r="B31" s="20">
        <f t="shared" si="0"/>
        <v>180</v>
      </c>
      <c r="C31" s="20"/>
      <c r="D31" s="20" t="s">
        <v>198</v>
      </c>
      <c r="E31" s="21"/>
      <c r="F31" s="21"/>
      <c r="G31" s="21"/>
      <c r="H31" s="21"/>
      <c r="I31" s="21"/>
      <c r="J31" s="21" t="e">
        <f ca="1">LamChanHangNgan((PhiInKM4M_BHR70($A31*E$23/$D$16*$E$16)+$A30*E$23/$D$16*$D$19+PhiMayCanMang($A31*E$23/$D$16*2, $C$15/100,$D$15/100))*(1+$D$17))</f>
        <v>#VALUE!</v>
      </c>
      <c r="K31" s="21" t="e">
        <f ca="1">LamChanHangNgan((PhiInKM4M_BHR70($A31*F$23/$D$16*$E$16)+$A30*F$23/$D$16*$D$19+PhiMayCanMang($A31*F$23/$D$16*2, $C$15/100,$D$15/100))*(1+$D$17))</f>
        <v>#VALUE!</v>
      </c>
      <c r="L31" s="21" t="e">
        <f ca="1">LamChanHangNgan((PhiInKM4M_BHR70($A31*G$23/$D$16*$E$16)+$A30*G$23/$D$16*$D$19+PhiMayCanMang($A31*G$23/$D$16*2, $C$15/100,$D$15/100))*(1+$D$17))</f>
        <v>#VALUE!</v>
      </c>
      <c r="M31" s="21" t="e">
        <f ca="1">LamChanHangNgan((PhiInKM4M_BHR70($A31*H$23/$D$16*$E$16)+$A30*H$23/$D$16*$D$19+PhiMayCanMang($A31*H$23/$D$16*2, $C$15/100,$D$15/100))*(1+$D$17))</f>
        <v>#VALUE!</v>
      </c>
      <c r="N31" s="21" t="e">
        <f ca="1">LamChanHangNgan((PhiInKM4M_BHR70($A31*I$23/$D$16*$E$16)+$A30*I$23/$D$16*$D$19+PhiMayCanMang($A31*I$23/$D$16*2, $C$15/100,$D$15/100))*(1+$D$17))</f>
        <v>#VALUE!</v>
      </c>
    </row>
    <row r="32" spans="1:20" x14ac:dyDescent="0.25">
      <c r="A32" s="2">
        <v>20</v>
      </c>
      <c r="B32">
        <f t="shared" si="0"/>
        <v>200</v>
      </c>
      <c r="D32" t="s">
        <v>197</v>
      </c>
      <c r="E32" s="3" t="e">
        <f ca="1">LamChanHangNgan((PhiInKM4M_BHR70($A32*E$23/$D$16*$E$16)+$A32*E$23/$D$16*$D$19)*(1+$D$17))</f>
        <v>#VALUE!</v>
      </c>
      <c r="F32" s="3" t="e">
        <f ca="1">LamChanHangNgan((PhiInKM4M_BHR70($A32*F$23/$D$16*$E$16)+$A32*F$23/$D$16*$D$19)*(1+$D$17))</f>
        <v>#VALUE!</v>
      </c>
      <c r="G32" s="3" t="e">
        <f ca="1">LamChanHangNgan((PhiInKM4M_BHR70($A32*G$23/$D$16*$E$16)+$A32*G$23/$D$16*$D$19)*(1+$D$17))</f>
        <v>#VALUE!</v>
      </c>
      <c r="H32" s="3" t="e">
        <f ca="1">LamChanHangNgan((PhiInKM4M_BHR70($A32*H$23/$D$16*$E$16)+$A32*H$23/$D$16*$D$19)*(1+$D$17))</f>
        <v>#VALUE!</v>
      </c>
      <c r="I32" s="3" t="e">
        <f ca="1">LamChanHangNgan((PhiInKM4M_BHR70($A32*I$23/$D$16*$E$16)+$A32*I$23/$D$16*$D$19)*(1+$D$17))</f>
        <v>#VALUE!</v>
      </c>
      <c r="J32" s="3" t="e">
        <f ca="1">E32</f>
        <v>#VALUE!</v>
      </c>
      <c r="K32" s="3" t="e">
        <f t="shared" ref="K32:N32" ca="1" si="5">F32</f>
        <v>#VALUE!</v>
      </c>
      <c r="L32" s="3" t="e">
        <f t="shared" ca="1" si="5"/>
        <v>#VALUE!</v>
      </c>
      <c r="M32" s="3" t="e">
        <f t="shared" ca="1" si="5"/>
        <v>#VALUE!</v>
      </c>
      <c r="N32" s="3" t="e">
        <f t="shared" ca="1" si="5"/>
        <v>#VALUE!</v>
      </c>
    </row>
    <row r="33" spans="1:14" x14ac:dyDescent="0.25">
      <c r="A33" s="19">
        <v>20</v>
      </c>
      <c r="B33" s="20">
        <f t="shared" si="0"/>
        <v>200</v>
      </c>
      <c r="C33" s="20"/>
      <c r="D33" s="20" t="s">
        <v>198</v>
      </c>
      <c r="E33" s="21"/>
      <c r="F33" s="21"/>
      <c r="G33" s="21"/>
      <c r="H33" s="21"/>
      <c r="I33" s="21"/>
      <c r="J33" s="21" t="e">
        <f ca="1">LamChanHangNgan((PhiInKM4M_BHR70($A33*E$23/$D$16*$E$16)+$A32*E$23/$D$16*$D$19+PhiMayCanMang($A33*E$23/$D$16*2, $C$15/100,$D$15/100))*(1+$D$17))</f>
        <v>#VALUE!</v>
      </c>
      <c r="K33" s="21" t="e">
        <f ca="1">LamChanHangNgan((PhiInKM4M_BHR70($A33*F$23/$D$16*$E$16)+$A32*F$23/$D$16*$D$19+PhiMayCanMang($A33*F$23/$D$16*2, $C$15/100,$D$15/100))*(1+$D$17))</f>
        <v>#VALUE!</v>
      </c>
      <c r="L33" s="21" t="e">
        <f ca="1">LamChanHangNgan((PhiInKM4M_BHR70($A33*G$23/$D$16*$E$16)+$A32*G$23/$D$16*$D$19+PhiMayCanMang($A33*G$23/$D$16*2, $C$15/100,$D$15/100))*(1+$D$17))</f>
        <v>#VALUE!</v>
      </c>
      <c r="M33" s="21" t="e">
        <f ca="1">LamChanHangNgan((PhiInKM4M_BHR70($A33*H$23/$D$16*$E$16)+$A32*H$23/$D$16*$D$19+PhiMayCanMang($A33*H$23/$D$16*2, $C$15/100,$D$15/100))*(1+$D$17))</f>
        <v>#VALUE!</v>
      </c>
      <c r="N33" s="21" t="e">
        <f ca="1">LamChanHangNgan((PhiInKM4M_BHR70($A33*I$23/$D$16*$E$16)+$A32*I$23/$D$16*$D$19+PhiMayCanMang($A33*I$23/$D$16*2, $C$15/100,$D$15/100))*(1+$D$17))</f>
        <v>#VALUE!</v>
      </c>
    </row>
    <row r="34" spans="1:14" x14ac:dyDescent="0.25">
      <c r="A34" s="2">
        <v>22</v>
      </c>
      <c r="B34">
        <f t="shared" si="0"/>
        <v>220</v>
      </c>
      <c r="D34" t="s">
        <v>197</v>
      </c>
      <c r="E34" s="3" t="e">
        <f ca="1">LamChanHangNgan((PhiInKM4M_BHR70($A34*E$23/$D$16*$E$16)+$A34*E$23/$D$16*$D$19)*(1+$D$17))</f>
        <v>#VALUE!</v>
      </c>
      <c r="F34" s="3" t="e">
        <f ca="1">LamChanHangNgan((PhiInKM4M_BHR70($A34*F$23/$D$16*$E$16)+$A34*F$23/$D$16*$D$19)*(1+$D$17))</f>
        <v>#VALUE!</v>
      </c>
      <c r="G34" s="3" t="e">
        <f ca="1">LamChanHangNgan((PhiInKM4M_BHR70($A34*G$23/$D$16*$E$16)+$A34*G$23/$D$16*$D$19)*(1+$D$17))</f>
        <v>#VALUE!</v>
      </c>
      <c r="H34" s="3" t="e">
        <f ca="1">LamChanHangNgan((PhiInKM4M_BHR70($A34*H$23/$D$16*$E$16)+$A34*H$23/$D$16*$D$19)*(1+$D$17))</f>
        <v>#VALUE!</v>
      </c>
      <c r="I34" s="3" t="e">
        <f ca="1">LamChanHangNgan((PhiInKM4M_BHR70($A34*I$23/$D$16*$E$16)+$A34*I$23/$D$16*$D$19)*(1+$D$17))</f>
        <v>#VALUE!</v>
      </c>
      <c r="J34" s="3" t="e">
        <f ca="1">E34</f>
        <v>#VALUE!</v>
      </c>
      <c r="K34" s="3" t="e">
        <f t="shared" ref="K34:N34" ca="1" si="6">F34</f>
        <v>#VALUE!</v>
      </c>
      <c r="L34" s="3" t="e">
        <f t="shared" ca="1" si="6"/>
        <v>#VALUE!</v>
      </c>
      <c r="M34" s="3" t="e">
        <f t="shared" ca="1" si="6"/>
        <v>#VALUE!</v>
      </c>
      <c r="N34" s="3" t="e">
        <f t="shared" ca="1" si="6"/>
        <v>#VALUE!</v>
      </c>
    </row>
    <row r="35" spans="1:14" x14ac:dyDescent="0.25">
      <c r="A35" s="19">
        <v>22</v>
      </c>
      <c r="B35" s="20">
        <f t="shared" si="0"/>
        <v>220</v>
      </c>
      <c r="C35" s="20"/>
      <c r="D35" s="20" t="s">
        <v>198</v>
      </c>
      <c r="E35" s="21"/>
      <c r="F35" s="21"/>
      <c r="G35" s="21"/>
      <c r="H35" s="21"/>
      <c r="I35" s="21"/>
      <c r="J35" s="21" t="e">
        <f ca="1">LamChanHangNgan((PhiInKM4M_BHR70($A35*E$23/$D$16*$E$16)+$A34*E$23/$D$16*$D$19+PhiMayCanMang($A35*E$23/$D$16*2, $C$15/100,$D$15/100))*(1+$D$17))</f>
        <v>#VALUE!</v>
      </c>
      <c r="K35" s="21" t="e">
        <f ca="1">LamChanHangNgan((PhiInKM4M_BHR70($A35*F$23/$D$16*$E$16)+$A34*F$23/$D$16*$D$19+PhiMayCanMang($A35*F$23/$D$16*2, $C$15/100,$D$15/100))*(1+$D$17))</f>
        <v>#VALUE!</v>
      </c>
      <c r="L35" s="21" t="e">
        <f ca="1">LamChanHangNgan((PhiInKM4M_BHR70($A35*G$23/$D$16*$E$16)+$A34*G$23/$D$16*$D$19+PhiMayCanMang($A35*G$23/$D$16*2, $C$15/100,$D$15/100))*(1+$D$17))</f>
        <v>#VALUE!</v>
      </c>
      <c r="M35" s="21" t="e">
        <f ca="1">LamChanHangNgan((PhiInKM4M_BHR70($A35*H$23/$D$16*$E$16)+$A34*H$23/$D$16*$D$19+PhiMayCanMang($A35*H$23/$D$16*2, $C$15/100,$D$15/100))*(1+$D$17))</f>
        <v>#VALUE!</v>
      </c>
      <c r="N35" s="21" t="e">
        <f ca="1">LamChanHangNgan((PhiInKM4M_BHR70($A35*I$23/$D$16*$E$16)+$A34*I$23/$D$16*$D$19+PhiMayCanMang($A35*I$23/$D$16*2, $C$15/100,$D$15/100))*(1+$D$17))</f>
        <v>#VALUE!</v>
      </c>
    </row>
    <row r="36" spans="1:14" x14ac:dyDescent="0.25">
      <c r="A36" s="2">
        <v>24</v>
      </c>
      <c r="B36">
        <f t="shared" si="0"/>
        <v>240</v>
      </c>
      <c r="D36" t="s">
        <v>197</v>
      </c>
      <c r="E36" s="3" t="e">
        <f ca="1">LamChanHangNgan((PhiInKM4M_BHR70($A36*E$23/$D$16*$E$16)+$A36*E$23/$D$16*$D$19)*(1+$D$17))</f>
        <v>#VALUE!</v>
      </c>
      <c r="F36" s="3" t="e">
        <f ca="1">LamChanHangNgan((PhiInKM4M_BHR70($A36*F$23/$D$16*$E$16)+$A36*F$23/$D$16*$D$19)*(1+$D$17))</f>
        <v>#VALUE!</v>
      </c>
      <c r="G36" s="3" t="e">
        <f ca="1">LamChanHangNgan((PhiInKM4M_BHR70($A36*G$23/$D$16*$E$16)+$A36*G$23/$D$16*$D$19)*(1+$D$17))</f>
        <v>#VALUE!</v>
      </c>
      <c r="H36" s="3" t="e">
        <f ca="1">LamChanHangNgan((PhiInKM4M_BHR70($A36*H$23/$D$16*$E$16)+$A36*H$23/$D$16*$D$19)*(1+$D$17))</f>
        <v>#VALUE!</v>
      </c>
      <c r="I36" s="3" t="e">
        <f ca="1">LamChanHangNgan((PhiInKM4M_BHR70($A36*I$23/$D$16*$E$16)+$A36*I$23/$D$16*$D$19)*(1+$D$17))</f>
        <v>#VALUE!</v>
      </c>
      <c r="J36" s="3" t="e">
        <f ca="1">E36</f>
        <v>#VALUE!</v>
      </c>
      <c r="K36" s="3" t="e">
        <f t="shared" ref="K36:N36" ca="1" si="7">F36</f>
        <v>#VALUE!</v>
      </c>
      <c r="L36" s="3" t="e">
        <f t="shared" ca="1" si="7"/>
        <v>#VALUE!</v>
      </c>
      <c r="M36" s="3" t="e">
        <f t="shared" ca="1" si="7"/>
        <v>#VALUE!</v>
      </c>
      <c r="N36" s="3" t="e">
        <f t="shared" ca="1" si="7"/>
        <v>#VALUE!</v>
      </c>
    </row>
    <row r="37" spans="1:14" x14ac:dyDescent="0.25">
      <c r="A37" s="19">
        <v>24</v>
      </c>
      <c r="B37" s="20">
        <f t="shared" si="0"/>
        <v>240</v>
      </c>
      <c r="C37" s="20"/>
      <c r="D37" s="20" t="s">
        <v>198</v>
      </c>
      <c r="E37" s="21"/>
      <c r="F37" s="21"/>
      <c r="G37" s="21"/>
      <c r="H37" s="21"/>
      <c r="I37" s="21"/>
      <c r="J37" s="21" t="e">
        <f ca="1">LamChanHangNgan((PhiInKM4M_BHR70($A37*E$23/$D$16*$E$16)+$A36*E$23/$D$16*$D$19+PhiMayCanMang($A37*E$23/$D$16*2, $C$15/100,$D$15/100))*(1+$D$17))</f>
        <v>#VALUE!</v>
      </c>
      <c r="K37" s="21" t="e">
        <f ca="1">LamChanHangNgan((PhiInKM4M_BHR70($A37*F$23/$D$16*$E$16)+$A36*F$23/$D$16*$D$19+PhiMayCanMang($A37*F$23/$D$16*2, $C$15/100,$D$15/100))*(1+$D$17))</f>
        <v>#VALUE!</v>
      </c>
      <c r="L37" s="21" t="e">
        <f ca="1">LamChanHangNgan((PhiInKM4M_BHR70($A37*G$23/$D$16*$E$16)+$A36*G$23/$D$16*$D$19+PhiMayCanMang($A37*G$23/$D$16*2, $C$15/100,$D$15/100))*(1+$D$17))</f>
        <v>#VALUE!</v>
      </c>
      <c r="M37" s="21" t="e">
        <f ca="1">LamChanHangNgan((PhiInKM4M_BHR70($A37*H$23/$D$16*$E$16)+$A36*H$23/$D$16*$D$19+PhiMayCanMang($A37*H$23/$D$16*2, $C$15/100,$D$15/100))*(1+$D$17))</f>
        <v>#VALUE!</v>
      </c>
      <c r="N37" s="21" t="e">
        <f ca="1">LamChanHangNgan((PhiInKM4M_BHR70($A37*I$23/$D$16*$E$16)+$A36*I$23/$D$16*$D$19+PhiMayCanMang($A37*I$23/$D$16*2, $C$15/100,$D$15/100))*(1+$D$17))</f>
        <v>#VALUE!</v>
      </c>
    </row>
    <row r="38" spans="1:14" x14ac:dyDescent="0.25">
      <c r="A38" s="2"/>
      <c r="C38" s="3"/>
      <c r="D38" s="3"/>
      <c r="E38" s="3"/>
      <c r="F38" s="3"/>
      <c r="G38" s="3"/>
      <c r="H38" s="3"/>
    </row>
    <row r="39" spans="1:14" x14ac:dyDescent="0.25">
      <c r="A39" s="2"/>
    </row>
    <row r="40" spans="1:14" x14ac:dyDescent="0.25">
      <c r="A40" s="2" t="s">
        <v>208</v>
      </c>
    </row>
    <row r="41" spans="1:14" x14ac:dyDescent="0.25">
      <c r="A41" s="2" t="s">
        <v>209</v>
      </c>
      <c r="B41">
        <v>6000</v>
      </c>
      <c r="D41" t="s">
        <v>210</v>
      </c>
      <c r="E41" s="3">
        <f>PhiLDPT_XepDotVoCuonLX(E$23)+$B$41*$C$13/100</f>
        <v>21362.2228</v>
      </c>
      <c r="F41" s="3">
        <f t="shared" ref="F41:I41" si="8">PhiLDPT_XepDotVoCuonLX(F$23)+$B$41*$C$13/100</f>
        <v>24251.111700000001</v>
      </c>
      <c r="G41" s="3">
        <f t="shared" si="8"/>
        <v>27140.000700000001</v>
      </c>
      <c r="H41" s="3">
        <f t="shared" si="8"/>
        <v>30028.8897</v>
      </c>
      <c r="I41" s="3">
        <f t="shared" si="8"/>
        <v>32917.778699999995</v>
      </c>
    </row>
    <row r="42" spans="1:14" x14ac:dyDescent="0.25">
      <c r="A42" s="2"/>
      <c r="D42" t="s">
        <v>211</v>
      </c>
      <c r="E42" s="3">
        <f>E$41*(1+$D$17)</f>
        <v>37383.889900000002</v>
      </c>
      <c r="F42" s="3">
        <f t="shared" ref="F42:I42" si="9">F$41*(1+$D$17)</f>
        <v>42439.445475</v>
      </c>
      <c r="G42" s="3">
        <f t="shared" si="9"/>
        <v>47495.001225</v>
      </c>
      <c r="H42" s="3">
        <f t="shared" si="9"/>
        <v>52550.556975</v>
      </c>
      <c r="I42" s="3">
        <f t="shared" si="9"/>
        <v>57606.112724999992</v>
      </c>
    </row>
    <row r="43" spans="1:14" x14ac:dyDescent="0.25">
      <c r="A43" s="2"/>
      <c r="D43" t="s">
        <v>212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19:B21" xr:uid="{F1B45340-F9EE-41B3-B1D4-DB371566B1F6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FB5CA25F-B2AC-4933-9A77-A1EB61F471E6}">
      <formula1>OFFSET(KHO_CAT_SAN_PHAM,1,0,,1)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56CFA-66DB-4FCF-B363-1EAA8F4AF513}">
  <sheetPr codeName="Trang_tính3"/>
  <dimension ref="A1:T65"/>
  <sheetViews>
    <sheetView topLeftCell="A19" workbookViewId="0">
      <selection activeCell="F23" sqref="F23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1" width="13.28515625" bestFit="1" customWidth="1"/>
    <col min="12" max="14" width="14.85546875" bestFit="1" customWidth="1"/>
    <col min="18" max="18" width="14.140625" bestFit="1" customWidth="1"/>
  </cols>
  <sheetData>
    <row r="1" spans="1:5" x14ac:dyDescent="0.25">
      <c r="A1" t="s">
        <v>182</v>
      </c>
    </row>
    <row r="2" spans="1:5" x14ac:dyDescent="0.25">
      <c r="A2" t="s">
        <v>179</v>
      </c>
      <c r="B2" t="s">
        <v>183</v>
      </c>
    </row>
    <row r="3" spans="1:5" x14ac:dyDescent="0.25">
      <c r="A3" t="s">
        <v>184</v>
      </c>
      <c r="B3" t="s">
        <v>32</v>
      </c>
    </row>
    <row r="4" spans="1:5" x14ac:dyDescent="0.25">
      <c r="A4" t="s">
        <v>121</v>
      </c>
      <c r="B4" t="s">
        <v>185</v>
      </c>
    </row>
    <row r="5" spans="1:5" x14ac:dyDescent="0.25">
      <c r="A5" t="s">
        <v>180</v>
      </c>
      <c r="B5" t="s">
        <v>186</v>
      </c>
    </row>
    <row r="6" spans="1:5" x14ac:dyDescent="0.25">
      <c r="A6" t="s">
        <v>187</v>
      </c>
      <c r="B6" t="s">
        <v>188</v>
      </c>
    </row>
    <row r="9" spans="1:5" x14ac:dyDescent="0.25">
      <c r="A9" s="1" t="s">
        <v>181</v>
      </c>
      <c r="B9" t="s">
        <v>196</v>
      </c>
    </row>
    <row r="10" spans="1:5" x14ac:dyDescent="0.25">
      <c r="A10" t="s">
        <v>127</v>
      </c>
      <c r="B10" s="12">
        <v>43609</v>
      </c>
    </row>
    <row r="11" spans="1:5" x14ac:dyDescent="0.25">
      <c r="B11" t="s">
        <v>53</v>
      </c>
      <c r="C11" t="s">
        <v>54</v>
      </c>
    </row>
    <row r="12" spans="1:5" x14ac:dyDescent="0.25">
      <c r="A12" t="s">
        <v>119</v>
      </c>
      <c r="D12" t="s">
        <v>194</v>
      </c>
    </row>
    <row r="13" spans="1:5" x14ac:dyDescent="0.25">
      <c r="A13" t="s">
        <v>216</v>
      </c>
      <c r="B13">
        <v>15</v>
      </c>
      <c r="C13">
        <v>19</v>
      </c>
      <c r="D13">
        <v>0.3</v>
      </c>
    </row>
    <row r="15" spans="1:5" ht="30" x14ac:dyDescent="0.25">
      <c r="A15" t="s">
        <v>117</v>
      </c>
      <c r="B15" s="1" t="s">
        <v>31</v>
      </c>
      <c r="C15">
        <v>32</v>
      </c>
      <c r="D15">
        <v>47</v>
      </c>
      <c r="E15" s="2" t="s">
        <v>130</v>
      </c>
    </row>
    <row r="16" spans="1:5" x14ac:dyDescent="0.25">
      <c r="A16" t="s">
        <v>126</v>
      </c>
      <c r="D16" s="1">
        <f>SoConTrenToLon($C$15,$D$15,$B$13+$D$13,$C$13+$D$13)</f>
        <v>4</v>
      </c>
      <c r="E16">
        <v>2</v>
      </c>
    </row>
    <row r="17" spans="1:20" x14ac:dyDescent="0.25">
      <c r="A17" t="s">
        <v>51</v>
      </c>
      <c r="D17" s="14">
        <v>0.75</v>
      </c>
      <c r="E17" s="15" t="s">
        <v>131</v>
      </c>
    </row>
    <row r="18" spans="1:20" x14ac:dyDescent="0.25">
      <c r="B18" t="s">
        <v>122</v>
      </c>
      <c r="C18" t="s">
        <v>123</v>
      </c>
      <c r="D18" t="s">
        <v>125</v>
      </c>
      <c r="E18" t="s">
        <v>124</v>
      </c>
    </row>
    <row r="19" spans="1:20" x14ac:dyDescent="0.25">
      <c r="A19" t="s">
        <v>195</v>
      </c>
      <c r="B19" t="s">
        <v>67</v>
      </c>
      <c r="C19" t="s">
        <v>60</v>
      </c>
      <c r="D19">
        <v>1272</v>
      </c>
      <c r="E19" s="3">
        <f>D19*(1+D17)</f>
        <v>2226</v>
      </c>
    </row>
    <row r="20" spans="1:20" x14ac:dyDescent="0.25">
      <c r="E20" s="3"/>
    </row>
    <row r="21" spans="1:20" ht="75" x14ac:dyDescent="0.25">
      <c r="E21" s="3"/>
      <c r="O21" s="2" t="s">
        <v>213</v>
      </c>
      <c r="P21" s="2" t="s">
        <v>202</v>
      </c>
      <c r="Q21" s="2"/>
      <c r="S21" s="2" t="s">
        <v>206</v>
      </c>
      <c r="T21" s="2" t="s">
        <v>202</v>
      </c>
    </row>
    <row r="22" spans="1:20" x14ac:dyDescent="0.25">
      <c r="A22" t="s">
        <v>199</v>
      </c>
      <c r="J22" s="18"/>
      <c r="N22" t="s">
        <v>203</v>
      </c>
      <c r="O22">
        <f>$A24*E$23/$D$16</f>
        <v>30</v>
      </c>
      <c r="P22">
        <f>$A24*E$23/$D$16*$E$16*2</f>
        <v>120</v>
      </c>
      <c r="R22" t="s">
        <v>205</v>
      </c>
      <c r="S22">
        <f>$A24*E23/$D$16*2</f>
        <v>60</v>
      </c>
    </row>
    <row r="23" spans="1:20" ht="45" x14ac:dyDescent="0.25">
      <c r="A23" s="6" t="s">
        <v>157</v>
      </c>
      <c r="B23" s="17" t="s">
        <v>156</v>
      </c>
      <c r="D23" t="s">
        <v>180</v>
      </c>
      <c r="E23">
        <v>10</v>
      </c>
      <c r="F23">
        <v>20</v>
      </c>
      <c r="G23">
        <v>30</v>
      </c>
      <c r="H23">
        <v>40</v>
      </c>
      <c r="I23">
        <v>50</v>
      </c>
      <c r="J23" s="22" t="s">
        <v>207</v>
      </c>
      <c r="N23" s="16" t="s">
        <v>200</v>
      </c>
      <c r="R23" s="16" t="s">
        <v>204</v>
      </c>
      <c r="S23">
        <f>PhiMayCanMang($A24*E23/$D$16*2, $C$15/100,$D$15/100)</f>
        <v>43913.725400000003</v>
      </c>
    </row>
    <row r="24" spans="1:20" x14ac:dyDescent="0.25">
      <c r="A24" s="2">
        <v>12</v>
      </c>
      <c r="B24">
        <f t="shared" ref="B24:B37" si="0">$A24*E$23</f>
        <v>120</v>
      </c>
      <c r="D24" t="s">
        <v>197</v>
      </c>
      <c r="E24" s="3" t="e">
        <f ca="1">LamChanHangNgan((PhiInKM4M_BHR70($A24*E$23/$D$16*$E$16)+$A24*E$23/$D$16*$D$19)*(1+$D$17))</f>
        <v>#VALUE!</v>
      </c>
      <c r="F24" s="3" t="e">
        <f ca="1">LamChanHangNgan((PhiInKM4M_BHR70($A24*F$23/$D$16*$E$16)+$A24*F$23/$D$16*$D$19)*(1+$D$17))</f>
        <v>#VALUE!</v>
      </c>
      <c r="G24" s="3" t="e">
        <f ca="1">LamChanHangNgan((PhiInKM4M_BHR70($A24*G$23/$D$16*$E$16)+$A24*G$23/$D$16*$D$19)*(1+$D$17))</f>
        <v>#VALUE!</v>
      </c>
      <c r="H24" s="3" t="e">
        <f ca="1">LamChanHangNgan((PhiInKM4M_BHR70($A24*H$23/$D$16*$E$16)+$A24*H$23/$D$16*$D$19)*(1+$D$17))</f>
        <v>#VALUE!</v>
      </c>
      <c r="I24" s="3" t="e">
        <f ca="1">LamChanHangNgan((PhiInKM4M_BHR70($A24*I$23/$D$16*$E$16)+$A24*I$23/$D$16*$D$19)*(1+$D$17))</f>
        <v>#VALUE!</v>
      </c>
      <c r="J24" s="3" t="e">
        <f ca="1">E24</f>
        <v>#VALUE!</v>
      </c>
      <c r="K24" s="3" t="e">
        <f t="shared" ref="K24:N24" ca="1" si="1">F24</f>
        <v>#VALUE!</v>
      </c>
      <c r="L24" s="3" t="e">
        <f t="shared" ca="1" si="1"/>
        <v>#VALUE!</v>
      </c>
      <c r="M24" s="3" t="e">
        <f t="shared" ca="1" si="1"/>
        <v>#VALUE!</v>
      </c>
      <c r="N24" s="3" t="e">
        <f t="shared" ca="1" si="1"/>
        <v>#VALUE!</v>
      </c>
      <c r="R24" s="3"/>
    </row>
    <row r="25" spans="1:20" x14ac:dyDescent="0.25">
      <c r="A25" s="19">
        <v>12</v>
      </c>
      <c r="B25" s="20">
        <f t="shared" si="0"/>
        <v>120</v>
      </c>
      <c r="C25" s="20"/>
      <c r="D25" s="20" t="s">
        <v>198</v>
      </c>
      <c r="J25" s="21" t="e">
        <f ca="1">LamChanHangNgan((PhiInKM4M_BHR70($A25*E$23/$D$16*$E$16)+$A24*E$23/$D$16*$D$19+PhiMayCanMang($A25*E$23/$D$16*2, $C$15/100,$D$15/100))*(1+$D$17))</f>
        <v>#VALUE!</v>
      </c>
      <c r="K25" s="21" t="e">
        <f ca="1">LamChanHangNgan((PhiInKM4M_BHR70($A25*F$23/$D$16*$E$16)+$A24*F$23/$D$16*$D$19+PhiMayCanMang($A25*F$23/$D$16*2, $C$15/100,$D$15/100))*(1+$D$17))</f>
        <v>#VALUE!</v>
      </c>
      <c r="L25" s="21" t="e">
        <f ca="1">LamChanHangNgan((PhiInKM4M_BHR70($A25*G$23/$D$16*$E$16)+$A24*G$23/$D$16*$D$19+PhiMayCanMang($A25*G$23/$D$16*2, $C$15/100,$D$15/100))*(1+$D$17))</f>
        <v>#VALUE!</v>
      </c>
      <c r="M25" s="21" t="e">
        <f ca="1">LamChanHangNgan((PhiInKM4M_BHR70($A25*H$23/$D$16*$E$16)+$A24*H$23/$D$16*$D$19+PhiMayCanMang($A25*H$23/$D$16*2, $C$15/100,$D$15/100))*(1+$D$17))</f>
        <v>#VALUE!</v>
      </c>
      <c r="N25" s="21" t="e">
        <f ca="1">LamChanHangNgan((PhiInKM4M_BHR70($A25*I$23/$D$16*$E$16)+$A24*I$23/$D$16*$D$19+PhiMayCanMang($A25*I$23/$D$16*2, $C$15/100,$D$15/100))*(1+$D$17))</f>
        <v>#VALUE!</v>
      </c>
    </row>
    <row r="26" spans="1:20" x14ac:dyDescent="0.25">
      <c r="A26" s="2">
        <v>14</v>
      </c>
      <c r="B26">
        <f t="shared" si="0"/>
        <v>140</v>
      </c>
      <c r="D26" t="s">
        <v>197</v>
      </c>
      <c r="E26" s="3" t="e">
        <f ca="1">LamChanHangNgan((PhiInKM4M_BHR70($A26*E$23/$D$16*$E$16)+$A26*E$23/$D$16*$D$19)*(1+$D$17))</f>
        <v>#VALUE!</v>
      </c>
      <c r="F26" s="3" t="e">
        <f ca="1">LamChanHangNgan((PhiInKM4M_BHR70($A26*F$23/$D$16*$E$16)+$A26*F$23/$D$16*$D$19)*(1+$D$17))</f>
        <v>#VALUE!</v>
      </c>
      <c r="G26" s="3" t="e">
        <f ca="1">LamChanHangNgan((PhiInKM4M_BHR70($A26*G$23/$D$16*$E$16)+$A26*G$23/$D$16*$D$19)*(1+$D$17))</f>
        <v>#VALUE!</v>
      </c>
      <c r="H26" s="3" t="e">
        <f ca="1">LamChanHangNgan((PhiInKM4M_BHR70($A26*H$23/$D$16*$E$16)+$A26*H$23/$D$16*$D$19)*(1+$D$17))</f>
        <v>#VALUE!</v>
      </c>
      <c r="I26" s="3" t="e">
        <f ca="1">LamChanHangNgan((PhiInKM4M_BHR70($A26*I$23/$D$16*$E$16)+$A26*I$23/$D$16*$D$19)*(1+$D$17))</f>
        <v>#VALUE!</v>
      </c>
      <c r="J26" s="3" t="e">
        <f ca="1">E26</f>
        <v>#VALUE!</v>
      </c>
      <c r="K26" s="3" t="e">
        <f t="shared" ref="K26:N26" ca="1" si="2">F26</f>
        <v>#VALUE!</v>
      </c>
      <c r="L26" s="3" t="e">
        <f t="shared" ca="1" si="2"/>
        <v>#VALUE!</v>
      </c>
      <c r="M26" s="3" t="e">
        <f t="shared" ca="1" si="2"/>
        <v>#VALUE!</v>
      </c>
      <c r="N26" s="3" t="e">
        <f t="shared" ca="1" si="2"/>
        <v>#VALUE!</v>
      </c>
    </row>
    <row r="27" spans="1:20" x14ac:dyDescent="0.25">
      <c r="A27" s="19">
        <v>14</v>
      </c>
      <c r="B27" s="20">
        <f t="shared" si="0"/>
        <v>140</v>
      </c>
      <c r="C27" s="20"/>
      <c r="D27" s="20" t="s">
        <v>198</v>
      </c>
      <c r="E27" s="21"/>
      <c r="F27" s="21"/>
      <c r="G27" s="21"/>
      <c r="H27" s="21"/>
      <c r="I27" s="21"/>
      <c r="J27" s="21" t="e">
        <f ca="1">LamChanHangNgan((PhiInKM4M_BHR70($A27*E$23/$D$16*$E$16)+$A26*E$23/$D$16*$D$19+PhiMayCanMang($A27*E$23/$D$16*2, $C$15/100,$D$15/100))*(1+$D$17))</f>
        <v>#VALUE!</v>
      </c>
      <c r="K27" s="21" t="e">
        <f ca="1">LamChanHangNgan((PhiInKM4M_BHR70($A27*F$23/$D$16*$E$16)+$A26*F$23/$D$16*$D$19+PhiMayCanMang($A27*F$23/$D$16*2, $C$15/100,$D$15/100))*(1+$D$17))</f>
        <v>#VALUE!</v>
      </c>
      <c r="L27" s="21" t="e">
        <f ca="1">LamChanHangNgan((PhiInKM4M_BHR70($A27*G$23/$D$16*$E$16)+$A26*G$23/$D$16*$D$19+PhiMayCanMang($A27*G$23/$D$16*2, $C$15/100,$D$15/100))*(1+$D$17))</f>
        <v>#VALUE!</v>
      </c>
      <c r="M27" s="21" t="e">
        <f ca="1">LamChanHangNgan((PhiInKM4M_BHR70($A27*H$23/$D$16*$E$16)+$A26*H$23/$D$16*$D$19+PhiMayCanMang($A27*H$23/$D$16*2, $C$15/100,$D$15/100))*(1+$D$17))</f>
        <v>#VALUE!</v>
      </c>
      <c r="N27" s="21" t="e">
        <f ca="1">LamChanHangNgan((PhiInKM4M_BHR70($A27*I$23/$D$16*$E$16)+$A26*I$23/$D$16*$D$19+PhiMayCanMang($A27*I$23/$D$16*2, $C$15/100,$D$15/100))*(1+$D$17))</f>
        <v>#VALUE!</v>
      </c>
    </row>
    <row r="28" spans="1:20" x14ac:dyDescent="0.25">
      <c r="A28" s="2">
        <v>16</v>
      </c>
      <c r="B28">
        <f t="shared" si="0"/>
        <v>160</v>
      </c>
      <c r="D28" t="s">
        <v>197</v>
      </c>
      <c r="E28" s="3" t="e">
        <f ca="1">LamChanHangNgan((PhiInKM4M_BHR70($A28*E$23/$D$16*$E$16)+$A28*E$23/$D$16*$D$19)*(1+$D$17))</f>
        <v>#VALUE!</v>
      </c>
      <c r="F28" s="3" t="e">
        <f ca="1">LamChanHangNgan((PhiInKM4M_BHR70($A28*F$23/$D$16*$E$16)+$A28*F$23/$D$16*$D$19)*(1+$D$17))</f>
        <v>#VALUE!</v>
      </c>
      <c r="G28" s="3" t="e">
        <f ca="1">LamChanHangNgan((PhiInKM4M_BHR70($A28*G$23/$D$16*$E$16)+$A28*G$23/$D$16*$D$19)*(1+$D$17))</f>
        <v>#VALUE!</v>
      </c>
      <c r="H28" s="3" t="e">
        <f ca="1">LamChanHangNgan((PhiInKM4M_BHR70($A28*H$23/$D$16*$E$16)+$A28*H$23/$D$16*$D$19)*(1+$D$17))</f>
        <v>#VALUE!</v>
      </c>
      <c r="I28" s="3" t="e">
        <f ca="1">LamChanHangNgan((PhiInKM4M_BHR70($A28*I$23/$D$16*$E$16)+$A28*I$23/$D$16*$D$19)*(1+$D$17))</f>
        <v>#VALUE!</v>
      </c>
      <c r="J28" s="3" t="e">
        <f ca="1">E28</f>
        <v>#VALUE!</v>
      </c>
      <c r="K28" s="3" t="e">
        <f t="shared" ref="K28:N28" ca="1" si="3">F28</f>
        <v>#VALUE!</v>
      </c>
      <c r="L28" s="3" t="e">
        <f t="shared" ca="1" si="3"/>
        <v>#VALUE!</v>
      </c>
      <c r="M28" s="3" t="e">
        <f t="shared" ca="1" si="3"/>
        <v>#VALUE!</v>
      </c>
      <c r="N28" s="3" t="e">
        <f t="shared" ca="1" si="3"/>
        <v>#VALUE!</v>
      </c>
    </row>
    <row r="29" spans="1:20" x14ac:dyDescent="0.25">
      <c r="A29" s="19">
        <v>16</v>
      </c>
      <c r="B29" s="20">
        <f t="shared" si="0"/>
        <v>160</v>
      </c>
      <c r="C29" s="20"/>
      <c r="D29" s="20" t="s">
        <v>198</v>
      </c>
      <c r="E29" s="21"/>
      <c r="F29" s="21"/>
      <c r="G29" s="21"/>
      <c r="H29" s="21"/>
      <c r="I29" s="21"/>
      <c r="J29" s="21" t="e">
        <f ca="1">LamChanHangNgan((PhiInKM4M_BHR70($A29*E$23/$D$16*$E$16)+$A28*E$23/$D$16*$D$19+PhiMayCanMang($A29*E$23/$D$16*2, $C$15/100,$D$15/100))*(1+$D$17))</f>
        <v>#VALUE!</v>
      </c>
      <c r="K29" s="21" t="e">
        <f ca="1">LamChanHangNgan((PhiInKM4M_BHR70($A29*F$23/$D$16*$E$16)+$A28*F$23/$D$16*$D$19+PhiMayCanMang($A29*F$23/$D$16*2, $C$15/100,$D$15/100))*(1+$D$17))</f>
        <v>#VALUE!</v>
      </c>
      <c r="L29" s="21" t="e">
        <f ca="1">LamChanHangNgan((PhiInKM4M_BHR70($A29*G$23/$D$16*$E$16)+$A28*G$23/$D$16*$D$19+PhiMayCanMang($A29*G$23/$D$16*2, $C$15/100,$D$15/100))*(1+$D$17))</f>
        <v>#VALUE!</v>
      </c>
      <c r="M29" s="21" t="e">
        <f ca="1">LamChanHangNgan((PhiInKM4M_BHR70($A29*H$23/$D$16*$E$16)+$A28*H$23/$D$16*$D$19+PhiMayCanMang($A29*H$23/$D$16*2, $C$15/100,$D$15/100))*(1+$D$17))</f>
        <v>#VALUE!</v>
      </c>
      <c r="N29" s="21" t="e">
        <f ca="1">LamChanHangNgan((PhiInKM4M_BHR70($A29*I$23/$D$16*$E$16)+$A28*I$23/$D$16*$D$19+PhiMayCanMang($A29*I$23/$D$16*2, $C$15/100,$D$15/100))*(1+$D$17))</f>
        <v>#VALUE!</v>
      </c>
    </row>
    <row r="30" spans="1:20" x14ac:dyDescent="0.25">
      <c r="A30" s="2">
        <v>18</v>
      </c>
      <c r="B30">
        <f t="shared" si="0"/>
        <v>180</v>
      </c>
      <c r="D30" t="s">
        <v>197</v>
      </c>
      <c r="E30" s="3" t="e">
        <f ca="1">LamChanHangNgan((PhiInKM4M_BHR70($A30*E$23/$D$16*$E$16)+$A30*E$23/$D$16*$D$19)*(1+$D$17))</f>
        <v>#VALUE!</v>
      </c>
      <c r="F30" s="3" t="e">
        <f ca="1">LamChanHangNgan((PhiInKM4M_BHR70($A30*F$23/$D$16*$E$16)+$A30*F$23/$D$16*$D$19)*(1+$D$17))</f>
        <v>#VALUE!</v>
      </c>
      <c r="G30" s="3" t="e">
        <f ca="1">LamChanHangNgan((PhiInKM4M_BHR70($A30*G$23/$D$16*$E$16)+$A30*G$23/$D$16*$D$19)*(1+$D$17))</f>
        <v>#VALUE!</v>
      </c>
      <c r="H30" s="3" t="e">
        <f ca="1">LamChanHangNgan((PhiInKM4M_BHR70($A30*H$23/$D$16*$E$16)+$A30*H$23/$D$16*$D$19)*(1+$D$17))</f>
        <v>#VALUE!</v>
      </c>
      <c r="I30" s="3" t="e">
        <f ca="1">LamChanHangNgan((PhiInKM4M_BHR70($A30*I$23/$D$16*$E$16)+$A30*I$23/$D$16*$D$19)*(1+$D$17))</f>
        <v>#VALUE!</v>
      </c>
      <c r="J30" s="3" t="e">
        <f ca="1">E30</f>
        <v>#VALUE!</v>
      </c>
      <c r="K30" s="3" t="e">
        <f t="shared" ref="K30:N30" ca="1" si="4">F30</f>
        <v>#VALUE!</v>
      </c>
      <c r="L30" s="3" t="e">
        <f t="shared" ca="1" si="4"/>
        <v>#VALUE!</v>
      </c>
      <c r="M30" s="3" t="e">
        <f t="shared" ca="1" si="4"/>
        <v>#VALUE!</v>
      </c>
      <c r="N30" s="3" t="e">
        <f t="shared" ca="1" si="4"/>
        <v>#VALUE!</v>
      </c>
    </row>
    <row r="31" spans="1:20" x14ac:dyDescent="0.25">
      <c r="A31" s="19">
        <v>18</v>
      </c>
      <c r="B31" s="20">
        <f t="shared" si="0"/>
        <v>180</v>
      </c>
      <c r="C31" s="20"/>
      <c r="D31" s="20" t="s">
        <v>198</v>
      </c>
      <c r="E31" s="21"/>
      <c r="F31" s="21"/>
      <c r="G31" s="21"/>
      <c r="H31" s="21"/>
      <c r="I31" s="21"/>
      <c r="J31" s="21" t="e">
        <f ca="1">LamChanHangNgan((PhiInKM4M_BHR70($A31*E$23/$D$16*$E$16)+$A30*E$23/$D$16*$D$19+PhiMayCanMang($A31*E$23/$D$16*2, $C$15/100,$D$15/100))*(1+$D$17))</f>
        <v>#VALUE!</v>
      </c>
      <c r="K31" s="21" t="e">
        <f ca="1">LamChanHangNgan((PhiInKM4M_BHR70($A31*F$23/$D$16*$E$16)+$A30*F$23/$D$16*$D$19+PhiMayCanMang($A31*F$23/$D$16*2, $C$15/100,$D$15/100))*(1+$D$17))</f>
        <v>#VALUE!</v>
      </c>
      <c r="L31" s="21" t="e">
        <f ca="1">LamChanHangNgan((PhiInKM4M_BHR70($A31*G$23/$D$16*$E$16)+$A30*G$23/$D$16*$D$19+PhiMayCanMang($A31*G$23/$D$16*2, $C$15/100,$D$15/100))*(1+$D$17))</f>
        <v>#VALUE!</v>
      </c>
      <c r="M31" s="21" t="e">
        <f ca="1">LamChanHangNgan((PhiInKM4M_BHR70($A31*H$23/$D$16*$E$16)+$A30*H$23/$D$16*$D$19+PhiMayCanMang($A31*H$23/$D$16*2, $C$15/100,$D$15/100))*(1+$D$17))</f>
        <v>#VALUE!</v>
      </c>
      <c r="N31" s="21" t="e">
        <f ca="1">LamChanHangNgan((PhiInKM4M_BHR70($A31*I$23/$D$16*$E$16)+$A30*I$23/$D$16*$D$19+PhiMayCanMang($A31*I$23/$D$16*2, $C$15/100,$D$15/100))*(1+$D$17))</f>
        <v>#VALUE!</v>
      </c>
    </row>
    <row r="32" spans="1:20" x14ac:dyDescent="0.25">
      <c r="A32" s="2">
        <v>20</v>
      </c>
      <c r="B32">
        <f t="shared" si="0"/>
        <v>200</v>
      </c>
      <c r="D32" t="s">
        <v>197</v>
      </c>
      <c r="E32" s="3" t="e">
        <f ca="1">LamChanHangNgan((PhiInKM4M_BHR70($A32*E$23/$D$16*$E$16)+$A32*E$23/$D$16*$D$19)*(1+$D$17))</f>
        <v>#VALUE!</v>
      </c>
      <c r="F32" s="3" t="e">
        <f ca="1">LamChanHangNgan((PhiInKM4M_BHR70($A32*F$23/$D$16*$E$16)+$A32*F$23/$D$16*$D$19)*(1+$D$17))</f>
        <v>#VALUE!</v>
      </c>
      <c r="G32" s="3" t="e">
        <f ca="1">LamChanHangNgan((PhiInKM4M_BHR70($A32*G$23/$D$16*$E$16)+$A32*G$23/$D$16*$D$19)*(1+$D$17))</f>
        <v>#VALUE!</v>
      </c>
      <c r="H32" s="3" t="e">
        <f ca="1">LamChanHangNgan((PhiInKM4M_BHR70($A32*H$23/$D$16*$E$16)+$A32*H$23/$D$16*$D$19)*(1+$D$17))</f>
        <v>#VALUE!</v>
      </c>
      <c r="I32" s="3" t="e">
        <f ca="1">LamChanHangNgan((PhiInKM4M_BHR70($A32*I$23/$D$16*$E$16)+$A32*I$23/$D$16*$D$19)*(1+$D$17))</f>
        <v>#VALUE!</v>
      </c>
      <c r="J32" s="3" t="e">
        <f ca="1">E32</f>
        <v>#VALUE!</v>
      </c>
      <c r="K32" s="3" t="e">
        <f t="shared" ref="K32:N32" ca="1" si="5">F32</f>
        <v>#VALUE!</v>
      </c>
      <c r="L32" s="3" t="e">
        <f t="shared" ca="1" si="5"/>
        <v>#VALUE!</v>
      </c>
      <c r="M32" s="3" t="e">
        <f t="shared" ca="1" si="5"/>
        <v>#VALUE!</v>
      </c>
      <c r="N32" s="3" t="e">
        <f t="shared" ca="1" si="5"/>
        <v>#VALUE!</v>
      </c>
    </row>
    <row r="33" spans="1:14" x14ac:dyDescent="0.25">
      <c r="A33" s="19">
        <v>20</v>
      </c>
      <c r="B33" s="20">
        <f t="shared" si="0"/>
        <v>200</v>
      </c>
      <c r="C33" s="20"/>
      <c r="D33" s="20" t="s">
        <v>198</v>
      </c>
      <c r="E33" s="21"/>
      <c r="F33" s="21"/>
      <c r="G33" s="21"/>
      <c r="H33" s="21"/>
      <c r="I33" s="21"/>
      <c r="J33" s="21" t="e">
        <f ca="1">LamChanHangNgan((PhiInKM4M_BHR70($A33*E$23/$D$16*$E$16)+$A32*E$23/$D$16*$D$19+PhiMayCanMang($A33*E$23/$D$16*2, $C$15/100,$D$15/100))*(1+$D$17))</f>
        <v>#VALUE!</v>
      </c>
      <c r="K33" s="21" t="e">
        <f ca="1">LamChanHangNgan((PhiInKM4M_BHR70($A33*F$23/$D$16*$E$16)+$A32*F$23/$D$16*$D$19+PhiMayCanMang($A33*F$23/$D$16*2, $C$15/100,$D$15/100))*(1+$D$17))</f>
        <v>#VALUE!</v>
      </c>
      <c r="L33" s="21" t="e">
        <f ca="1">LamChanHangNgan((PhiInKM4M_BHR70($A33*G$23/$D$16*$E$16)+$A32*G$23/$D$16*$D$19+PhiMayCanMang($A33*G$23/$D$16*2, $C$15/100,$D$15/100))*(1+$D$17))</f>
        <v>#VALUE!</v>
      </c>
      <c r="M33" s="21" t="e">
        <f ca="1">LamChanHangNgan((PhiInKM4M_BHR70($A33*H$23/$D$16*$E$16)+$A32*H$23/$D$16*$D$19+PhiMayCanMang($A33*H$23/$D$16*2, $C$15/100,$D$15/100))*(1+$D$17))</f>
        <v>#VALUE!</v>
      </c>
      <c r="N33" s="21" t="e">
        <f ca="1">LamChanHangNgan((PhiInKM4M_BHR70($A33*I$23/$D$16*$E$16)+$A32*I$23/$D$16*$D$19+PhiMayCanMang($A33*I$23/$D$16*2, $C$15/100,$D$15/100))*(1+$D$17))</f>
        <v>#VALUE!</v>
      </c>
    </row>
    <row r="34" spans="1:14" x14ac:dyDescent="0.25">
      <c r="A34" s="2">
        <v>22</v>
      </c>
      <c r="B34">
        <f t="shared" si="0"/>
        <v>220</v>
      </c>
      <c r="D34" t="s">
        <v>197</v>
      </c>
      <c r="E34" s="3" t="e">
        <f ca="1">LamChanHangNgan((PhiInKM4M_BHR70($A34*E$23/$D$16*$E$16)+$A34*E$23/$D$16*$D$19)*(1+$D$17))</f>
        <v>#VALUE!</v>
      </c>
      <c r="F34" s="3" t="e">
        <f ca="1">LamChanHangNgan((PhiInKM4M_BHR70($A34*F$23/$D$16*$E$16)+$A34*F$23/$D$16*$D$19)*(1+$D$17))</f>
        <v>#VALUE!</v>
      </c>
      <c r="G34" s="3" t="e">
        <f ca="1">LamChanHangNgan((PhiInKM4M_BHR70($A34*G$23/$D$16*$E$16)+$A34*G$23/$D$16*$D$19)*(1+$D$17))</f>
        <v>#VALUE!</v>
      </c>
      <c r="H34" s="3" t="e">
        <f ca="1">LamChanHangNgan((PhiInKM4M_BHR70($A34*H$23/$D$16*$E$16)+$A34*H$23/$D$16*$D$19)*(1+$D$17))</f>
        <v>#VALUE!</v>
      </c>
      <c r="I34" s="3" t="e">
        <f ca="1">LamChanHangNgan((PhiInKM4M_BHR70($A34*I$23/$D$16*$E$16)+$A34*I$23/$D$16*$D$19)*(1+$D$17))</f>
        <v>#VALUE!</v>
      </c>
      <c r="J34" s="3" t="e">
        <f ca="1">E34</f>
        <v>#VALUE!</v>
      </c>
      <c r="K34" s="3" t="e">
        <f t="shared" ref="K34:N34" ca="1" si="6">F34</f>
        <v>#VALUE!</v>
      </c>
      <c r="L34" s="3" t="e">
        <f t="shared" ca="1" si="6"/>
        <v>#VALUE!</v>
      </c>
      <c r="M34" s="3" t="e">
        <f t="shared" ca="1" si="6"/>
        <v>#VALUE!</v>
      </c>
      <c r="N34" s="3" t="e">
        <f t="shared" ca="1" si="6"/>
        <v>#VALUE!</v>
      </c>
    </row>
    <row r="35" spans="1:14" x14ac:dyDescent="0.25">
      <c r="A35" s="19">
        <v>22</v>
      </c>
      <c r="B35" s="20">
        <f t="shared" si="0"/>
        <v>220</v>
      </c>
      <c r="C35" s="20"/>
      <c r="D35" s="20" t="s">
        <v>198</v>
      </c>
      <c r="E35" s="21"/>
      <c r="F35" s="21"/>
      <c r="G35" s="21"/>
      <c r="H35" s="21"/>
      <c r="I35" s="21"/>
      <c r="J35" s="21" t="e">
        <f ca="1">LamChanHangNgan((PhiInKM4M_BHR70($A35*E$23/$D$16*$E$16)+$A34*E$23/$D$16*$D$19+PhiMayCanMang($A35*E$23/$D$16*2, $C$15/100,$D$15/100))*(1+$D$17))</f>
        <v>#VALUE!</v>
      </c>
      <c r="K35" s="21" t="e">
        <f ca="1">LamChanHangNgan((PhiInKM4M_BHR70($A35*F$23/$D$16*$E$16)+$A34*F$23/$D$16*$D$19+PhiMayCanMang($A35*F$23/$D$16*2, $C$15/100,$D$15/100))*(1+$D$17))</f>
        <v>#VALUE!</v>
      </c>
      <c r="L35" s="21" t="e">
        <f ca="1">LamChanHangNgan((PhiInKM4M_BHR70($A35*G$23/$D$16*$E$16)+$A34*G$23/$D$16*$D$19+PhiMayCanMang($A35*G$23/$D$16*2, $C$15/100,$D$15/100))*(1+$D$17))</f>
        <v>#VALUE!</v>
      </c>
      <c r="M35" s="21" t="e">
        <f ca="1">LamChanHangNgan((PhiInKM4M_BHR70($A35*H$23/$D$16*$E$16)+$A34*H$23/$D$16*$D$19+PhiMayCanMang($A35*H$23/$D$16*2, $C$15/100,$D$15/100))*(1+$D$17))</f>
        <v>#VALUE!</v>
      </c>
      <c r="N35" s="21" t="e">
        <f ca="1">LamChanHangNgan((PhiInKM4M_BHR70($A35*I$23/$D$16*$E$16)+$A34*I$23/$D$16*$D$19+PhiMayCanMang($A35*I$23/$D$16*2, $C$15/100,$D$15/100))*(1+$D$17))</f>
        <v>#VALUE!</v>
      </c>
    </row>
    <row r="36" spans="1:14" x14ac:dyDescent="0.25">
      <c r="A36" s="2">
        <v>24</v>
      </c>
      <c r="B36">
        <f t="shared" si="0"/>
        <v>240</v>
      </c>
      <c r="D36" t="s">
        <v>197</v>
      </c>
      <c r="E36" s="3" t="e">
        <f ca="1">LamChanHangNgan((PhiInKM4M_BHR70($A36*E$23/$D$16*$E$16)+$A36*E$23/$D$16*$D$19)*(1+$D$17))</f>
        <v>#VALUE!</v>
      </c>
      <c r="F36" s="3" t="e">
        <f ca="1">LamChanHangNgan((PhiInKM4M_BHR70($A36*F$23/$D$16*$E$16)+$A36*F$23/$D$16*$D$19)*(1+$D$17))</f>
        <v>#VALUE!</v>
      </c>
      <c r="G36" s="3" t="e">
        <f ca="1">LamChanHangNgan((PhiInKM4M_BHR70($A36*G$23/$D$16*$E$16)+$A36*G$23/$D$16*$D$19)*(1+$D$17))</f>
        <v>#VALUE!</v>
      </c>
      <c r="H36" s="3" t="e">
        <f ca="1">LamChanHangNgan((PhiInKM4M_BHR70($A36*H$23/$D$16*$E$16)+$A36*H$23/$D$16*$D$19)*(1+$D$17))</f>
        <v>#VALUE!</v>
      </c>
      <c r="I36" s="3" t="e">
        <f ca="1">LamChanHangNgan((PhiInKM4M_BHR70($A36*I$23/$D$16*$E$16)+$A36*I$23/$D$16*$D$19)*(1+$D$17))</f>
        <v>#VALUE!</v>
      </c>
      <c r="J36" s="3" t="e">
        <f ca="1">E36</f>
        <v>#VALUE!</v>
      </c>
      <c r="K36" s="3" t="e">
        <f t="shared" ref="K36:N36" ca="1" si="7">F36</f>
        <v>#VALUE!</v>
      </c>
      <c r="L36" s="3" t="e">
        <f t="shared" ca="1" si="7"/>
        <v>#VALUE!</v>
      </c>
      <c r="M36" s="3" t="e">
        <f t="shared" ca="1" si="7"/>
        <v>#VALUE!</v>
      </c>
      <c r="N36" s="3" t="e">
        <f t="shared" ca="1" si="7"/>
        <v>#VALUE!</v>
      </c>
    </row>
    <row r="37" spans="1:14" x14ac:dyDescent="0.25">
      <c r="A37" s="19">
        <v>24</v>
      </c>
      <c r="B37" s="20">
        <f t="shared" si="0"/>
        <v>240</v>
      </c>
      <c r="C37" s="20"/>
      <c r="D37" s="20" t="s">
        <v>198</v>
      </c>
      <c r="E37" s="21"/>
      <c r="F37" s="21"/>
      <c r="G37" s="21"/>
      <c r="H37" s="21"/>
      <c r="I37" s="21"/>
      <c r="J37" s="21" t="e">
        <f ca="1">LamChanHangNgan((PhiInKM4M_BHR70($A37*E$23/$D$16*$E$16)+$A36*E$23/$D$16*$D$19+PhiMayCanMang($A37*E$23/$D$16*2, $C$15/100,$D$15/100))*(1+$D$17))</f>
        <v>#VALUE!</v>
      </c>
      <c r="K37" s="21" t="e">
        <f ca="1">LamChanHangNgan((PhiInKM4M_BHR70($A37*F$23/$D$16*$E$16)+$A36*F$23/$D$16*$D$19+PhiMayCanMang($A37*F$23/$D$16*2, $C$15/100,$D$15/100))*(1+$D$17))</f>
        <v>#VALUE!</v>
      </c>
      <c r="L37" s="21" t="e">
        <f ca="1">LamChanHangNgan((PhiInKM4M_BHR70($A37*G$23/$D$16*$E$16)+$A36*G$23/$D$16*$D$19+PhiMayCanMang($A37*G$23/$D$16*2, $C$15/100,$D$15/100))*(1+$D$17))</f>
        <v>#VALUE!</v>
      </c>
      <c r="M37" s="21" t="e">
        <f ca="1">LamChanHangNgan((PhiInKM4M_BHR70($A37*H$23/$D$16*$E$16)+$A36*H$23/$D$16*$D$19+PhiMayCanMang($A37*H$23/$D$16*2, $C$15/100,$D$15/100))*(1+$D$17))</f>
        <v>#VALUE!</v>
      </c>
      <c r="N37" s="21" t="e">
        <f ca="1">LamChanHangNgan((PhiInKM4M_BHR70($A37*I$23/$D$16*$E$16)+$A36*I$23/$D$16*$D$19+PhiMayCanMang($A37*I$23/$D$16*2, $C$15/100,$D$15/100))*(1+$D$17))</f>
        <v>#VALUE!</v>
      </c>
    </row>
    <row r="38" spans="1:14" x14ac:dyDescent="0.25">
      <c r="A38" s="2"/>
      <c r="C38" s="3"/>
      <c r="D38" s="3"/>
      <c r="E38" s="3"/>
      <c r="F38" s="3"/>
      <c r="G38" s="3"/>
      <c r="H38" s="3"/>
    </row>
    <row r="39" spans="1:14" x14ac:dyDescent="0.25">
      <c r="A39" s="2"/>
    </row>
    <row r="40" spans="1:14" x14ac:dyDescent="0.25">
      <c r="A40" s="2" t="s">
        <v>208</v>
      </c>
    </row>
    <row r="41" spans="1:14" x14ac:dyDescent="0.25">
      <c r="A41" s="2" t="s">
        <v>209</v>
      </c>
      <c r="B41">
        <v>6000</v>
      </c>
      <c r="D41" t="s">
        <v>210</v>
      </c>
      <c r="E41" s="3">
        <f>PhiLDPT_XepDotVoCuonLX(E$23)+$B$41*$C$13/100</f>
        <v>21362.2228</v>
      </c>
      <c r="F41" s="3">
        <f t="shared" ref="F41:I41" si="8">PhiLDPT_XepDotVoCuonLX(F$23)+$B$41*$C$13/100</f>
        <v>24251.111700000001</v>
      </c>
      <c r="G41" s="3">
        <f t="shared" si="8"/>
        <v>27140.000700000001</v>
      </c>
      <c r="H41" s="3">
        <f t="shared" si="8"/>
        <v>30028.8897</v>
      </c>
      <c r="I41" s="3">
        <f t="shared" si="8"/>
        <v>32917.778699999995</v>
      </c>
    </row>
    <row r="42" spans="1:14" x14ac:dyDescent="0.25">
      <c r="A42" s="2"/>
      <c r="D42" t="s">
        <v>211</v>
      </c>
      <c r="E42" s="3">
        <f>E$41*(1+$D$17)</f>
        <v>37383.889900000002</v>
      </c>
      <c r="F42" s="3">
        <f t="shared" ref="F42:I42" si="9">F$41*(1+$D$17)</f>
        <v>42439.445475</v>
      </c>
      <c r="G42" s="3">
        <f t="shared" si="9"/>
        <v>47495.001225</v>
      </c>
      <c r="H42" s="3">
        <f t="shared" si="9"/>
        <v>52550.556975</v>
      </c>
      <c r="I42" s="3">
        <f t="shared" si="9"/>
        <v>57606.112724999992</v>
      </c>
    </row>
    <row r="43" spans="1:14" x14ac:dyDescent="0.25">
      <c r="A43" s="2"/>
      <c r="D43" t="s">
        <v>212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A13" xr:uid="{0EE96482-E64B-4E39-BCE7-417594A230BA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:B21" xr:uid="{686037AE-E91E-4AE5-AA5E-C5F6F3F340FF}">
      <formula1>OFFSET(GIA_GIAY_CO_BAN,1,0,,1)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8A674-A506-4793-BD34-5CBEDF24A027}">
  <sheetPr codeName="Trang_tính4"/>
  <dimension ref="A1:T65"/>
  <sheetViews>
    <sheetView topLeftCell="A22" workbookViewId="0">
      <selection activeCell="D41" sqref="D41:I43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1" width="13.28515625" bestFit="1" customWidth="1"/>
    <col min="12" max="14" width="14.85546875" bestFit="1" customWidth="1"/>
    <col min="18" max="18" width="14.140625" bestFit="1" customWidth="1"/>
  </cols>
  <sheetData>
    <row r="1" spans="1:5" x14ac:dyDescent="0.25">
      <c r="A1" t="s">
        <v>182</v>
      </c>
    </row>
    <row r="2" spans="1:5" x14ac:dyDescent="0.25">
      <c r="A2" t="s">
        <v>179</v>
      </c>
      <c r="B2" t="s">
        <v>183</v>
      </c>
    </row>
    <row r="3" spans="1:5" x14ac:dyDescent="0.25">
      <c r="A3" t="s">
        <v>184</v>
      </c>
      <c r="B3" t="s">
        <v>32</v>
      </c>
    </row>
    <row r="4" spans="1:5" x14ac:dyDescent="0.25">
      <c r="A4" t="s">
        <v>121</v>
      </c>
      <c r="B4" t="s">
        <v>185</v>
      </c>
    </row>
    <row r="5" spans="1:5" x14ac:dyDescent="0.25">
      <c r="A5" t="s">
        <v>180</v>
      </c>
      <c r="B5" t="s">
        <v>186</v>
      </c>
    </row>
    <row r="6" spans="1:5" x14ac:dyDescent="0.25">
      <c r="A6" t="s">
        <v>187</v>
      </c>
      <c r="B6" t="s">
        <v>188</v>
      </c>
    </row>
    <row r="9" spans="1:5" x14ac:dyDescent="0.25">
      <c r="A9" s="1" t="s">
        <v>181</v>
      </c>
      <c r="B9" t="s">
        <v>196</v>
      </c>
    </row>
    <row r="10" spans="1:5" x14ac:dyDescent="0.25">
      <c r="A10" t="s">
        <v>127</v>
      </c>
      <c r="B10" s="12">
        <v>43609</v>
      </c>
    </row>
    <row r="11" spans="1:5" x14ac:dyDescent="0.25">
      <c r="B11" t="s">
        <v>53</v>
      </c>
      <c r="C11" t="s">
        <v>54</v>
      </c>
    </row>
    <row r="12" spans="1:5" x14ac:dyDescent="0.25">
      <c r="A12" t="s">
        <v>119</v>
      </c>
      <c r="D12" t="s">
        <v>194</v>
      </c>
    </row>
    <row r="13" spans="1:5" x14ac:dyDescent="0.25">
      <c r="A13" t="s">
        <v>217</v>
      </c>
      <c r="B13">
        <v>19</v>
      </c>
      <c r="C13">
        <v>30</v>
      </c>
      <c r="D13">
        <v>0.3</v>
      </c>
    </row>
    <row r="15" spans="1:5" ht="30" x14ac:dyDescent="0.25">
      <c r="A15" t="s">
        <v>117</v>
      </c>
      <c r="B15" s="1" t="s">
        <v>31</v>
      </c>
      <c r="C15">
        <v>32</v>
      </c>
      <c r="D15">
        <v>47</v>
      </c>
      <c r="E15" s="2" t="s">
        <v>130</v>
      </c>
    </row>
    <row r="16" spans="1:5" x14ac:dyDescent="0.25">
      <c r="A16" t="s">
        <v>126</v>
      </c>
      <c r="D16" s="1">
        <f>SoConTrenToLon($C$15,$D$15,$B$13+$D$13,$C$13+$D$13)</f>
        <v>2</v>
      </c>
      <c r="E16">
        <v>2</v>
      </c>
    </row>
    <row r="17" spans="1:20" x14ac:dyDescent="0.25">
      <c r="A17" t="s">
        <v>51</v>
      </c>
      <c r="D17" s="14">
        <v>0.75</v>
      </c>
      <c r="E17" s="15" t="s">
        <v>131</v>
      </c>
    </row>
    <row r="18" spans="1:20" x14ac:dyDescent="0.25">
      <c r="B18" t="s">
        <v>122</v>
      </c>
      <c r="C18" t="s">
        <v>123</v>
      </c>
      <c r="D18" t="s">
        <v>125</v>
      </c>
      <c r="E18" t="s">
        <v>124</v>
      </c>
    </row>
    <row r="19" spans="1:20" x14ac:dyDescent="0.25">
      <c r="A19" t="s">
        <v>195</v>
      </c>
      <c r="B19" t="s">
        <v>67</v>
      </c>
      <c r="C19" t="s">
        <v>60</v>
      </c>
      <c r="D19">
        <v>1272</v>
      </c>
      <c r="E19" s="3">
        <f>D19*(1+D17)</f>
        <v>2226</v>
      </c>
    </row>
    <row r="20" spans="1:20" x14ac:dyDescent="0.25">
      <c r="E20" s="3"/>
    </row>
    <row r="21" spans="1:20" ht="75" x14ac:dyDescent="0.25">
      <c r="E21" s="3"/>
      <c r="O21" s="2" t="s">
        <v>213</v>
      </c>
      <c r="P21" s="2" t="s">
        <v>202</v>
      </c>
      <c r="Q21" s="2"/>
      <c r="S21" s="2" t="s">
        <v>206</v>
      </c>
      <c r="T21" s="2" t="s">
        <v>202</v>
      </c>
    </row>
    <row r="22" spans="1:20" x14ac:dyDescent="0.25">
      <c r="A22" t="s">
        <v>199</v>
      </c>
      <c r="J22" s="18"/>
      <c r="N22" t="s">
        <v>203</v>
      </c>
      <c r="O22">
        <f>$A24*E$23/$D$16</f>
        <v>60</v>
      </c>
      <c r="P22">
        <f>$A24*E$23/$D$16*$E$16*2</f>
        <v>240</v>
      </c>
      <c r="R22" t="s">
        <v>205</v>
      </c>
      <c r="S22">
        <f>$A24*E23/$D$16*2</f>
        <v>120</v>
      </c>
    </row>
    <row r="23" spans="1:20" ht="45" x14ac:dyDescent="0.25">
      <c r="A23" s="6" t="s">
        <v>157</v>
      </c>
      <c r="B23" s="17" t="s">
        <v>156</v>
      </c>
      <c r="D23" t="s">
        <v>180</v>
      </c>
      <c r="E23">
        <v>10</v>
      </c>
      <c r="F23">
        <v>20</v>
      </c>
      <c r="G23">
        <v>30</v>
      </c>
      <c r="H23">
        <v>40</v>
      </c>
      <c r="I23">
        <v>50</v>
      </c>
      <c r="J23" s="22" t="s">
        <v>207</v>
      </c>
      <c r="N23" s="16" t="s">
        <v>200</v>
      </c>
      <c r="R23" s="16" t="s">
        <v>204</v>
      </c>
      <c r="S23">
        <f>PhiMayCanMang($A24*E23/$D$16*2, $C$15/100,$D$15/100)</f>
        <v>51160.784200000002</v>
      </c>
    </row>
    <row r="24" spans="1:20" x14ac:dyDescent="0.25">
      <c r="A24" s="2">
        <v>12</v>
      </c>
      <c r="B24">
        <f t="shared" ref="B24:B37" si="0">$A24*E$23</f>
        <v>120</v>
      </c>
      <c r="D24" t="s">
        <v>197</v>
      </c>
      <c r="E24" s="3" t="e">
        <f ca="1">LamChanHangNgan((PhiInKM4M_BHR70($A24*E$23/$D$16*$E$16)+$A24*E$23/$D$16*$D$19)*(1+$D$17))</f>
        <v>#VALUE!</v>
      </c>
      <c r="F24" s="3" t="e">
        <f ca="1">LamChanHangNgan((PhiInKM4M_BHR70($A24*F$23/$D$16*$E$16)+$A24*F$23/$D$16*$D$19)*(1+$D$17))</f>
        <v>#VALUE!</v>
      </c>
      <c r="G24" s="3" t="e">
        <f ca="1">LamChanHangNgan((PhiInKM4M_BHR70($A24*G$23/$D$16*$E$16)+$A24*G$23/$D$16*$D$19)*(1+$D$17))</f>
        <v>#VALUE!</v>
      </c>
      <c r="H24" s="3" t="e">
        <f ca="1">LamChanHangNgan((PhiInKM4M_BHR70($A24*H$23/$D$16*$E$16)+$A24*H$23/$D$16*$D$19)*(1+$D$17))</f>
        <v>#VALUE!</v>
      </c>
      <c r="I24" s="3" t="e">
        <f ca="1">LamChanHangNgan((PhiInKM4M_BHR70($A24*I$23/$D$16*$E$16)+$A24*I$23/$D$16*$D$19)*(1+$D$17))</f>
        <v>#VALUE!</v>
      </c>
      <c r="J24" s="3" t="e">
        <f ca="1">E24</f>
        <v>#VALUE!</v>
      </c>
      <c r="K24" s="3" t="e">
        <f t="shared" ref="K24:N24" ca="1" si="1">F24</f>
        <v>#VALUE!</v>
      </c>
      <c r="L24" s="3" t="e">
        <f t="shared" ca="1" si="1"/>
        <v>#VALUE!</v>
      </c>
      <c r="M24" s="3" t="e">
        <f t="shared" ca="1" si="1"/>
        <v>#VALUE!</v>
      </c>
      <c r="N24" s="3" t="e">
        <f t="shared" ca="1" si="1"/>
        <v>#VALUE!</v>
      </c>
      <c r="R24" s="3"/>
    </row>
    <row r="25" spans="1:20" x14ac:dyDescent="0.25">
      <c r="A25" s="19">
        <v>12</v>
      </c>
      <c r="B25" s="20">
        <f t="shared" si="0"/>
        <v>120</v>
      </c>
      <c r="C25" s="20"/>
      <c r="D25" s="20" t="s">
        <v>198</v>
      </c>
      <c r="J25" s="21" t="e">
        <f ca="1">LamChanHangNgan((PhiInKM4M_BHR70($A25*E$23/$D$16*$E$16)+$A24*E$23/$D$16*$D$19+PhiMayCanMang($A25*E$23/$D$16*2, $C$15/100,$D$15/100))*(1+$D$17))</f>
        <v>#VALUE!</v>
      </c>
      <c r="K25" s="21" t="e">
        <f ca="1">LamChanHangNgan((PhiInKM4M_BHR70($A25*F$23/$D$16*$E$16)+$A24*F$23/$D$16*$D$19+PhiMayCanMang($A25*F$23/$D$16*2, $C$15/100,$D$15/100))*(1+$D$17))</f>
        <v>#VALUE!</v>
      </c>
      <c r="L25" s="21" t="e">
        <f ca="1">LamChanHangNgan((PhiInKM4M_BHR70($A25*G$23/$D$16*$E$16)+$A24*G$23/$D$16*$D$19+PhiMayCanMang($A25*G$23/$D$16*2, $C$15/100,$D$15/100))*(1+$D$17))</f>
        <v>#VALUE!</v>
      </c>
      <c r="M25" s="21" t="e">
        <f ca="1">LamChanHangNgan((PhiInKM4M_BHR70($A25*H$23/$D$16*$E$16)+$A24*H$23/$D$16*$D$19+PhiMayCanMang($A25*H$23/$D$16*2, $C$15/100,$D$15/100))*(1+$D$17))</f>
        <v>#VALUE!</v>
      </c>
      <c r="N25" s="21" t="e">
        <f ca="1">LamChanHangNgan((PhiInKM4M_BHR70($A25*I$23/$D$16*$E$16)+$A24*I$23/$D$16*$D$19+PhiMayCanMang($A25*I$23/$D$16*2, $C$15/100,$D$15/100))*(1+$D$17))</f>
        <v>#VALUE!</v>
      </c>
    </row>
    <row r="26" spans="1:20" x14ac:dyDescent="0.25">
      <c r="A26" s="2">
        <v>14</v>
      </c>
      <c r="B26">
        <f t="shared" si="0"/>
        <v>140</v>
      </c>
      <c r="D26" t="s">
        <v>197</v>
      </c>
      <c r="E26" s="3" t="e">
        <f ca="1">LamChanHangNgan((PhiInKM4M_BHR70($A26*E$23/$D$16*$E$16)+$A26*E$23/$D$16*$D$19)*(1+$D$17))</f>
        <v>#VALUE!</v>
      </c>
      <c r="F26" s="3" t="e">
        <f ca="1">LamChanHangNgan((PhiInKM4M_BHR70($A26*F$23/$D$16*$E$16)+$A26*F$23/$D$16*$D$19)*(1+$D$17))</f>
        <v>#VALUE!</v>
      </c>
      <c r="G26" s="3" t="e">
        <f ca="1">LamChanHangNgan((PhiInKM4M_BHR70($A26*G$23/$D$16*$E$16)+$A26*G$23/$D$16*$D$19)*(1+$D$17))</f>
        <v>#VALUE!</v>
      </c>
      <c r="H26" s="3" t="e">
        <f ca="1">LamChanHangNgan((PhiInKM4M_BHR70($A26*H$23/$D$16*$E$16)+$A26*H$23/$D$16*$D$19)*(1+$D$17))</f>
        <v>#VALUE!</v>
      </c>
      <c r="I26" s="3" t="e">
        <f ca="1">LamChanHangNgan((PhiInKM4M_BHR70($A26*I$23/$D$16*$E$16)+$A26*I$23/$D$16*$D$19)*(1+$D$17))</f>
        <v>#VALUE!</v>
      </c>
      <c r="J26" s="3" t="e">
        <f ca="1">E26</f>
        <v>#VALUE!</v>
      </c>
      <c r="K26" s="3" t="e">
        <f t="shared" ref="K26:N26" ca="1" si="2">F26</f>
        <v>#VALUE!</v>
      </c>
      <c r="L26" s="3" t="e">
        <f t="shared" ca="1" si="2"/>
        <v>#VALUE!</v>
      </c>
      <c r="M26" s="3" t="e">
        <f t="shared" ca="1" si="2"/>
        <v>#VALUE!</v>
      </c>
      <c r="N26" s="3" t="e">
        <f t="shared" ca="1" si="2"/>
        <v>#VALUE!</v>
      </c>
    </row>
    <row r="27" spans="1:20" x14ac:dyDescent="0.25">
      <c r="A27" s="19">
        <v>14</v>
      </c>
      <c r="B27" s="20">
        <f t="shared" si="0"/>
        <v>140</v>
      </c>
      <c r="C27" s="20"/>
      <c r="D27" s="20" t="s">
        <v>198</v>
      </c>
      <c r="E27" s="21"/>
      <c r="F27" s="21"/>
      <c r="G27" s="21"/>
      <c r="H27" s="21"/>
      <c r="I27" s="21"/>
      <c r="J27" s="21" t="e">
        <f ca="1">LamChanHangNgan((PhiInKM4M_BHR70($A27*E$23/$D$16*$E$16)+$A26*E$23/$D$16*$D$19+PhiMayCanMang($A27*E$23/$D$16*2, $C$15/100,$D$15/100))*(1+$D$17))</f>
        <v>#VALUE!</v>
      </c>
      <c r="K27" s="21" t="e">
        <f ca="1">LamChanHangNgan((PhiInKM4M_BHR70($A27*F$23/$D$16*$E$16)+$A26*F$23/$D$16*$D$19+PhiMayCanMang($A27*F$23/$D$16*2, $C$15/100,$D$15/100))*(1+$D$17))</f>
        <v>#VALUE!</v>
      </c>
      <c r="L27" s="21" t="e">
        <f ca="1">LamChanHangNgan((PhiInKM4M_BHR70($A27*G$23/$D$16*$E$16)+$A26*G$23/$D$16*$D$19+PhiMayCanMang($A27*G$23/$D$16*2, $C$15/100,$D$15/100))*(1+$D$17))</f>
        <v>#VALUE!</v>
      </c>
      <c r="M27" s="21" t="e">
        <f ca="1">LamChanHangNgan((PhiInKM4M_BHR70($A27*H$23/$D$16*$E$16)+$A26*H$23/$D$16*$D$19+PhiMayCanMang($A27*H$23/$D$16*2, $C$15/100,$D$15/100))*(1+$D$17))</f>
        <v>#VALUE!</v>
      </c>
      <c r="N27" s="21" t="e">
        <f ca="1">LamChanHangNgan((PhiInKM4M_BHR70($A27*I$23/$D$16*$E$16)+$A26*I$23/$D$16*$D$19+PhiMayCanMang($A27*I$23/$D$16*2, $C$15/100,$D$15/100))*(1+$D$17))</f>
        <v>#VALUE!</v>
      </c>
    </row>
    <row r="28" spans="1:20" x14ac:dyDescent="0.25">
      <c r="A28" s="2">
        <v>16</v>
      </c>
      <c r="B28">
        <f t="shared" si="0"/>
        <v>160</v>
      </c>
      <c r="D28" t="s">
        <v>197</v>
      </c>
      <c r="E28" s="3" t="e">
        <f ca="1">LamChanHangNgan((PhiInKM4M_BHR70($A28*E$23/$D$16*$E$16)+$A28*E$23/$D$16*$D$19)*(1+$D$17))</f>
        <v>#VALUE!</v>
      </c>
      <c r="F28" s="3" t="e">
        <f ca="1">LamChanHangNgan((PhiInKM4M_BHR70($A28*F$23/$D$16*$E$16)+$A28*F$23/$D$16*$D$19)*(1+$D$17))</f>
        <v>#VALUE!</v>
      </c>
      <c r="G28" s="3" t="e">
        <f ca="1">LamChanHangNgan((PhiInKM4M_BHR70($A28*G$23/$D$16*$E$16)+$A28*G$23/$D$16*$D$19)*(1+$D$17))</f>
        <v>#VALUE!</v>
      </c>
      <c r="H28" s="3" t="e">
        <f ca="1">LamChanHangNgan((PhiInKM4M_BHR70($A28*H$23/$D$16*$E$16)+$A28*H$23/$D$16*$D$19)*(1+$D$17))</f>
        <v>#VALUE!</v>
      </c>
      <c r="I28" s="3" t="e">
        <f ca="1">LamChanHangNgan((PhiInKM4M_BHR70($A28*I$23/$D$16*$E$16)+$A28*I$23/$D$16*$D$19)*(1+$D$17))</f>
        <v>#VALUE!</v>
      </c>
      <c r="J28" s="3" t="e">
        <f ca="1">E28</f>
        <v>#VALUE!</v>
      </c>
      <c r="K28" s="3" t="e">
        <f t="shared" ref="K28:N28" ca="1" si="3">F28</f>
        <v>#VALUE!</v>
      </c>
      <c r="L28" s="3" t="e">
        <f t="shared" ca="1" si="3"/>
        <v>#VALUE!</v>
      </c>
      <c r="M28" s="3" t="e">
        <f t="shared" ca="1" si="3"/>
        <v>#VALUE!</v>
      </c>
      <c r="N28" s="3" t="e">
        <f t="shared" ca="1" si="3"/>
        <v>#VALUE!</v>
      </c>
    </row>
    <row r="29" spans="1:20" x14ac:dyDescent="0.25">
      <c r="A29" s="19">
        <v>16</v>
      </c>
      <c r="B29" s="20">
        <f t="shared" si="0"/>
        <v>160</v>
      </c>
      <c r="C29" s="20"/>
      <c r="D29" s="20" t="s">
        <v>198</v>
      </c>
      <c r="E29" s="21"/>
      <c r="F29" s="21"/>
      <c r="G29" s="21"/>
      <c r="H29" s="21"/>
      <c r="I29" s="21"/>
      <c r="J29" s="21" t="e">
        <f ca="1">LamChanHangNgan((PhiInKM4M_BHR70($A29*E$23/$D$16*$E$16)+$A28*E$23/$D$16*$D$19+PhiMayCanMang($A29*E$23/$D$16*2, $C$15/100,$D$15/100))*(1+$D$17))</f>
        <v>#VALUE!</v>
      </c>
      <c r="K29" s="21" t="e">
        <f ca="1">LamChanHangNgan((PhiInKM4M_BHR70($A29*F$23/$D$16*$E$16)+$A28*F$23/$D$16*$D$19+PhiMayCanMang($A29*F$23/$D$16*2, $C$15/100,$D$15/100))*(1+$D$17))</f>
        <v>#VALUE!</v>
      </c>
      <c r="L29" s="21" t="e">
        <f ca="1">LamChanHangNgan((PhiInKM4M_BHR70($A29*G$23/$D$16*$E$16)+$A28*G$23/$D$16*$D$19+PhiMayCanMang($A29*G$23/$D$16*2, $C$15/100,$D$15/100))*(1+$D$17))</f>
        <v>#VALUE!</v>
      </c>
      <c r="M29" s="21" t="e">
        <f ca="1">LamChanHangNgan((PhiInKM4M_BHR70($A29*H$23/$D$16*$E$16)+$A28*H$23/$D$16*$D$19+PhiMayCanMang($A29*H$23/$D$16*2, $C$15/100,$D$15/100))*(1+$D$17))</f>
        <v>#VALUE!</v>
      </c>
      <c r="N29" s="21" t="e">
        <f ca="1">LamChanHangNgan((PhiInKM4M_BHR70($A29*I$23/$D$16*$E$16)+$A28*I$23/$D$16*$D$19+PhiMayCanMang($A29*I$23/$D$16*2, $C$15/100,$D$15/100))*(1+$D$17))</f>
        <v>#VALUE!</v>
      </c>
    </row>
    <row r="30" spans="1:20" x14ac:dyDescent="0.25">
      <c r="A30" s="2">
        <v>18</v>
      </c>
      <c r="B30">
        <f t="shared" si="0"/>
        <v>180</v>
      </c>
      <c r="D30" t="s">
        <v>197</v>
      </c>
      <c r="E30" s="3" t="e">
        <f ca="1">LamChanHangNgan((PhiInKM4M_BHR70($A30*E$23/$D$16*$E$16)+$A30*E$23/$D$16*$D$19)*(1+$D$17))</f>
        <v>#VALUE!</v>
      </c>
      <c r="F30" s="3" t="e">
        <f ca="1">LamChanHangNgan((PhiInKM4M_BHR70($A30*F$23/$D$16*$E$16)+$A30*F$23/$D$16*$D$19)*(1+$D$17))</f>
        <v>#VALUE!</v>
      </c>
      <c r="G30" s="3" t="e">
        <f ca="1">LamChanHangNgan((PhiInKM4M_BHR70($A30*G$23/$D$16*$E$16)+$A30*G$23/$D$16*$D$19)*(1+$D$17))</f>
        <v>#VALUE!</v>
      </c>
      <c r="H30" s="3" t="e">
        <f ca="1">LamChanHangNgan((PhiInKM4M_BHR70($A30*H$23/$D$16*$E$16)+$A30*H$23/$D$16*$D$19)*(1+$D$17))</f>
        <v>#VALUE!</v>
      </c>
      <c r="I30" s="3" t="e">
        <f ca="1">LamChanHangNgan((PhiInKM4M_BHR70($A30*I$23/$D$16*$E$16)+$A30*I$23/$D$16*$D$19)*(1+$D$17))</f>
        <v>#VALUE!</v>
      </c>
      <c r="J30" s="3" t="e">
        <f ca="1">E30</f>
        <v>#VALUE!</v>
      </c>
      <c r="K30" s="3" t="e">
        <f t="shared" ref="K30:N30" ca="1" si="4">F30</f>
        <v>#VALUE!</v>
      </c>
      <c r="L30" s="3" t="e">
        <f t="shared" ca="1" si="4"/>
        <v>#VALUE!</v>
      </c>
      <c r="M30" s="3" t="e">
        <f t="shared" ca="1" si="4"/>
        <v>#VALUE!</v>
      </c>
      <c r="N30" s="3" t="e">
        <f t="shared" ca="1" si="4"/>
        <v>#VALUE!</v>
      </c>
    </row>
    <row r="31" spans="1:20" x14ac:dyDescent="0.25">
      <c r="A31" s="19">
        <v>18</v>
      </c>
      <c r="B31" s="20">
        <f t="shared" si="0"/>
        <v>180</v>
      </c>
      <c r="C31" s="20"/>
      <c r="D31" s="20" t="s">
        <v>198</v>
      </c>
      <c r="E31" s="21"/>
      <c r="F31" s="21"/>
      <c r="G31" s="21"/>
      <c r="H31" s="21"/>
      <c r="I31" s="21"/>
      <c r="J31" s="21" t="e">
        <f ca="1">LamChanHangNgan((PhiInKM4M_BHR70($A31*E$23/$D$16*$E$16)+$A30*E$23/$D$16*$D$19+PhiMayCanMang($A31*E$23/$D$16*2, $C$15/100,$D$15/100))*(1+$D$17))</f>
        <v>#VALUE!</v>
      </c>
      <c r="K31" s="21" t="e">
        <f ca="1">LamChanHangNgan((PhiInKM4M_BHR70($A31*F$23/$D$16*$E$16)+$A30*F$23/$D$16*$D$19+PhiMayCanMang($A31*F$23/$D$16*2, $C$15/100,$D$15/100))*(1+$D$17))</f>
        <v>#VALUE!</v>
      </c>
      <c r="L31" s="21" t="e">
        <f ca="1">LamChanHangNgan((PhiInKM4M_BHR70($A31*G$23/$D$16*$E$16)+$A30*G$23/$D$16*$D$19+PhiMayCanMang($A31*G$23/$D$16*2, $C$15/100,$D$15/100))*(1+$D$17))</f>
        <v>#VALUE!</v>
      </c>
      <c r="M31" s="21" t="e">
        <f ca="1">LamChanHangNgan((PhiInKM4M_BHR70($A31*H$23/$D$16*$E$16)+$A30*H$23/$D$16*$D$19+PhiMayCanMang($A31*H$23/$D$16*2, $C$15/100,$D$15/100))*(1+$D$17))</f>
        <v>#VALUE!</v>
      </c>
      <c r="N31" s="21" t="e">
        <f ca="1">LamChanHangNgan((PhiInKM4M_BHR70($A31*I$23/$D$16*$E$16)+$A30*I$23/$D$16*$D$19+PhiMayCanMang($A31*I$23/$D$16*2, $C$15/100,$D$15/100))*(1+$D$17))</f>
        <v>#VALUE!</v>
      </c>
    </row>
    <row r="32" spans="1:20" x14ac:dyDescent="0.25">
      <c r="A32" s="2">
        <v>20</v>
      </c>
      <c r="B32">
        <f t="shared" si="0"/>
        <v>200</v>
      </c>
      <c r="D32" t="s">
        <v>197</v>
      </c>
      <c r="E32" s="3" t="e">
        <f ca="1">LamChanHangNgan((PhiInKM4M_BHR70($A32*E$23/$D$16*$E$16)+$A32*E$23/$D$16*$D$19)*(1+$D$17))</f>
        <v>#VALUE!</v>
      </c>
      <c r="F32" s="3" t="e">
        <f ca="1">LamChanHangNgan((PhiInKM4M_BHR70($A32*F$23/$D$16*$E$16)+$A32*F$23/$D$16*$D$19)*(1+$D$17))</f>
        <v>#VALUE!</v>
      </c>
      <c r="G32" s="3" t="e">
        <f ca="1">LamChanHangNgan((PhiInKM4M_BHR70($A32*G$23/$D$16*$E$16)+$A32*G$23/$D$16*$D$19)*(1+$D$17))</f>
        <v>#VALUE!</v>
      </c>
      <c r="H32" s="3" t="e">
        <f ca="1">LamChanHangNgan((PhiInKM4M_BHR70($A32*H$23/$D$16*$E$16)+$A32*H$23/$D$16*$D$19)*(1+$D$17))</f>
        <v>#VALUE!</v>
      </c>
      <c r="I32" s="3" t="e">
        <f ca="1">LamChanHangNgan((PhiInKM4M_BHR70($A32*I$23/$D$16*$E$16)+$A32*I$23/$D$16*$D$19)*(1+$D$17))</f>
        <v>#VALUE!</v>
      </c>
      <c r="J32" s="3" t="e">
        <f ca="1">E32</f>
        <v>#VALUE!</v>
      </c>
      <c r="K32" s="3" t="e">
        <f t="shared" ref="K32:N32" ca="1" si="5">F32</f>
        <v>#VALUE!</v>
      </c>
      <c r="L32" s="3" t="e">
        <f t="shared" ca="1" si="5"/>
        <v>#VALUE!</v>
      </c>
      <c r="M32" s="3" t="e">
        <f t="shared" ca="1" si="5"/>
        <v>#VALUE!</v>
      </c>
      <c r="N32" s="3" t="e">
        <f t="shared" ca="1" si="5"/>
        <v>#VALUE!</v>
      </c>
    </row>
    <row r="33" spans="1:14" x14ac:dyDescent="0.25">
      <c r="A33" s="19">
        <v>20</v>
      </c>
      <c r="B33" s="20">
        <f t="shared" si="0"/>
        <v>200</v>
      </c>
      <c r="C33" s="20"/>
      <c r="D33" s="20" t="s">
        <v>198</v>
      </c>
      <c r="E33" s="21"/>
      <c r="F33" s="21"/>
      <c r="G33" s="21"/>
      <c r="H33" s="21"/>
      <c r="I33" s="21"/>
      <c r="J33" s="21" t="e">
        <f ca="1">LamChanHangNgan((PhiInKM4M_BHR70($A33*E$23/$D$16*$E$16)+$A32*E$23/$D$16*$D$19+PhiMayCanMang($A33*E$23/$D$16*2, $C$15/100,$D$15/100))*(1+$D$17))</f>
        <v>#VALUE!</v>
      </c>
      <c r="K33" s="21" t="e">
        <f ca="1">LamChanHangNgan((PhiInKM4M_BHR70($A33*F$23/$D$16*$E$16)+$A32*F$23/$D$16*$D$19+PhiMayCanMang($A33*F$23/$D$16*2, $C$15/100,$D$15/100))*(1+$D$17))</f>
        <v>#VALUE!</v>
      </c>
      <c r="L33" s="21" t="e">
        <f ca="1">LamChanHangNgan((PhiInKM4M_BHR70($A33*G$23/$D$16*$E$16)+$A32*G$23/$D$16*$D$19+PhiMayCanMang($A33*G$23/$D$16*2, $C$15/100,$D$15/100))*(1+$D$17))</f>
        <v>#VALUE!</v>
      </c>
      <c r="M33" s="21" t="e">
        <f ca="1">LamChanHangNgan((PhiInKM4M_BHR70($A33*H$23/$D$16*$E$16)+$A32*H$23/$D$16*$D$19+PhiMayCanMang($A33*H$23/$D$16*2, $C$15/100,$D$15/100))*(1+$D$17))</f>
        <v>#VALUE!</v>
      </c>
      <c r="N33" s="21" t="e">
        <f ca="1">LamChanHangNgan((PhiInKM4M_BHR70($A33*I$23/$D$16*$E$16)+$A32*I$23/$D$16*$D$19+PhiMayCanMang($A33*I$23/$D$16*2, $C$15/100,$D$15/100))*(1+$D$17))</f>
        <v>#VALUE!</v>
      </c>
    </row>
    <row r="34" spans="1:14" x14ac:dyDescent="0.25">
      <c r="A34" s="2">
        <v>22</v>
      </c>
      <c r="B34">
        <f t="shared" si="0"/>
        <v>220</v>
      </c>
      <c r="D34" t="s">
        <v>197</v>
      </c>
      <c r="E34" s="3" t="e">
        <f ca="1">LamChanHangNgan((PhiInKM4M_BHR70($A34*E$23/$D$16*$E$16)+$A34*E$23/$D$16*$D$19)*(1+$D$17))</f>
        <v>#VALUE!</v>
      </c>
      <c r="F34" s="3" t="e">
        <f ca="1">LamChanHangNgan((PhiInKM4M_BHR70($A34*F$23/$D$16*$E$16)+$A34*F$23/$D$16*$D$19)*(1+$D$17))</f>
        <v>#VALUE!</v>
      </c>
      <c r="G34" s="3" t="e">
        <f ca="1">LamChanHangNgan((PhiInKM4M_BHR70($A34*G$23/$D$16*$E$16)+$A34*G$23/$D$16*$D$19)*(1+$D$17))</f>
        <v>#VALUE!</v>
      </c>
      <c r="H34" s="3" t="e">
        <f ca="1">LamChanHangNgan((PhiInKM4M_BHR70($A34*H$23/$D$16*$E$16)+$A34*H$23/$D$16*$D$19)*(1+$D$17))</f>
        <v>#VALUE!</v>
      </c>
      <c r="I34" s="3" t="e">
        <f ca="1">LamChanHangNgan((PhiInKM4M_BHR70($A34*I$23/$D$16*$E$16)+$A34*I$23/$D$16*$D$19)*(1+$D$17))</f>
        <v>#VALUE!</v>
      </c>
      <c r="J34" s="3" t="e">
        <f ca="1">E34</f>
        <v>#VALUE!</v>
      </c>
      <c r="K34" s="3" t="e">
        <f t="shared" ref="K34:N34" ca="1" si="6">F34</f>
        <v>#VALUE!</v>
      </c>
      <c r="L34" s="3" t="e">
        <f t="shared" ca="1" si="6"/>
        <v>#VALUE!</v>
      </c>
      <c r="M34" s="3" t="e">
        <f t="shared" ca="1" si="6"/>
        <v>#VALUE!</v>
      </c>
      <c r="N34" s="3" t="e">
        <f t="shared" ca="1" si="6"/>
        <v>#VALUE!</v>
      </c>
    </row>
    <row r="35" spans="1:14" x14ac:dyDescent="0.25">
      <c r="A35" s="19">
        <v>22</v>
      </c>
      <c r="B35" s="20">
        <f t="shared" si="0"/>
        <v>220</v>
      </c>
      <c r="C35" s="20"/>
      <c r="D35" s="20" t="s">
        <v>198</v>
      </c>
      <c r="E35" s="21"/>
      <c r="F35" s="21"/>
      <c r="G35" s="21"/>
      <c r="H35" s="21"/>
      <c r="I35" s="21"/>
      <c r="J35" s="21" t="e">
        <f ca="1">LamChanHangNgan((PhiInKM4M_BHR70($A35*E$23/$D$16*$E$16)+$A34*E$23/$D$16*$D$19+PhiMayCanMang($A35*E$23/$D$16*2, $C$15/100,$D$15/100))*(1+$D$17))</f>
        <v>#VALUE!</v>
      </c>
      <c r="K35" s="21" t="e">
        <f ca="1">LamChanHangNgan((PhiInKM4M_BHR70($A35*F$23/$D$16*$E$16)+$A34*F$23/$D$16*$D$19+PhiMayCanMang($A35*F$23/$D$16*2, $C$15/100,$D$15/100))*(1+$D$17))</f>
        <v>#VALUE!</v>
      </c>
      <c r="L35" s="21" t="e">
        <f ca="1">LamChanHangNgan((PhiInKM4M_BHR70($A35*G$23/$D$16*$E$16)+$A34*G$23/$D$16*$D$19+PhiMayCanMang($A35*G$23/$D$16*2, $C$15/100,$D$15/100))*(1+$D$17))</f>
        <v>#VALUE!</v>
      </c>
      <c r="M35" s="21" t="e">
        <f ca="1">LamChanHangNgan((PhiInKM4M_BHR70($A35*H$23/$D$16*$E$16)+$A34*H$23/$D$16*$D$19+PhiMayCanMang($A35*H$23/$D$16*2, $C$15/100,$D$15/100))*(1+$D$17))</f>
        <v>#VALUE!</v>
      </c>
      <c r="N35" s="21" t="e">
        <f ca="1">LamChanHangNgan((PhiInKM4M_BHR70($A35*I$23/$D$16*$E$16)+$A34*I$23/$D$16*$D$19+PhiMayCanMang($A35*I$23/$D$16*2, $C$15/100,$D$15/100))*(1+$D$17))</f>
        <v>#VALUE!</v>
      </c>
    </row>
    <row r="36" spans="1:14" x14ac:dyDescent="0.25">
      <c r="A36" s="2">
        <v>24</v>
      </c>
      <c r="B36">
        <f t="shared" si="0"/>
        <v>240</v>
      </c>
      <c r="D36" t="s">
        <v>197</v>
      </c>
      <c r="E36" s="3" t="e">
        <f ca="1">LamChanHangNgan((PhiInKM4M_BHR70($A36*E$23/$D$16*$E$16)+$A36*E$23/$D$16*$D$19)*(1+$D$17))</f>
        <v>#VALUE!</v>
      </c>
      <c r="F36" s="3" t="e">
        <f ca="1">LamChanHangNgan((PhiInKM4M_BHR70($A36*F$23/$D$16*$E$16)+$A36*F$23/$D$16*$D$19)*(1+$D$17))</f>
        <v>#VALUE!</v>
      </c>
      <c r="G36" s="3" t="e">
        <f ca="1">LamChanHangNgan((PhiInKM4M_BHR70($A36*G$23/$D$16*$E$16)+$A36*G$23/$D$16*$D$19)*(1+$D$17))</f>
        <v>#VALUE!</v>
      </c>
      <c r="H36" s="3" t="e">
        <f ca="1">LamChanHangNgan((PhiInKM4M_BHR70($A36*H$23/$D$16*$E$16)+$A36*H$23/$D$16*$D$19)*(1+$D$17))</f>
        <v>#VALUE!</v>
      </c>
      <c r="I36" s="3" t="e">
        <f ca="1">LamChanHangNgan((PhiInKM4M_BHR70($A36*I$23/$D$16*$E$16)+$A36*I$23/$D$16*$D$19)*(1+$D$17))</f>
        <v>#VALUE!</v>
      </c>
      <c r="J36" s="3" t="e">
        <f ca="1">E36</f>
        <v>#VALUE!</v>
      </c>
      <c r="K36" s="3" t="e">
        <f t="shared" ref="K36:N36" ca="1" si="7">F36</f>
        <v>#VALUE!</v>
      </c>
      <c r="L36" s="3" t="e">
        <f t="shared" ca="1" si="7"/>
        <v>#VALUE!</v>
      </c>
      <c r="M36" s="3" t="e">
        <f t="shared" ca="1" si="7"/>
        <v>#VALUE!</v>
      </c>
      <c r="N36" s="3" t="e">
        <f t="shared" ca="1" si="7"/>
        <v>#VALUE!</v>
      </c>
    </row>
    <row r="37" spans="1:14" x14ac:dyDescent="0.25">
      <c r="A37" s="19">
        <v>24</v>
      </c>
      <c r="B37" s="20">
        <f t="shared" si="0"/>
        <v>240</v>
      </c>
      <c r="C37" s="20"/>
      <c r="D37" s="20" t="s">
        <v>198</v>
      </c>
      <c r="E37" s="21"/>
      <c r="F37" s="21"/>
      <c r="G37" s="21"/>
      <c r="H37" s="21"/>
      <c r="I37" s="21"/>
      <c r="J37" s="21" t="e">
        <f ca="1">LamChanHangNgan((PhiInKM4M_BHR70($A37*E$23/$D$16*$E$16)+$A36*E$23/$D$16*$D$19+PhiMayCanMang($A37*E$23/$D$16*2, $C$15/100,$D$15/100))*(1+$D$17))</f>
        <v>#VALUE!</v>
      </c>
      <c r="K37" s="21" t="e">
        <f ca="1">LamChanHangNgan((PhiInKM4M_BHR70($A37*F$23/$D$16*$E$16)+$A36*F$23/$D$16*$D$19+PhiMayCanMang($A37*F$23/$D$16*2, $C$15/100,$D$15/100))*(1+$D$17))</f>
        <v>#VALUE!</v>
      </c>
      <c r="L37" s="21" t="e">
        <f ca="1">LamChanHangNgan((PhiInKM4M_BHR70($A37*G$23/$D$16*$E$16)+$A36*G$23/$D$16*$D$19+PhiMayCanMang($A37*G$23/$D$16*2, $C$15/100,$D$15/100))*(1+$D$17))</f>
        <v>#VALUE!</v>
      </c>
      <c r="M37" s="21" t="e">
        <f ca="1">LamChanHangNgan((PhiInKM4M_BHR70($A37*H$23/$D$16*$E$16)+$A36*H$23/$D$16*$D$19+PhiMayCanMang($A37*H$23/$D$16*2, $C$15/100,$D$15/100))*(1+$D$17))</f>
        <v>#VALUE!</v>
      </c>
      <c r="N37" s="21" t="e">
        <f ca="1">LamChanHangNgan((PhiInKM4M_BHR70($A37*I$23/$D$16*$E$16)+$A36*I$23/$D$16*$D$19+PhiMayCanMang($A37*I$23/$D$16*2, $C$15/100,$D$15/100))*(1+$D$17))</f>
        <v>#VALUE!</v>
      </c>
    </row>
    <row r="38" spans="1:14" x14ac:dyDescent="0.25">
      <c r="A38" s="2"/>
      <c r="C38" s="3"/>
      <c r="D38" s="3"/>
      <c r="E38" s="3"/>
      <c r="F38" s="3"/>
      <c r="G38" s="3"/>
      <c r="H38" s="3"/>
    </row>
    <row r="39" spans="1:14" x14ac:dyDescent="0.25">
      <c r="A39" s="2"/>
    </row>
    <row r="40" spans="1:14" x14ac:dyDescent="0.25">
      <c r="A40" s="2" t="s">
        <v>208</v>
      </c>
    </row>
    <row r="41" spans="1:14" x14ac:dyDescent="0.25">
      <c r="A41" s="2" t="s">
        <v>209</v>
      </c>
      <c r="B41">
        <v>6000</v>
      </c>
      <c r="D41" t="s">
        <v>210</v>
      </c>
      <c r="E41" s="3">
        <f>PhiLDPT_XepDotVoCuonLX(E$23)+$B$41*$C$13/100</f>
        <v>22022.2228</v>
      </c>
      <c r="F41" s="3">
        <f t="shared" ref="F41:I41" si="8">PhiLDPT_XepDotVoCuonLX(F$23)+$B$41*$C$13/100</f>
        <v>24911.111700000001</v>
      </c>
      <c r="G41" s="3">
        <f t="shared" si="8"/>
        <v>27800.000700000001</v>
      </c>
      <c r="H41" s="3">
        <f t="shared" si="8"/>
        <v>30688.8897</v>
      </c>
      <c r="I41" s="3">
        <f t="shared" si="8"/>
        <v>33577.778699999995</v>
      </c>
    </row>
    <row r="42" spans="1:14" x14ac:dyDescent="0.25">
      <c r="A42" s="2"/>
      <c r="D42" t="s">
        <v>211</v>
      </c>
      <c r="E42" s="3">
        <f>E$41*(1+$D$17)</f>
        <v>38538.889900000002</v>
      </c>
      <c r="F42" s="3">
        <f t="shared" ref="F42:I42" si="9">F$41*(1+$D$17)</f>
        <v>43594.445475</v>
      </c>
      <c r="G42" s="3">
        <f t="shared" si="9"/>
        <v>48650.001225</v>
      </c>
      <c r="H42" s="3">
        <f t="shared" si="9"/>
        <v>53705.556975</v>
      </c>
      <c r="I42" s="3">
        <f t="shared" si="9"/>
        <v>58761.112724999992</v>
      </c>
    </row>
    <row r="43" spans="1:14" x14ac:dyDescent="0.25">
      <c r="A43" s="2"/>
      <c r="D43" t="s">
        <v>212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9:B21" xr:uid="{CDF47D1D-D73D-48ED-B76D-FA347085CB74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005B7517-1D56-4F73-980E-5C32BC9DAF07}">
      <formula1>OFFSET(KHO_CAT_SAN_PHAM,1,0,,1)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A852D-BABF-4E61-B030-F9D8834E20D8}">
  <sheetPr codeName="Trang_tính5"/>
  <dimension ref="A1:T65"/>
  <sheetViews>
    <sheetView topLeftCell="A16" workbookViewId="0">
      <selection activeCell="F40" sqref="F40"/>
    </sheetView>
  </sheetViews>
  <sheetFormatPr defaultRowHeight="15" x14ac:dyDescent="0.25"/>
  <cols>
    <col min="1" max="1" width="20" bestFit="1" customWidth="1"/>
    <col min="2" max="2" width="23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0" width="13.28515625" bestFit="1" customWidth="1"/>
    <col min="11" max="14" width="14.85546875" bestFit="1" customWidth="1"/>
    <col min="18" max="18" width="14.140625" bestFit="1" customWidth="1"/>
  </cols>
  <sheetData>
    <row r="1" spans="1:5" x14ac:dyDescent="0.25">
      <c r="A1" t="s">
        <v>182</v>
      </c>
    </row>
    <row r="2" spans="1:5" x14ac:dyDescent="0.25">
      <c r="A2" t="s">
        <v>179</v>
      </c>
      <c r="B2" t="s">
        <v>183</v>
      </c>
    </row>
    <row r="3" spans="1:5" x14ac:dyDescent="0.25">
      <c r="A3" t="s">
        <v>184</v>
      </c>
      <c r="B3" t="s">
        <v>32</v>
      </c>
    </row>
    <row r="4" spans="1:5" x14ac:dyDescent="0.25">
      <c r="A4" t="s">
        <v>121</v>
      </c>
      <c r="B4" t="s">
        <v>185</v>
      </c>
    </row>
    <row r="5" spans="1:5" x14ac:dyDescent="0.25">
      <c r="A5" t="s">
        <v>180</v>
      </c>
      <c r="B5" t="s">
        <v>186</v>
      </c>
    </row>
    <row r="6" spans="1:5" x14ac:dyDescent="0.25">
      <c r="A6" t="s">
        <v>187</v>
      </c>
      <c r="B6" t="s">
        <v>188</v>
      </c>
    </row>
    <row r="9" spans="1:5" x14ac:dyDescent="0.25">
      <c r="A9" s="1" t="s">
        <v>181</v>
      </c>
      <c r="B9" t="s">
        <v>196</v>
      </c>
    </row>
    <row r="10" spans="1:5" x14ac:dyDescent="0.25">
      <c r="A10" t="s">
        <v>127</v>
      </c>
      <c r="B10" s="12">
        <v>43609</v>
      </c>
    </row>
    <row r="11" spans="1:5" x14ac:dyDescent="0.25">
      <c r="B11" t="s">
        <v>53</v>
      </c>
      <c r="C11" t="s">
        <v>54</v>
      </c>
    </row>
    <row r="12" spans="1:5" x14ac:dyDescent="0.25">
      <c r="A12" t="s">
        <v>119</v>
      </c>
      <c r="D12" t="s">
        <v>194</v>
      </c>
    </row>
    <row r="13" spans="1:5" x14ac:dyDescent="0.25">
      <c r="A13" t="s">
        <v>215</v>
      </c>
      <c r="B13">
        <v>15</v>
      </c>
      <c r="C13">
        <v>34</v>
      </c>
      <c r="D13">
        <v>0.3</v>
      </c>
    </row>
    <row r="15" spans="1:5" ht="30" x14ac:dyDescent="0.25">
      <c r="A15" t="s">
        <v>117</v>
      </c>
      <c r="B15" s="1" t="s">
        <v>31</v>
      </c>
      <c r="C15">
        <v>32</v>
      </c>
      <c r="D15">
        <v>47</v>
      </c>
      <c r="E15" s="2" t="s">
        <v>130</v>
      </c>
    </row>
    <row r="16" spans="1:5" x14ac:dyDescent="0.25">
      <c r="A16" t="s">
        <v>126</v>
      </c>
      <c r="D16" s="1">
        <f>SoConTrenToLon($C$15,$D$15,$B$13+$D$13,$C$13+$D$13)</f>
        <v>2</v>
      </c>
      <c r="E16">
        <v>2</v>
      </c>
    </row>
    <row r="17" spans="1:20" x14ac:dyDescent="0.25">
      <c r="A17" t="s">
        <v>51</v>
      </c>
      <c r="D17" s="14">
        <v>0.75</v>
      </c>
      <c r="E17" s="15" t="s">
        <v>131</v>
      </c>
    </row>
    <row r="18" spans="1:20" x14ac:dyDescent="0.25">
      <c r="B18" t="s">
        <v>122</v>
      </c>
      <c r="C18" t="s">
        <v>123</v>
      </c>
      <c r="D18" t="s">
        <v>125</v>
      </c>
      <c r="E18" t="s">
        <v>124</v>
      </c>
    </row>
    <row r="19" spans="1:20" x14ac:dyDescent="0.25">
      <c r="A19" t="s">
        <v>195</v>
      </c>
      <c r="B19" t="s">
        <v>67</v>
      </c>
      <c r="C19" t="s">
        <v>60</v>
      </c>
      <c r="D19">
        <v>1272</v>
      </c>
      <c r="E19" s="3">
        <f>D19*(1+D17)</f>
        <v>2226</v>
      </c>
    </row>
    <row r="20" spans="1:20" x14ac:dyDescent="0.25">
      <c r="E20" s="3"/>
    </row>
    <row r="21" spans="1:20" ht="75" x14ac:dyDescent="0.25">
      <c r="E21" s="3"/>
      <c r="O21" s="2" t="s">
        <v>213</v>
      </c>
      <c r="P21" s="2" t="s">
        <v>202</v>
      </c>
      <c r="Q21" s="2"/>
      <c r="S21" s="2" t="s">
        <v>206</v>
      </c>
      <c r="T21" s="2" t="s">
        <v>202</v>
      </c>
    </row>
    <row r="22" spans="1:20" x14ac:dyDescent="0.25">
      <c r="A22" t="s">
        <v>199</v>
      </c>
      <c r="J22" s="18"/>
      <c r="N22" t="s">
        <v>203</v>
      </c>
      <c r="O22">
        <f>$A24*E$23/$D$16</f>
        <v>60</v>
      </c>
      <c r="P22">
        <f>$A24*E$23/$D$16*$E$16*2</f>
        <v>240</v>
      </c>
      <c r="R22" t="s">
        <v>205</v>
      </c>
      <c r="S22">
        <f>$A24*E23/$D$16*2</f>
        <v>120</v>
      </c>
    </row>
    <row r="23" spans="1:20" ht="45" x14ac:dyDescent="0.25">
      <c r="A23" s="6" t="s">
        <v>157</v>
      </c>
      <c r="B23" s="17" t="s">
        <v>156</v>
      </c>
      <c r="D23" t="s">
        <v>180</v>
      </c>
      <c r="E23">
        <v>10</v>
      </c>
      <c r="F23">
        <v>20</v>
      </c>
      <c r="G23">
        <v>30</v>
      </c>
      <c r="H23">
        <v>40</v>
      </c>
      <c r="I23">
        <v>50</v>
      </c>
      <c r="J23" s="22" t="s">
        <v>207</v>
      </c>
      <c r="N23" s="16" t="s">
        <v>200</v>
      </c>
      <c r="R23" s="16" t="s">
        <v>204</v>
      </c>
      <c r="S23">
        <f>PhiMayCanMang($A24*E23/$D$16*2, $C$15/100,$D$15/100)</f>
        <v>51160.784200000002</v>
      </c>
    </row>
    <row r="24" spans="1:20" x14ac:dyDescent="0.25">
      <c r="A24" s="2">
        <v>12</v>
      </c>
      <c r="B24">
        <f t="shared" ref="B24:B37" si="0">$A24*E$23</f>
        <v>120</v>
      </c>
      <c r="D24" t="s">
        <v>197</v>
      </c>
      <c r="E24" s="3" t="e">
        <f ca="1">LamChanHangNgan((PhiInKM4M_BHR70($A24*E$23/$D$16*$E$16)+$A24*E$23/$D$16*$D$19)*(1+$D$17))</f>
        <v>#VALUE!</v>
      </c>
      <c r="F24" s="3" t="e">
        <f ca="1">LamChanHangNgan((PhiInKM4M_BHR70($A24*F$23/$D$16*$E$16)+$A24*F$23/$D$16*$D$19)*(1+$D$17))</f>
        <v>#VALUE!</v>
      </c>
      <c r="G24" s="3" t="e">
        <f ca="1">LamChanHangNgan((PhiInKM4M_BHR70($A24*G$23/$D$16*$E$16)+$A24*G$23/$D$16*$D$19)*(1+$D$17))</f>
        <v>#VALUE!</v>
      </c>
      <c r="H24" s="3" t="e">
        <f ca="1">LamChanHangNgan((PhiInKM4M_BHR70($A24*H$23/$D$16*$E$16)+$A24*H$23/$D$16*$D$19)*(1+$D$17))</f>
        <v>#VALUE!</v>
      </c>
      <c r="I24" s="3" t="e">
        <f ca="1">LamChanHangNgan((PhiInKM4M_BHR70($A24*I$23/$D$16*$E$16)+$A24*I$23/$D$16*$D$19)*(1+$D$17))</f>
        <v>#VALUE!</v>
      </c>
      <c r="J24" s="3" t="e">
        <f ca="1">E24</f>
        <v>#VALUE!</v>
      </c>
      <c r="K24" s="3" t="e">
        <f t="shared" ref="K24:N24" ca="1" si="1">F24</f>
        <v>#VALUE!</v>
      </c>
      <c r="L24" s="3" t="e">
        <f t="shared" ca="1" si="1"/>
        <v>#VALUE!</v>
      </c>
      <c r="M24" s="3" t="e">
        <f t="shared" ca="1" si="1"/>
        <v>#VALUE!</v>
      </c>
      <c r="N24" s="3" t="e">
        <f t="shared" ca="1" si="1"/>
        <v>#VALUE!</v>
      </c>
      <c r="R24" s="3"/>
    </row>
    <row r="25" spans="1:20" x14ac:dyDescent="0.25">
      <c r="A25" s="19">
        <v>12</v>
      </c>
      <c r="B25" s="20">
        <f t="shared" si="0"/>
        <v>120</v>
      </c>
      <c r="C25" s="20"/>
      <c r="D25" s="20" t="s">
        <v>198</v>
      </c>
      <c r="J25" s="21" t="e">
        <f ca="1">LamChanHangNgan((PhiInKM4M_BHR70($A25*E$23/$D$16*$E$16)+$A24*E$23/$D$16*$D$19+PhiMayCanMang($A25*E$23/$D$16*2, $C$15/100,$D$15/100))*(1+$D$17))</f>
        <v>#VALUE!</v>
      </c>
      <c r="K25" s="21" t="e">
        <f ca="1">LamChanHangNgan((PhiInKM4M_BHR70($A25*F$23/$D$16*$E$16)+$A24*F$23/$D$16*$D$19+PhiMayCanMang($A25*F$23/$D$16*2, $C$15/100,$D$15/100))*(1+$D$17))</f>
        <v>#VALUE!</v>
      </c>
      <c r="L25" s="21" t="e">
        <f ca="1">LamChanHangNgan((PhiInKM4M_BHR70($A25*G$23/$D$16*$E$16)+$A24*G$23/$D$16*$D$19+PhiMayCanMang($A25*G$23/$D$16*2, $C$15/100,$D$15/100))*(1+$D$17))</f>
        <v>#VALUE!</v>
      </c>
      <c r="M25" s="21" t="e">
        <f ca="1">LamChanHangNgan((PhiInKM4M_BHR70($A25*H$23/$D$16*$E$16)+$A24*H$23/$D$16*$D$19+PhiMayCanMang($A25*H$23/$D$16*2, $C$15/100,$D$15/100))*(1+$D$17))</f>
        <v>#VALUE!</v>
      </c>
      <c r="N25" s="21" t="e">
        <f ca="1">LamChanHangNgan((PhiInKM4M_BHR70($A25*I$23/$D$16*$E$16)+$A24*I$23/$D$16*$D$19+PhiMayCanMang($A25*I$23/$D$16*2, $C$15/100,$D$15/100))*(1+$D$17))</f>
        <v>#VALUE!</v>
      </c>
    </row>
    <row r="26" spans="1:20" x14ac:dyDescent="0.25">
      <c r="A26" s="2">
        <v>14</v>
      </c>
      <c r="B26">
        <f t="shared" si="0"/>
        <v>140</v>
      </c>
      <c r="D26" t="s">
        <v>197</v>
      </c>
      <c r="E26" s="3" t="e">
        <f ca="1">LamChanHangNgan((PhiInKM4M_BHR70($A26*E$23/$D$16*$E$16)+$A26*E$23/$D$16*$D$19)*(1+$D$17))</f>
        <v>#VALUE!</v>
      </c>
      <c r="F26" s="3" t="e">
        <f ca="1">LamChanHangNgan((PhiInKM4M_BHR70($A26*F$23/$D$16*$E$16)+$A26*F$23/$D$16*$D$19)*(1+$D$17))</f>
        <v>#VALUE!</v>
      </c>
      <c r="G26" s="3" t="e">
        <f ca="1">LamChanHangNgan((PhiInKM4M_BHR70($A26*G$23/$D$16*$E$16)+$A26*G$23/$D$16*$D$19)*(1+$D$17))</f>
        <v>#VALUE!</v>
      </c>
      <c r="H26" s="3" t="e">
        <f ca="1">LamChanHangNgan((PhiInKM4M_BHR70($A26*H$23/$D$16*$E$16)+$A26*H$23/$D$16*$D$19)*(1+$D$17))</f>
        <v>#VALUE!</v>
      </c>
      <c r="I26" s="3" t="e">
        <f ca="1">LamChanHangNgan((PhiInKM4M_BHR70($A26*I$23/$D$16*$E$16)+$A26*I$23/$D$16*$D$19)*(1+$D$17))</f>
        <v>#VALUE!</v>
      </c>
      <c r="J26" s="3" t="e">
        <f ca="1">E26</f>
        <v>#VALUE!</v>
      </c>
      <c r="K26" s="3" t="e">
        <f t="shared" ref="K26:N26" ca="1" si="2">F26</f>
        <v>#VALUE!</v>
      </c>
      <c r="L26" s="3" t="e">
        <f t="shared" ca="1" si="2"/>
        <v>#VALUE!</v>
      </c>
      <c r="M26" s="3" t="e">
        <f t="shared" ca="1" si="2"/>
        <v>#VALUE!</v>
      </c>
      <c r="N26" s="3" t="e">
        <f t="shared" ca="1" si="2"/>
        <v>#VALUE!</v>
      </c>
    </row>
    <row r="27" spans="1:20" x14ac:dyDescent="0.25">
      <c r="A27" s="19">
        <v>14</v>
      </c>
      <c r="B27" s="20">
        <f t="shared" si="0"/>
        <v>140</v>
      </c>
      <c r="C27" s="20"/>
      <c r="D27" s="20" t="s">
        <v>198</v>
      </c>
      <c r="E27" s="21"/>
      <c r="F27" s="21"/>
      <c r="G27" s="21"/>
      <c r="H27" s="21"/>
      <c r="I27" s="21"/>
      <c r="J27" s="21" t="e">
        <f ca="1">LamChanHangNgan((PhiInKM4M_BHR70($A27*E$23/$D$16*$E$16)+$A26*E$23/$D$16*$D$19+PhiMayCanMang($A27*E$23/$D$16*2, $C$15/100,$D$15/100))*(1+$D$17))</f>
        <v>#VALUE!</v>
      </c>
      <c r="K27" s="21" t="e">
        <f ca="1">LamChanHangNgan((PhiInKM4M_BHR70($A27*F$23/$D$16*$E$16)+$A26*F$23/$D$16*$D$19+PhiMayCanMang($A27*F$23/$D$16*2, $C$15/100,$D$15/100))*(1+$D$17))</f>
        <v>#VALUE!</v>
      </c>
      <c r="L27" s="21" t="e">
        <f ca="1">LamChanHangNgan((PhiInKM4M_BHR70($A27*G$23/$D$16*$E$16)+$A26*G$23/$D$16*$D$19+PhiMayCanMang($A27*G$23/$D$16*2, $C$15/100,$D$15/100))*(1+$D$17))</f>
        <v>#VALUE!</v>
      </c>
      <c r="M27" s="21" t="e">
        <f ca="1">LamChanHangNgan((PhiInKM4M_BHR70($A27*H$23/$D$16*$E$16)+$A26*H$23/$D$16*$D$19+PhiMayCanMang($A27*H$23/$D$16*2, $C$15/100,$D$15/100))*(1+$D$17))</f>
        <v>#VALUE!</v>
      </c>
      <c r="N27" s="21" t="e">
        <f ca="1">LamChanHangNgan((PhiInKM4M_BHR70($A27*I$23/$D$16*$E$16)+$A26*I$23/$D$16*$D$19+PhiMayCanMang($A27*I$23/$D$16*2, $C$15/100,$D$15/100))*(1+$D$17))</f>
        <v>#VALUE!</v>
      </c>
    </row>
    <row r="28" spans="1:20" x14ac:dyDescent="0.25">
      <c r="A28" s="2">
        <v>16</v>
      </c>
      <c r="B28">
        <f t="shared" si="0"/>
        <v>160</v>
      </c>
      <c r="D28" t="s">
        <v>197</v>
      </c>
      <c r="E28" s="3" t="e">
        <f ca="1">LamChanHangNgan((PhiInKM4M_BHR70($A28*E$23/$D$16*$E$16)+$A28*E$23/$D$16*$D$19)*(1+$D$17))</f>
        <v>#VALUE!</v>
      </c>
      <c r="F28" s="3" t="e">
        <f ca="1">LamChanHangNgan((PhiInKM4M_BHR70($A28*F$23/$D$16*$E$16)+$A28*F$23/$D$16*$D$19)*(1+$D$17))</f>
        <v>#VALUE!</v>
      </c>
      <c r="G28" s="3" t="e">
        <f ca="1">LamChanHangNgan((PhiInKM4M_BHR70($A28*G$23/$D$16*$E$16)+$A28*G$23/$D$16*$D$19)*(1+$D$17))</f>
        <v>#VALUE!</v>
      </c>
      <c r="H28" s="3" t="e">
        <f ca="1">LamChanHangNgan((PhiInKM4M_BHR70($A28*H$23/$D$16*$E$16)+$A28*H$23/$D$16*$D$19)*(1+$D$17))</f>
        <v>#VALUE!</v>
      </c>
      <c r="I28" s="3" t="e">
        <f ca="1">LamChanHangNgan((PhiInKM4M_BHR70($A28*I$23/$D$16*$E$16)+$A28*I$23/$D$16*$D$19)*(1+$D$17))</f>
        <v>#VALUE!</v>
      </c>
      <c r="J28" s="3" t="e">
        <f ca="1">E28</f>
        <v>#VALUE!</v>
      </c>
      <c r="K28" s="3" t="e">
        <f t="shared" ref="K28:N28" ca="1" si="3">F28</f>
        <v>#VALUE!</v>
      </c>
      <c r="L28" s="3" t="e">
        <f t="shared" ca="1" si="3"/>
        <v>#VALUE!</v>
      </c>
      <c r="M28" s="3" t="e">
        <f t="shared" ca="1" si="3"/>
        <v>#VALUE!</v>
      </c>
      <c r="N28" s="3" t="e">
        <f t="shared" ca="1" si="3"/>
        <v>#VALUE!</v>
      </c>
    </row>
    <row r="29" spans="1:20" x14ac:dyDescent="0.25">
      <c r="A29" s="19">
        <v>16</v>
      </c>
      <c r="B29" s="20">
        <f t="shared" si="0"/>
        <v>160</v>
      </c>
      <c r="C29" s="20"/>
      <c r="D29" s="20" t="s">
        <v>198</v>
      </c>
      <c r="E29" s="21"/>
      <c r="F29" s="21"/>
      <c r="G29" s="21"/>
      <c r="H29" s="21"/>
      <c r="I29" s="21"/>
      <c r="J29" s="21" t="e">
        <f ca="1">LamChanHangNgan((PhiInKM4M_BHR70($A29*E$23/$D$16*$E$16)+$A28*E$23/$D$16*$D$19+PhiMayCanMang($A29*E$23/$D$16*2, $C$15/100,$D$15/100))*(1+$D$17))</f>
        <v>#VALUE!</v>
      </c>
      <c r="K29" s="21" t="e">
        <f ca="1">LamChanHangNgan((PhiInKM4M_BHR70($A29*F$23/$D$16*$E$16)+$A28*F$23/$D$16*$D$19+PhiMayCanMang($A29*F$23/$D$16*2, $C$15/100,$D$15/100))*(1+$D$17))</f>
        <v>#VALUE!</v>
      </c>
      <c r="L29" s="21" t="e">
        <f ca="1">LamChanHangNgan((PhiInKM4M_BHR70($A29*G$23/$D$16*$E$16)+$A28*G$23/$D$16*$D$19+PhiMayCanMang($A29*G$23/$D$16*2, $C$15/100,$D$15/100))*(1+$D$17))</f>
        <v>#VALUE!</v>
      </c>
      <c r="M29" s="21" t="e">
        <f ca="1">LamChanHangNgan((PhiInKM4M_BHR70($A29*H$23/$D$16*$E$16)+$A28*H$23/$D$16*$D$19+PhiMayCanMang($A29*H$23/$D$16*2, $C$15/100,$D$15/100))*(1+$D$17))</f>
        <v>#VALUE!</v>
      </c>
      <c r="N29" s="21" t="e">
        <f ca="1">LamChanHangNgan((PhiInKM4M_BHR70($A29*I$23/$D$16*$E$16)+$A28*I$23/$D$16*$D$19+PhiMayCanMang($A29*I$23/$D$16*2, $C$15/100,$D$15/100))*(1+$D$17))</f>
        <v>#VALUE!</v>
      </c>
    </row>
    <row r="30" spans="1:20" x14ac:dyDescent="0.25">
      <c r="A30" s="2">
        <v>18</v>
      </c>
      <c r="B30">
        <f t="shared" si="0"/>
        <v>180</v>
      </c>
      <c r="D30" t="s">
        <v>197</v>
      </c>
      <c r="E30" s="3" t="e">
        <f ca="1">LamChanHangNgan((PhiInKM4M_BHR70($A30*E$23/$D$16*$E$16)+$A30*E$23/$D$16*$D$19)*(1+$D$17))</f>
        <v>#VALUE!</v>
      </c>
      <c r="F30" s="3" t="e">
        <f ca="1">LamChanHangNgan((PhiInKM4M_BHR70($A30*F$23/$D$16*$E$16)+$A30*F$23/$D$16*$D$19)*(1+$D$17))</f>
        <v>#VALUE!</v>
      </c>
      <c r="G30" s="3" t="e">
        <f ca="1">LamChanHangNgan((PhiInKM4M_BHR70($A30*G$23/$D$16*$E$16)+$A30*G$23/$D$16*$D$19)*(1+$D$17))</f>
        <v>#VALUE!</v>
      </c>
      <c r="H30" s="3" t="e">
        <f ca="1">LamChanHangNgan((PhiInKM4M_BHR70($A30*H$23/$D$16*$E$16)+$A30*H$23/$D$16*$D$19)*(1+$D$17))</f>
        <v>#VALUE!</v>
      </c>
      <c r="I30" s="3" t="e">
        <f ca="1">LamChanHangNgan((PhiInKM4M_BHR70($A30*I$23/$D$16*$E$16)+$A30*I$23/$D$16*$D$19)*(1+$D$17))</f>
        <v>#VALUE!</v>
      </c>
      <c r="J30" s="3" t="e">
        <f ca="1">E30</f>
        <v>#VALUE!</v>
      </c>
      <c r="K30" s="3" t="e">
        <f t="shared" ref="K30:N30" ca="1" si="4">F30</f>
        <v>#VALUE!</v>
      </c>
      <c r="L30" s="3" t="e">
        <f t="shared" ca="1" si="4"/>
        <v>#VALUE!</v>
      </c>
      <c r="M30" s="3" t="e">
        <f t="shared" ca="1" si="4"/>
        <v>#VALUE!</v>
      </c>
      <c r="N30" s="3" t="e">
        <f t="shared" ca="1" si="4"/>
        <v>#VALUE!</v>
      </c>
    </row>
    <row r="31" spans="1:20" x14ac:dyDescent="0.25">
      <c r="A31" s="19">
        <v>18</v>
      </c>
      <c r="B31" s="20">
        <f t="shared" si="0"/>
        <v>180</v>
      </c>
      <c r="C31" s="20"/>
      <c r="D31" s="20" t="s">
        <v>198</v>
      </c>
      <c r="E31" s="21"/>
      <c r="F31" s="21"/>
      <c r="G31" s="21"/>
      <c r="H31" s="21"/>
      <c r="I31" s="21"/>
      <c r="J31" s="21" t="e">
        <f ca="1">LamChanHangNgan((PhiInKM4M_BHR70($A31*E$23/$D$16*$E$16)+$A30*E$23/$D$16*$D$19+PhiMayCanMang($A31*E$23/$D$16*2, $C$15/100,$D$15/100))*(1+$D$17))</f>
        <v>#VALUE!</v>
      </c>
      <c r="K31" s="21" t="e">
        <f ca="1">LamChanHangNgan((PhiInKM4M_BHR70($A31*F$23/$D$16*$E$16)+$A30*F$23/$D$16*$D$19+PhiMayCanMang($A31*F$23/$D$16*2, $C$15/100,$D$15/100))*(1+$D$17))</f>
        <v>#VALUE!</v>
      </c>
      <c r="L31" s="21" t="e">
        <f ca="1">LamChanHangNgan((PhiInKM4M_BHR70($A31*G$23/$D$16*$E$16)+$A30*G$23/$D$16*$D$19+PhiMayCanMang($A31*G$23/$D$16*2, $C$15/100,$D$15/100))*(1+$D$17))</f>
        <v>#VALUE!</v>
      </c>
      <c r="M31" s="21" t="e">
        <f ca="1">LamChanHangNgan((PhiInKM4M_BHR70($A31*H$23/$D$16*$E$16)+$A30*H$23/$D$16*$D$19+PhiMayCanMang($A31*H$23/$D$16*2, $C$15/100,$D$15/100))*(1+$D$17))</f>
        <v>#VALUE!</v>
      </c>
      <c r="N31" s="21" t="e">
        <f ca="1">LamChanHangNgan((PhiInKM4M_BHR70($A31*I$23/$D$16*$E$16)+$A30*I$23/$D$16*$D$19+PhiMayCanMang($A31*I$23/$D$16*2, $C$15/100,$D$15/100))*(1+$D$17))</f>
        <v>#VALUE!</v>
      </c>
    </row>
    <row r="32" spans="1:20" x14ac:dyDescent="0.25">
      <c r="A32" s="2">
        <v>20</v>
      </c>
      <c r="B32">
        <f t="shared" si="0"/>
        <v>200</v>
      </c>
      <c r="D32" t="s">
        <v>197</v>
      </c>
      <c r="E32" s="3" t="e">
        <f ca="1">LamChanHangNgan((PhiInKM4M_BHR70($A32*E$23/$D$16*$E$16)+$A32*E$23/$D$16*$D$19)*(1+$D$17))</f>
        <v>#VALUE!</v>
      </c>
      <c r="F32" s="3" t="e">
        <f ca="1">LamChanHangNgan((PhiInKM4M_BHR70($A32*F$23/$D$16*$E$16)+$A32*F$23/$D$16*$D$19)*(1+$D$17))</f>
        <v>#VALUE!</v>
      </c>
      <c r="G32" s="3" t="e">
        <f ca="1">LamChanHangNgan((PhiInKM4M_BHR70($A32*G$23/$D$16*$E$16)+$A32*G$23/$D$16*$D$19)*(1+$D$17))</f>
        <v>#VALUE!</v>
      </c>
      <c r="H32" s="3" t="e">
        <f ca="1">LamChanHangNgan((PhiInKM4M_BHR70($A32*H$23/$D$16*$E$16)+$A32*H$23/$D$16*$D$19)*(1+$D$17))</f>
        <v>#VALUE!</v>
      </c>
      <c r="I32" s="3" t="e">
        <f ca="1">LamChanHangNgan((PhiInKM4M_BHR70($A32*I$23/$D$16*$E$16)+$A32*I$23/$D$16*$D$19)*(1+$D$17))</f>
        <v>#VALUE!</v>
      </c>
      <c r="J32" s="3" t="e">
        <f ca="1">E32</f>
        <v>#VALUE!</v>
      </c>
      <c r="K32" s="3" t="e">
        <f t="shared" ref="K32:N32" ca="1" si="5">F32</f>
        <v>#VALUE!</v>
      </c>
      <c r="L32" s="3" t="e">
        <f t="shared" ca="1" si="5"/>
        <v>#VALUE!</v>
      </c>
      <c r="M32" s="3" t="e">
        <f t="shared" ca="1" si="5"/>
        <v>#VALUE!</v>
      </c>
      <c r="N32" s="3" t="e">
        <f t="shared" ca="1" si="5"/>
        <v>#VALUE!</v>
      </c>
    </row>
    <row r="33" spans="1:14" x14ac:dyDescent="0.25">
      <c r="A33" s="19">
        <v>20</v>
      </c>
      <c r="B33" s="20">
        <f t="shared" si="0"/>
        <v>200</v>
      </c>
      <c r="C33" s="20"/>
      <c r="D33" s="20" t="s">
        <v>198</v>
      </c>
      <c r="E33" s="21"/>
      <c r="F33" s="21"/>
      <c r="G33" s="21"/>
      <c r="H33" s="21"/>
      <c r="I33" s="21"/>
      <c r="J33" s="21" t="e">
        <f ca="1">LamChanHangNgan((PhiInKM4M_BHR70($A33*E$23/$D$16*$E$16)+$A32*E$23/$D$16*$D$19+PhiMayCanMang($A33*E$23/$D$16*2, $C$15/100,$D$15/100))*(1+$D$17))</f>
        <v>#VALUE!</v>
      </c>
      <c r="K33" s="21" t="e">
        <f ca="1">LamChanHangNgan((PhiInKM4M_BHR70($A33*F$23/$D$16*$E$16)+$A32*F$23/$D$16*$D$19+PhiMayCanMang($A33*F$23/$D$16*2, $C$15/100,$D$15/100))*(1+$D$17))</f>
        <v>#VALUE!</v>
      </c>
      <c r="L33" s="21" t="e">
        <f ca="1">LamChanHangNgan((PhiInKM4M_BHR70($A33*G$23/$D$16*$E$16)+$A32*G$23/$D$16*$D$19+PhiMayCanMang($A33*G$23/$D$16*2, $C$15/100,$D$15/100))*(1+$D$17))</f>
        <v>#VALUE!</v>
      </c>
      <c r="M33" s="21" t="e">
        <f ca="1">LamChanHangNgan((PhiInKM4M_BHR70($A33*H$23/$D$16*$E$16)+$A32*H$23/$D$16*$D$19+PhiMayCanMang($A33*H$23/$D$16*2, $C$15/100,$D$15/100))*(1+$D$17))</f>
        <v>#VALUE!</v>
      </c>
      <c r="N33" s="21" t="e">
        <f ca="1">LamChanHangNgan((PhiInKM4M_BHR70($A33*I$23/$D$16*$E$16)+$A32*I$23/$D$16*$D$19+PhiMayCanMang($A33*I$23/$D$16*2, $C$15/100,$D$15/100))*(1+$D$17))</f>
        <v>#VALUE!</v>
      </c>
    </row>
    <row r="34" spans="1:14" x14ac:dyDescent="0.25">
      <c r="A34" s="2">
        <v>22</v>
      </c>
      <c r="B34">
        <f t="shared" si="0"/>
        <v>220</v>
      </c>
      <c r="D34" t="s">
        <v>197</v>
      </c>
      <c r="E34" s="3" t="e">
        <f ca="1">LamChanHangNgan((PhiInKM4M_BHR70($A34*E$23/$D$16*$E$16)+$A34*E$23/$D$16*$D$19)*(1+$D$17))</f>
        <v>#VALUE!</v>
      </c>
      <c r="F34" s="3" t="e">
        <f ca="1">LamChanHangNgan((PhiInKM4M_BHR70($A34*F$23/$D$16*$E$16)+$A34*F$23/$D$16*$D$19)*(1+$D$17))</f>
        <v>#VALUE!</v>
      </c>
      <c r="G34" s="3" t="e">
        <f ca="1">LamChanHangNgan((PhiInKM4M_BHR70($A34*G$23/$D$16*$E$16)+$A34*G$23/$D$16*$D$19)*(1+$D$17))</f>
        <v>#VALUE!</v>
      </c>
      <c r="H34" s="3" t="e">
        <f ca="1">LamChanHangNgan((PhiInKM4M_BHR70($A34*H$23/$D$16*$E$16)+$A34*H$23/$D$16*$D$19)*(1+$D$17))</f>
        <v>#VALUE!</v>
      </c>
      <c r="I34" s="3" t="e">
        <f ca="1">LamChanHangNgan((PhiInKM4M_BHR70($A34*I$23/$D$16*$E$16)+$A34*I$23/$D$16*$D$19)*(1+$D$17))</f>
        <v>#VALUE!</v>
      </c>
      <c r="J34" s="3" t="e">
        <f ca="1">E34</f>
        <v>#VALUE!</v>
      </c>
      <c r="K34" s="3" t="e">
        <f t="shared" ref="K34:N34" ca="1" si="6">F34</f>
        <v>#VALUE!</v>
      </c>
      <c r="L34" s="3" t="e">
        <f t="shared" ca="1" si="6"/>
        <v>#VALUE!</v>
      </c>
      <c r="M34" s="3" t="e">
        <f t="shared" ca="1" si="6"/>
        <v>#VALUE!</v>
      </c>
      <c r="N34" s="3" t="e">
        <f t="shared" ca="1" si="6"/>
        <v>#VALUE!</v>
      </c>
    </row>
    <row r="35" spans="1:14" x14ac:dyDescent="0.25">
      <c r="A35" s="19">
        <v>22</v>
      </c>
      <c r="B35" s="20">
        <f t="shared" si="0"/>
        <v>220</v>
      </c>
      <c r="C35" s="20"/>
      <c r="D35" s="20" t="s">
        <v>198</v>
      </c>
      <c r="E35" s="21"/>
      <c r="F35" s="21"/>
      <c r="G35" s="21"/>
      <c r="H35" s="21"/>
      <c r="I35" s="21"/>
      <c r="J35" s="21" t="e">
        <f ca="1">LamChanHangNgan((PhiInKM4M_BHR70($A35*E$23/$D$16*$E$16)+$A34*E$23/$D$16*$D$19+PhiMayCanMang($A35*E$23/$D$16*2, $C$15/100,$D$15/100))*(1+$D$17))</f>
        <v>#VALUE!</v>
      </c>
      <c r="K35" s="21" t="e">
        <f ca="1">LamChanHangNgan((PhiInKM4M_BHR70($A35*F$23/$D$16*$E$16)+$A34*F$23/$D$16*$D$19+PhiMayCanMang($A35*F$23/$D$16*2, $C$15/100,$D$15/100))*(1+$D$17))</f>
        <v>#VALUE!</v>
      </c>
      <c r="L35" s="21" t="e">
        <f ca="1">LamChanHangNgan((PhiInKM4M_BHR70($A35*G$23/$D$16*$E$16)+$A34*G$23/$D$16*$D$19+PhiMayCanMang($A35*G$23/$D$16*2, $C$15/100,$D$15/100))*(1+$D$17))</f>
        <v>#VALUE!</v>
      </c>
      <c r="M35" s="21" t="e">
        <f ca="1">LamChanHangNgan((PhiInKM4M_BHR70($A35*H$23/$D$16*$E$16)+$A34*H$23/$D$16*$D$19+PhiMayCanMang($A35*H$23/$D$16*2, $C$15/100,$D$15/100))*(1+$D$17))</f>
        <v>#VALUE!</v>
      </c>
      <c r="N35" s="21" t="e">
        <f ca="1">LamChanHangNgan((PhiInKM4M_BHR70($A35*I$23/$D$16*$E$16)+$A34*I$23/$D$16*$D$19+PhiMayCanMang($A35*I$23/$D$16*2, $C$15/100,$D$15/100))*(1+$D$17))</f>
        <v>#VALUE!</v>
      </c>
    </row>
    <row r="36" spans="1:14" x14ac:dyDescent="0.25">
      <c r="A36" s="2">
        <v>24</v>
      </c>
      <c r="B36">
        <f t="shared" si="0"/>
        <v>240</v>
      </c>
      <c r="D36" t="s">
        <v>197</v>
      </c>
      <c r="E36" s="3" t="e">
        <f ca="1">LamChanHangNgan((PhiInKM4M_BHR70($A36*E$23/$D$16*$E$16)+$A36*E$23/$D$16*$D$19)*(1+$D$17))</f>
        <v>#VALUE!</v>
      </c>
      <c r="F36" s="3" t="e">
        <f ca="1">LamChanHangNgan((PhiInKM4M_BHR70($A36*F$23/$D$16*$E$16)+$A36*F$23/$D$16*$D$19)*(1+$D$17))</f>
        <v>#VALUE!</v>
      </c>
      <c r="G36" s="3" t="e">
        <f ca="1">LamChanHangNgan((PhiInKM4M_BHR70($A36*G$23/$D$16*$E$16)+$A36*G$23/$D$16*$D$19)*(1+$D$17))</f>
        <v>#VALUE!</v>
      </c>
      <c r="H36" s="3" t="e">
        <f ca="1">LamChanHangNgan((PhiInKM4M_BHR70($A36*H$23/$D$16*$E$16)+$A36*H$23/$D$16*$D$19)*(1+$D$17))</f>
        <v>#VALUE!</v>
      </c>
      <c r="I36" s="3" t="e">
        <f ca="1">LamChanHangNgan((PhiInKM4M_BHR70($A36*I$23/$D$16*$E$16)+$A36*I$23/$D$16*$D$19)*(1+$D$17))</f>
        <v>#VALUE!</v>
      </c>
      <c r="J36" s="3" t="e">
        <f ca="1">E36</f>
        <v>#VALUE!</v>
      </c>
      <c r="K36" s="3" t="e">
        <f t="shared" ref="K36:N36" ca="1" si="7">F36</f>
        <v>#VALUE!</v>
      </c>
      <c r="L36" s="3" t="e">
        <f t="shared" ca="1" si="7"/>
        <v>#VALUE!</v>
      </c>
      <c r="M36" s="3" t="e">
        <f t="shared" ca="1" si="7"/>
        <v>#VALUE!</v>
      </c>
      <c r="N36" s="3" t="e">
        <f t="shared" ca="1" si="7"/>
        <v>#VALUE!</v>
      </c>
    </row>
    <row r="37" spans="1:14" x14ac:dyDescent="0.25">
      <c r="A37" s="19">
        <v>24</v>
      </c>
      <c r="B37" s="20">
        <f t="shared" si="0"/>
        <v>240</v>
      </c>
      <c r="C37" s="20"/>
      <c r="D37" s="20" t="s">
        <v>198</v>
      </c>
      <c r="E37" s="21"/>
      <c r="F37" s="21"/>
      <c r="G37" s="21"/>
      <c r="H37" s="21"/>
      <c r="I37" s="21"/>
      <c r="J37" s="21" t="e">
        <f ca="1">LamChanHangNgan((PhiInKM4M_BHR70($A37*E$23/$D$16*$E$16)+$A36*E$23/$D$16*$D$19+PhiMayCanMang($A37*E$23/$D$16*2, $C$15/100,$D$15/100))*(1+$D$17))</f>
        <v>#VALUE!</v>
      </c>
      <c r="K37" s="21" t="e">
        <f ca="1">LamChanHangNgan((PhiInKM4M_BHR70($A37*F$23/$D$16*$E$16)+$A36*F$23/$D$16*$D$19+PhiMayCanMang($A37*F$23/$D$16*2, $C$15/100,$D$15/100))*(1+$D$17))</f>
        <v>#VALUE!</v>
      </c>
      <c r="L37" s="21" t="e">
        <f ca="1">LamChanHangNgan((PhiInKM4M_BHR70($A37*G$23/$D$16*$E$16)+$A36*G$23/$D$16*$D$19+PhiMayCanMang($A37*G$23/$D$16*2, $C$15/100,$D$15/100))*(1+$D$17))</f>
        <v>#VALUE!</v>
      </c>
      <c r="M37" s="21" t="e">
        <f ca="1">LamChanHangNgan((PhiInKM4M_BHR70($A37*H$23/$D$16*$E$16)+$A36*H$23/$D$16*$D$19+PhiMayCanMang($A37*H$23/$D$16*2, $C$15/100,$D$15/100))*(1+$D$17))</f>
        <v>#VALUE!</v>
      </c>
      <c r="N37" s="21" t="e">
        <f ca="1">LamChanHangNgan((PhiInKM4M_BHR70($A37*I$23/$D$16*$E$16)+$A36*I$23/$D$16*$D$19+PhiMayCanMang($A37*I$23/$D$16*2, $C$15/100,$D$15/100))*(1+$D$17))</f>
        <v>#VALUE!</v>
      </c>
    </row>
    <row r="38" spans="1:14" x14ac:dyDescent="0.25">
      <c r="A38" s="2"/>
      <c r="C38" s="3"/>
      <c r="D38" s="3"/>
      <c r="E38" s="3"/>
      <c r="F38" s="3"/>
      <c r="G38" s="3"/>
      <c r="H38" s="3"/>
    </row>
    <row r="39" spans="1:14" x14ac:dyDescent="0.25">
      <c r="A39" s="2"/>
    </row>
    <row r="40" spans="1:14" x14ac:dyDescent="0.25">
      <c r="A40" s="2" t="s">
        <v>208</v>
      </c>
    </row>
    <row r="41" spans="1:14" x14ac:dyDescent="0.25">
      <c r="A41" s="2" t="s">
        <v>209</v>
      </c>
      <c r="B41">
        <v>6000</v>
      </c>
      <c r="D41" t="s">
        <v>210</v>
      </c>
      <c r="E41" s="3">
        <f>PhiLDPT_XepDotVoCuonLX(E$23)+$B$41*$C$13/100</f>
        <v>22262.2228</v>
      </c>
      <c r="F41" s="3">
        <f t="shared" ref="F41:I41" si="8">PhiLDPT_XepDotVoCuonLX(F$23)+$B$41*$C$13/100</f>
        <v>25151.111700000001</v>
      </c>
      <c r="G41" s="3">
        <f t="shared" si="8"/>
        <v>28040.000700000001</v>
      </c>
      <c r="H41" s="3">
        <f t="shared" si="8"/>
        <v>30928.8897</v>
      </c>
      <c r="I41" s="3">
        <f t="shared" si="8"/>
        <v>33817.778699999995</v>
      </c>
    </row>
    <row r="42" spans="1:14" x14ac:dyDescent="0.25">
      <c r="A42" s="2"/>
      <c r="D42" t="s">
        <v>211</v>
      </c>
      <c r="E42" s="3">
        <f>E$41*(1+$D$17)</f>
        <v>38958.889900000002</v>
      </c>
      <c r="F42" s="3">
        <f t="shared" ref="F42:I42" si="9">F$41*(1+$D$17)</f>
        <v>44014.445475</v>
      </c>
      <c r="G42" s="3">
        <f t="shared" si="9"/>
        <v>49070.001225</v>
      </c>
      <c r="H42" s="3">
        <f t="shared" si="9"/>
        <v>54125.556975</v>
      </c>
      <c r="I42" s="3">
        <f t="shared" si="9"/>
        <v>59181.112724999992</v>
      </c>
    </row>
    <row r="43" spans="1:14" x14ac:dyDescent="0.25">
      <c r="A43" s="2"/>
      <c r="D43" t="s">
        <v>212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A13" xr:uid="{924FB55F-09E7-4856-9772-F73C63C1B74C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:B21" xr:uid="{A459B156-B0D6-4EF7-9895-6877627B1A5F}">
      <formula1>OFFSET(GIA_GIAY_CO_BAN,1,0,,1)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BE822-3F33-4EBD-AFF0-A626967EA186}">
  <sheetPr codeName="Trang_tính11"/>
  <dimension ref="A1:I73"/>
  <sheetViews>
    <sheetView topLeftCell="A28" workbookViewId="0">
      <selection activeCell="B43" sqref="B43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256</v>
      </c>
    </row>
    <row r="2" spans="1:7" x14ac:dyDescent="0.25">
      <c r="A2" t="s">
        <v>179</v>
      </c>
      <c r="B2" t="s">
        <v>183</v>
      </c>
    </row>
    <row r="3" spans="1:7" x14ac:dyDescent="0.25">
      <c r="A3" t="s">
        <v>184</v>
      </c>
      <c r="B3" t="s">
        <v>32</v>
      </c>
    </row>
    <row r="4" spans="1:7" x14ac:dyDescent="0.25">
      <c r="A4" t="s">
        <v>121</v>
      </c>
      <c r="B4" t="s">
        <v>185</v>
      </c>
    </row>
    <row r="5" spans="1:7" x14ac:dyDescent="0.25">
      <c r="A5" t="s">
        <v>180</v>
      </c>
      <c r="B5" t="s">
        <v>186</v>
      </c>
    </row>
    <row r="6" spans="1:7" x14ac:dyDescent="0.25">
      <c r="A6" t="s">
        <v>187</v>
      </c>
      <c r="B6" t="s">
        <v>188</v>
      </c>
    </row>
    <row r="9" spans="1:7" x14ac:dyDescent="0.25">
      <c r="A9" s="1" t="s">
        <v>181</v>
      </c>
      <c r="B9" t="s">
        <v>196</v>
      </c>
    </row>
    <row r="10" spans="1:7" x14ac:dyDescent="0.25">
      <c r="A10" t="s">
        <v>127</v>
      </c>
      <c r="B10" s="12">
        <v>43609</v>
      </c>
    </row>
    <row r="11" spans="1:7" x14ac:dyDescent="0.25">
      <c r="B11" t="s">
        <v>53</v>
      </c>
      <c r="C11" t="s">
        <v>54</v>
      </c>
      <c r="E11" t="s">
        <v>220</v>
      </c>
      <c r="F11" s="1" t="s">
        <v>221</v>
      </c>
      <c r="G11" s="1" t="s">
        <v>222</v>
      </c>
    </row>
    <row r="12" spans="1:7" x14ac:dyDescent="0.25">
      <c r="A12" t="s">
        <v>119</v>
      </c>
      <c r="D12" t="s">
        <v>194</v>
      </c>
    </row>
    <row r="13" spans="1:7" x14ac:dyDescent="0.25">
      <c r="A13" t="s">
        <v>219</v>
      </c>
      <c r="B13">
        <v>10</v>
      </c>
      <c r="C13">
        <v>19</v>
      </c>
      <c r="D13">
        <v>0.3</v>
      </c>
      <c r="E13">
        <v>0</v>
      </c>
      <c r="F13">
        <f>$B13+$E13+$D13*2</f>
        <v>10.6</v>
      </c>
      <c r="G13">
        <f>$C13+$D13*2</f>
        <v>19.600000000000001</v>
      </c>
    </row>
    <row r="15" spans="1:7" ht="30" x14ac:dyDescent="0.25">
      <c r="A15" t="s">
        <v>117</v>
      </c>
      <c r="B15" s="1" t="s">
        <v>31</v>
      </c>
      <c r="C15">
        <v>32</v>
      </c>
      <c r="D15">
        <v>47</v>
      </c>
      <c r="E15" s="2" t="s">
        <v>130</v>
      </c>
    </row>
    <row r="16" spans="1:7" x14ac:dyDescent="0.25">
      <c r="A16" t="s">
        <v>126</v>
      </c>
      <c r="D16" s="1">
        <f>SoConTrenToLon($C$15,$D$15,$F$13,$G$13)</f>
        <v>6</v>
      </c>
      <c r="E16">
        <v>2</v>
      </c>
    </row>
    <row r="17" spans="1:9" x14ac:dyDescent="0.25">
      <c r="A17" t="s">
        <v>51</v>
      </c>
      <c r="D17" s="14">
        <v>0.75</v>
      </c>
      <c r="E17" s="15" t="s">
        <v>131</v>
      </c>
    </row>
    <row r="18" spans="1:9" x14ac:dyDescent="0.25">
      <c r="B18" t="s">
        <v>122</v>
      </c>
      <c r="C18" t="s">
        <v>123</v>
      </c>
      <c r="D18" t="s">
        <v>125</v>
      </c>
      <c r="E18" t="s">
        <v>124</v>
      </c>
    </row>
    <row r="19" spans="1:9" x14ac:dyDescent="0.25">
      <c r="A19" t="s">
        <v>195</v>
      </c>
      <c r="B19" t="s">
        <v>67</v>
      </c>
      <c r="C19" t="s">
        <v>60</v>
      </c>
      <c r="D19">
        <v>1272</v>
      </c>
      <c r="E19" s="3">
        <f>D19*(1+D17)</f>
        <v>2226</v>
      </c>
    </row>
    <row r="21" spans="1:9" x14ac:dyDescent="0.25">
      <c r="A21" t="s">
        <v>225</v>
      </c>
      <c r="B21" t="s">
        <v>49</v>
      </c>
      <c r="C21" t="s">
        <v>50</v>
      </c>
      <c r="D21">
        <v>1200</v>
      </c>
    </row>
    <row r="23" spans="1:9" x14ac:dyDescent="0.25">
      <c r="A23" t="s">
        <v>199</v>
      </c>
    </row>
    <row r="24" spans="1:9" x14ac:dyDescent="0.25">
      <c r="A24" t="s">
        <v>157</v>
      </c>
      <c r="B24" t="s">
        <v>156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226</v>
      </c>
      <c r="E25">
        <f>($A25*E$24/2)/$D$16</f>
        <v>10</v>
      </c>
      <c r="F25">
        <f t="shared" ref="F25:I25" si="0">($A25*F$24/2)/$D$16</f>
        <v>20</v>
      </c>
      <c r="G25">
        <f t="shared" si="0"/>
        <v>30</v>
      </c>
      <c r="H25">
        <f t="shared" si="0"/>
        <v>40</v>
      </c>
      <c r="I25">
        <f t="shared" si="0"/>
        <v>50</v>
      </c>
    </row>
    <row r="26" spans="1:9" x14ac:dyDescent="0.25">
      <c r="C26" t="s">
        <v>200</v>
      </c>
      <c r="E26" s="3" t="e">
        <f ca="1">PhiInKM4M_BHR70(E$25*$E$16*2)*(1+$D$17)</f>
        <v>#NAME?</v>
      </c>
      <c r="F26" s="3" t="e">
        <f ca="1">PhiInKM4M_BHR70(F$25*$E$16*2)*(1+$D$17)</f>
        <v>#NAME?</v>
      </c>
      <c r="G26" s="3" t="e">
        <f ca="1">PhiInKM4M_BHR70(G$25*$E$16*2)*(1+$D$17)</f>
        <v>#NAME?</v>
      </c>
      <c r="H26" s="3" t="e">
        <f ca="1">PhiInKM4M_BHR70(H$25*$E$16*2)*(1+$D$17)</f>
        <v>#NAME?</v>
      </c>
      <c r="I26" s="3" t="e">
        <f ca="1">PhiInKM4M_BHR70(I$25*$E$16*2)*(1+$D$17)</f>
        <v>#NAME?</v>
      </c>
    </row>
    <row r="27" spans="1:9" x14ac:dyDescent="0.25">
      <c r="C27" t="s">
        <v>227</v>
      </c>
      <c r="E27" s="3">
        <f>E$25*$D$19*(1+$D$17)</f>
        <v>22260</v>
      </c>
      <c r="F27" s="3">
        <f>F$25*$D$19*(1+$D$17)</f>
        <v>44520</v>
      </c>
      <c r="G27" s="3">
        <f t="shared" ref="G27:I27" si="1">G$25*$D$19*(1+$D$17)</f>
        <v>66780</v>
      </c>
      <c r="H27" s="3">
        <f t="shared" si="1"/>
        <v>89040</v>
      </c>
      <c r="I27" s="3">
        <f t="shared" si="1"/>
        <v>111300</v>
      </c>
    </row>
    <row r="28" spans="1:9" x14ac:dyDescent="0.25">
      <c r="C28" t="s">
        <v>204</v>
      </c>
      <c r="E28" s="3">
        <f>(PhiMayCanMang(E$25*2,$C$15/100,$D$15/100) + PhiMangCan(E$25*2,$C$15/100,$D$15/100,$D$21))*(1+$D$17)</f>
        <v>74559.937024999992</v>
      </c>
      <c r="F28" s="3">
        <f>(PhiMayCanMang(F$25*2,$C$15/100,$D$15/100) + PhiMangCan(F$25*2,$C$15/100,$D$15/100,$D$21))*(1+$D$17)</f>
        <v>85406.148625000002</v>
      </c>
      <c r="G28" s="3">
        <f>(PhiMayCanMang(G$25*2,$C$15/100,$D$15/100) + PhiMangCan(G$25*2,$C$15/100,$D$15/100,$D$21))*(1+$D$17)</f>
        <v>95799.419800000003</v>
      </c>
      <c r="H28" s="3">
        <f>(PhiMayCanMang(H$25*2,$C$15/100,$D$15/100) + PhiMangCan(H$25*2,$C$15/100,$D$15/100,$D$21))*(1+$D$17)</f>
        <v>106645.63035000001</v>
      </c>
      <c r="I28" s="3">
        <f>(PhiMayCanMang(I$25*2,$C$15/100,$D$15/100) + PhiMangCan(I$25*2,$C$15/100,$D$15/100,$D$21))*(1+$D$17)</f>
        <v>117038.901875</v>
      </c>
    </row>
    <row r="29" spans="1:9" x14ac:dyDescent="0.25">
      <c r="C29" t="s">
        <v>228</v>
      </c>
      <c r="E29" s="3"/>
      <c r="F29" s="3"/>
      <c r="G29" s="3"/>
      <c r="H29" s="3"/>
      <c r="I29" s="3"/>
    </row>
    <row r="30" spans="1:9" x14ac:dyDescent="0.25">
      <c r="C30" t="s">
        <v>223</v>
      </c>
      <c r="E30" s="7" t="e">
        <f ca="1">LamChanHangNgan(E$26+E$27+E$29)</f>
        <v>#VALUE!</v>
      </c>
      <c r="F30" s="7" t="e">
        <f t="shared" ref="F30:I30" ca="1" si="2">LamChanHangNgan(F$26+F$27+F$29)</f>
        <v>#VALUE!</v>
      </c>
      <c r="G30" s="7" t="e">
        <f t="shared" ca="1" si="2"/>
        <v>#VALUE!</v>
      </c>
      <c r="H30" s="7" t="e">
        <f t="shared" ca="1" si="2"/>
        <v>#VALUE!</v>
      </c>
      <c r="I30" s="7" t="e">
        <f t="shared" ca="1" si="2"/>
        <v>#VALUE!</v>
      </c>
    </row>
    <row r="31" spans="1:9" x14ac:dyDescent="0.25">
      <c r="C31" t="s">
        <v>224</v>
      </c>
      <c r="E31" s="7" t="e">
        <f ca="1">LamChanHangNgan(E$26+E$27+E$28+E$29)</f>
        <v>#VALUE!</v>
      </c>
      <c r="F31" s="7" t="e">
        <f t="shared" ref="F31:I31" ca="1" si="3">LamChanHangNgan(F$26+F$27+F$28+F$29)</f>
        <v>#VALUE!</v>
      </c>
      <c r="G31" s="7" t="e">
        <f t="shared" ca="1" si="3"/>
        <v>#VALUE!</v>
      </c>
      <c r="H31" s="7" t="e">
        <f t="shared" ca="1" si="3"/>
        <v>#VALUE!</v>
      </c>
      <c r="I31" s="7" t="e">
        <f t="shared" ca="1" si="3"/>
        <v>#VALUE!</v>
      </c>
    </row>
    <row r="32" spans="1:9" x14ac:dyDescent="0.25">
      <c r="A32">
        <v>14</v>
      </c>
      <c r="B32">
        <f>$A32*E$24</f>
        <v>140</v>
      </c>
      <c r="C32" t="s">
        <v>226</v>
      </c>
      <c r="E32">
        <f>($A32*E$24/2)/$D$16</f>
        <v>11.666666666666666</v>
      </c>
      <c r="F32">
        <f t="shared" ref="F32:I32" si="4">($A32*F$24/2)/$D$16</f>
        <v>23.333333333333332</v>
      </c>
      <c r="G32">
        <f t="shared" si="4"/>
        <v>35</v>
      </c>
      <c r="H32">
        <f t="shared" si="4"/>
        <v>46.666666666666664</v>
      </c>
      <c r="I32">
        <f t="shared" si="4"/>
        <v>58.333333333333336</v>
      </c>
    </row>
    <row r="33" spans="1:9" x14ac:dyDescent="0.25">
      <c r="C33" t="s">
        <v>200</v>
      </c>
      <c r="E33" s="8" t="e">
        <f ca="1">PhiInKM4M_BHR70(E32*$E$16*2)*(1+$D$17)</f>
        <v>#NAME?</v>
      </c>
      <c r="F33" s="8" t="e">
        <f ca="1">PhiInKM4M_BHR70(F32*$E$16*2)*(1+$D$17)</f>
        <v>#NAME?</v>
      </c>
      <c r="G33" s="8" t="e">
        <f ca="1">PhiInKM4M_BHR70(G32*$E$16*2)*(1+$D$17)</f>
        <v>#NAME?</v>
      </c>
      <c r="H33" s="8" t="e">
        <f ca="1">PhiInKM4M_BHR70(H32*$E$16*2)*(1+$D$17)</f>
        <v>#NAME?</v>
      </c>
      <c r="I33" s="8" t="e">
        <f ca="1">PhiInKM4M_BHR70(I32*$E$16*2)*(1+$D$17)</f>
        <v>#NAME?</v>
      </c>
    </row>
    <row r="34" spans="1:9" x14ac:dyDescent="0.25">
      <c r="C34" t="s">
        <v>227</v>
      </c>
      <c r="E34" s="8">
        <f>E32*$D$19*(1+$D$17)</f>
        <v>25970</v>
      </c>
      <c r="F34" s="8">
        <f t="shared" ref="F34:I34" si="5">F32*$D$19*(1+$D$17)</f>
        <v>51940</v>
      </c>
      <c r="G34" s="8">
        <f t="shared" si="5"/>
        <v>77910</v>
      </c>
      <c r="H34" s="8">
        <f t="shared" si="5"/>
        <v>103880</v>
      </c>
      <c r="I34" s="8">
        <f t="shared" si="5"/>
        <v>129850</v>
      </c>
    </row>
    <row r="35" spans="1:9" x14ac:dyDescent="0.25">
      <c r="C35" t="s">
        <v>204</v>
      </c>
      <c r="E35" s="8">
        <f>(PhiMayCanMang(E32*2,$C$15/100,$D$15/100) + PhiMangCan(E32*2,$C$15/100,$D$15/100,$D$21))*(1+$D$17)</f>
        <v>76413.339275000006</v>
      </c>
      <c r="F35" s="8">
        <f>(PhiMayCanMang(F32*2,$C$15/100,$D$15/100) + PhiMangCan(F32*2,$C$15/100,$D$15/100,$D$21))*(1+$D$17)</f>
        <v>88975.852350000001</v>
      </c>
      <c r="G35" s="8">
        <f>(PhiMayCanMang(G32*2,$C$15/100,$D$15/100) + PhiMangCan(G32*2,$C$15/100,$D$15/100,$D$21))*(1+$D$17)</f>
        <v>101222.52525000001</v>
      </c>
      <c r="H35" s="8">
        <f>(PhiMayCanMang(H32*2,$C$15/100,$D$15/100) + PhiMangCan(H32*2,$C$15/100,$D$15/100,$D$21))*(1+$D$17)</f>
        <v>113469.19779999999</v>
      </c>
      <c r="I35" s="8">
        <f>(PhiMayCanMang(I32*2,$C$15/100,$D$15/100) + PhiMangCan(I32*2,$C$15/100,$D$15/100,$D$21))*(1+$D$17)</f>
        <v>126031.710875</v>
      </c>
    </row>
    <row r="36" spans="1:9" x14ac:dyDescent="0.25">
      <c r="C36" t="s">
        <v>228</v>
      </c>
      <c r="E36" s="8"/>
      <c r="F36" s="8"/>
      <c r="G36" s="8"/>
      <c r="H36" s="8"/>
      <c r="I36" s="8"/>
    </row>
    <row r="37" spans="1:9" x14ac:dyDescent="0.25">
      <c r="C37" t="s">
        <v>223</v>
      </c>
      <c r="E37" s="23" t="e">
        <f ca="1">LamChanHangNgan(E33+E34+E36)</f>
        <v>#VALUE!</v>
      </c>
      <c r="F37" s="23" t="e">
        <f t="shared" ref="F37:I37" ca="1" si="6">LamChanHangNgan(F33+F34+F36)</f>
        <v>#VALUE!</v>
      </c>
      <c r="G37" s="23" t="e">
        <f t="shared" ca="1" si="6"/>
        <v>#VALUE!</v>
      </c>
      <c r="H37" s="23" t="e">
        <f t="shared" ca="1" si="6"/>
        <v>#VALUE!</v>
      </c>
      <c r="I37" s="23" t="e">
        <f t="shared" ca="1" si="6"/>
        <v>#VALUE!</v>
      </c>
    </row>
    <row r="38" spans="1:9" x14ac:dyDescent="0.25">
      <c r="C38" t="s">
        <v>224</v>
      </c>
      <c r="E38" s="23" t="e">
        <f ca="1">LamChanHangNgan(E33+E34+E35+E36)</f>
        <v>#VALUE!</v>
      </c>
      <c r="F38" s="23" t="e">
        <f t="shared" ref="F38:I38" ca="1" si="7">LamChanHangNgan(F33+F34+F35+F36)</f>
        <v>#VALUE!</v>
      </c>
      <c r="G38" s="23" t="e">
        <f t="shared" ca="1" si="7"/>
        <v>#VALUE!</v>
      </c>
      <c r="H38" s="23" t="e">
        <f t="shared" ca="1" si="7"/>
        <v>#VALUE!</v>
      </c>
      <c r="I38" s="23" t="e">
        <f t="shared" ca="1" si="7"/>
        <v>#VALUE!</v>
      </c>
    </row>
    <row r="39" spans="1:9" x14ac:dyDescent="0.25">
      <c r="A39">
        <v>16</v>
      </c>
      <c r="B39">
        <f>$A39*E$24</f>
        <v>160</v>
      </c>
      <c r="C39" t="s">
        <v>226</v>
      </c>
      <c r="E39">
        <f>($A39*E$24/2)/$D$16</f>
        <v>13.333333333333334</v>
      </c>
      <c r="F39">
        <f t="shared" ref="F39:I39" si="8">($A39*F$24/2)/$D$16</f>
        <v>26.666666666666668</v>
      </c>
      <c r="G39">
        <f t="shared" si="8"/>
        <v>40</v>
      </c>
      <c r="H39">
        <f t="shared" si="8"/>
        <v>53.333333333333336</v>
      </c>
      <c r="I39">
        <f t="shared" si="8"/>
        <v>66.666666666666671</v>
      </c>
    </row>
    <row r="40" spans="1:9" x14ac:dyDescent="0.25">
      <c r="C40" t="s">
        <v>200</v>
      </c>
      <c r="E40" t="e">
        <f ca="1">PhiInKM4M_BHR70(E39*$E$16*2)*(1+$D$17)</f>
        <v>#NAME?</v>
      </c>
      <c r="F40" t="e">
        <f ca="1">PhiInKM4M_BHR70(F39*$E$16*2)*(1+$D$17)</f>
        <v>#NAME?</v>
      </c>
      <c r="G40" t="e">
        <f ca="1">PhiInKM4M_BHR70(G39*$E$16*2)*(1+$D$17)</f>
        <v>#NAME?</v>
      </c>
      <c r="H40" t="e">
        <f ca="1">PhiInKM4M_BHR70(H39*$E$16*2)*(1+$D$17)</f>
        <v>#NAME?</v>
      </c>
      <c r="I40" t="e">
        <f ca="1">PhiInKM4M_BHR70(I39*$E$16*2)*(1+$D$17)</f>
        <v>#NAME?</v>
      </c>
    </row>
    <row r="41" spans="1:9" x14ac:dyDescent="0.25">
      <c r="C41" t="s">
        <v>227</v>
      </c>
      <c r="E41">
        <f>E39*$D$19*(1+$D$17)</f>
        <v>29680</v>
      </c>
      <c r="F41">
        <f t="shared" ref="F41:I41" si="9">F39*$D$19*(1+$D$17)</f>
        <v>59360</v>
      </c>
      <c r="G41">
        <f t="shared" si="9"/>
        <v>89040</v>
      </c>
      <c r="H41">
        <f t="shared" si="9"/>
        <v>118720</v>
      </c>
      <c r="I41">
        <f t="shared" si="9"/>
        <v>148400</v>
      </c>
    </row>
    <row r="42" spans="1:9" x14ac:dyDescent="0.25">
      <c r="C42" t="s">
        <v>204</v>
      </c>
      <c r="E42">
        <f>(PhiMayCanMang(E39*2,$C$15/100,$D$15/100) + PhiMangCan(E39*2,$C$15/100,$D$15/100,$D$21))*(1+$D$17)</f>
        <v>78582.582049999997</v>
      </c>
      <c r="F42">
        <f>(PhiMayCanMang(F39*2,$C$15/100,$D$15/100) + PhiMangCan(F39*2,$C$15/100,$D$15/100,$D$21))*(1+$D$17)</f>
        <v>92229.71590000001</v>
      </c>
      <c r="G42">
        <f>(PhiMayCanMang(G39*2,$C$15/100,$D$15/100) + PhiMangCan(G39*2,$C$15/100,$D$15/100,$D$21))*(1+$D$17)</f>
        <v>106645.63035000001</v>
      </c>
      <c r="H42">
        <f>(PhiMayCanMang(H39*2,$C$15/100,$D$15/100) + PhiMangCan(H39*2,$C$15/100,$D$15/100,$D$21))*(1+$D$17)</f>
        <v>120608.60577499999</v>
      </c>
      <c r="I42">
        <f>(PhiMayCanMang(I39*2,$C$15/100,$D$15/100) + PhiMangCan(I39*2,$C$15/100,$D$15/100,$D$21))*(1+$D$17)</f>
        <v>134708.67777499999</v>
      </c>
    </row>
    <row r="43" spans="1:9" x14ac:dyDescent="0.25">
      <c r="C43" t="s">
        <v>228</v>
      </c>
    </row>
    <row r="44" spans="1:9" x14ac:dyDescent="0.25">
      <c r="C44" t="s">
        <v>223</v>
      </c>
      <c r="E44" s="7" t="e">
        <f ca="1">LamChanHangNgan(E40+E41+E43)</f>
        <v>#VALUE!</v>
      </c>
      <c r="F44" s="7" t="e">
        <f t="shared" ref="F44:I44" ca="1" si="10">LamChanHangNgan(F40+F41+F43)</f>
        <v>#VALUE!</v>
      </c>
      <c r="G44" s="7" t="e">
        <f t="shared" ca="1" si="10"/>
        <v>#VALUE!</v>
      </c>
      <c r="H44" s="7" t="e">
        <f t="shared" ca="1" si="10"/>
        <v>#VALUE!</v>
      </c>
      <c r="I44" s="7" t="e">
        <f t="shared" ca="1" si="10"/>
        <v>#VALUE!</v>
      </c>
    </row>
    <row r="45" spans="1:9" x14ac:dyDescent="0.25">
      <c r="C45" t="s">
        <v>224</v>
      </c>
      <c r="E45" s="7" t="e">
        <f ca="1">LamChanHangNgan(E40+E41+E42+E43)</f>
        <v>#VALUE!</v>
      </c>
      <c r="F45" s="7" t="e">
        <f t="shared" ref="F45:I45" ca="1" si="11">LamChanHangNgan(F40+F41+F42+F43)</f>
        <v>#VALUE!</v>
      </c>
      <c r="G45" s="7" t="e">
        <f t="shared" ca="1" si="11"/>
        <v>#VALUE!</v>
      </c>
      <c r="H45" s="7" t="e">
        <f t="shared" ca="1" si="11"/>
        <v>#VALUE!</v>
      </c>
      <c r="I45" s="7" t="e">
        <f t="shared" ca="1" si="11"/>
        <v>#VALUE!</v>
      </c>
    </row>
    <row r="46" spans="1:9" x14ac:dyDescent="0.25">
      <c r="A46">
        <v>18</v>
      </c>
      <c r="B46">
        <f>$A46*E$24</f>
        <v>180</v>
      </c>
      <c r="C46" t="s">
        <v>226</v>
      </c>
      <c r="E46">
        <f>($A46*E$24/2)/$D$16</f>
        <v>15</v>
      </c>
      <c r="F46">
        <f t="shared" ref="F46:I46" si="12">($A46*F$24/2)/$D$16</f>
        <v>30</v>
      </c>
      <c r="G46">
        <f t="shared" si="12"/>
        <v>45</v>
      </c>
      <c r="H46">
        <f t="shared" si="12"/>
        <v>60</v>
      </c>
      <c r="I46">
        <f t="shared" si="12"/>
        <v>75</v>
      </c>
    </row>
    <row r="47" spans="1:9" x14ac:dyDescent="0.25">
      <c r="C47" t="s">
        <v>200</v>
      </c>
      <c r="E47" t="e">
        <f ca="1">PhiInKM4M_BHR70(E46*$E$16*2)*(1+$D$17)</f>
        <v>#NAME?</v>
      </c>
      <c r="F47" t="e">
        <f ca="1">PhiInKM4M_BHR70(F46*$E$16*2)*(1+$D$17)</f>
        <v>#NAME?</v>
      </c>
      <c r="G47" t="e">
        <f ca="1">PhiInKM4M_BHR70(G46*$E$16*2)*(1+$D$17)</f>
        <v>#NAME?</v>
      </c>
      <c r="H47" t="e">
        <f ca="1">PhiInKM4M_BHR70(H46*$E$16*2)*(1+$D$17)</f>
        <v>#NAME?</v>
      </c>
      <c r="I47" t="e">
        <f ca="1">PhiInKM4M_BHR70(I46*$E$16*2)*(1+$D$17)</f>
        <v>#NAME?</v>
      </c>
    </row>
    <row r="48" spans="1:9" x14ac:dyDescent="0.25">
      <c r="C48" t="s">
        <v>227</v>
      </c>
      <c r="E48">
        <f>E46*$D$19*(1+$D$17)</f>
        <v>33390</v>
      </c>
      <c r="F48">
        <f t="shared" ref="F48:I48" si="13">F46*$D$19*(1+$D$17)</f>
        <v>66780</v>
      </c>
      <c r="G48">
        <f t="shared" si="13"/>
        <v>100170</v>
      </c>
      <c r="H48">
        <f t="shared" si="13"/>
        <v>133560</v>
      </c>
      <c r="I48">
        <f t="shared" si="13"/>
        <v>166950</v>
      </c>
    </row>
    <row r="49" spans="1:9" x14ac:dyDescent="0.25">
      <c r="C49" t="s">
        <v>204</v>
      </c>
      <c r="E49">
        <f>(PhiMayCanMang(E46*2,$C$15/100,$D$15/100) + PhiMangCan(E46*2,$C$15/100,$D$15/100,$D$21))*(1+$D$17)</f>
        <v>79983.043174999999</v>
      </c>
      <c r="F49">
        <f>(PhiMayCanMang(F46*2,$C$15/100,$D$15/100) + PhiMangCan(F46*2,$C$15/100,$D$15/100,$D$21))*(1+$D$17)</f>
        <v>95799.419800000003</v>
      </c>
      <c r="G49">
        <f>(PhiMayCanMang(G46*2,$C$15/100,$D$15/100) + PhiMangCan(G46*2,$C$15/100,$D$15/100,$D$21))*(1+$D$17)</f>
        <v>111615.79449999999</v>
      </c>
      <c r="H49">
        <f>(PhiMayCanMang(H46*2,$C$15/100,$D$15/100) + PhiMangCan(H46*2,$C$15/100,$D$15/100,$D$21))*(1+$D$17)</f>
        <v>127432.17305000001</v>
      </c>
      <c r="I49">
        <f>(PhiMayCanMang(I46*2,$C$15/100,$D$15/100) + PhiMangCan(I46*2,$C$15/100,$D$15/100,$D$21))*(1+$D$17)</f>
        <v>143248.54792499999</v>
      </c>
    </row>
    <row r="50" spans="1:9" x14ac:dyDescent="0.25">
      <c r="C50" t="s">
        <v>228</v>
      </c>
    </row>
    <row r="51" spans="1:9" x14ac:dyDescent="0.25">
      <c r="C51" t="s">
        <v>223</v>
      </c>
      <c r="E51" s="7" t="e">
        <f ca="1">LamChanHangNgan(E47+E48+E50)</f>
        <v>#VALUE!</v>
      </c>
      <c r="F51" s="7" t="e">
        <f t="shared" ref="F51:I51" ca="1" si="14">LamChanHangNgan(F47+F48+F50)</f>
        <v>#VALUE!</v>
      </c>
      <c r="G51" s="7" t="e">
        <f t="shared" ca="1" si="14"/>
        <v>#VALUE!</v>
      </c>
      <c r="H51" s="7" t="e">
        <f t="shared" ca="1" si="14"/>
        <v>#VALUE!</v>
      </c>
      <c r="I51" s="7" t="e">
        <f t="shared" ca="1" si="14"/>
        <v>#VALUE!</v>
      </c>
    </row>
    <row r="52" spans="1:9" x14ac:dyDescent="0.25">
      <c r="C52" t="s">
        <v>224</v>
      </c>
      <c r="E52" s="7" t="e">
        <f ca="1">LamChanHangNgan(E47+E48+E49+E50)</f>
        <v>#VALUE!</v>
      </c>
      <c r="F52" s="7" t="e">
        <f t="shared" ref="F52:I52" ca="1" si="15">LamChanHangNgan(F47+F48+F49+F50)</f>
        <v>#VALUE!</v>
      </c>
      <c r="G52" s="7" t="e">
        <f t="shared" ca="1" si="15"/>
        <v>#VALUE!</v>
      </c>
      <c r="H52" s="7" t="e">
        <f t="shared" ca="1" si="15"/>
        <v>#VALUE!</v>
      </c>
      <c r="I52" s="7" t="e">
        <f t="shared" ca="1" si="15"/>
        <v>#VALUE!</v>
      </c>
    </row>
    <row r="53" spans="1:9" x14ac:dyDescent="0.25">
      <c r="A53">
        <v>20</v>
      </c>
      <c r="B53">
        <f>$A53*E$24</f>
        <v>200</v>
      </c>
      <c r="C53" t="s">
        <v>226</v>
      </c>
      <c r="E53">
        <f>($A53*E$24/2)/$D$16</f>
        <v>16.666666666666668</v>
      </c>
      <c r="F53">
        <f t="shared" ref="F53:I53" si="16">($A53*F$24/2)/$D$16</f>
        <v>33.333333333333336</v>
      </c>
      <c r="G53">
        <f t="shared" si="16"/>
        <v>50</v>
      </c>
      <c r="H53">
        <f t="shared" si="16"/>
        <v>66.666666666666671</v>
      </c>
      <c r="I53">
        <f t="shared" si="16"/>
        <v>83.333333333333329</v>
      </c>
    </row>
    <row r="54" spans="1:9" x14ac:dyDescent="0.25">
      <c r="C54" t="s">
        <v>200</v>
      </c>
      <c r="E54" t="e">
        <f ca="1">PhiInKM4M_BHR70(E53*$E$16*2)*(1+$D$17)</f>
        <v>#NAME?</v>
      </c>
      <c r="F54" t="e">
        <f ca="1">PhiInKM4M_BHR70(F53*$E$16*2)*(1+$D$17)</f>
        <v>#NAME?</v>
      </c>
      <c r="G54" t="e">
        <f ca="1">PhiInKM4M_BHR70(G53*$E$16*2)*(1+$D$17)</f>
        <v>#NAME?</v>
      </c>
      <c r="H54" t="e">
        <f ca="1">PhiInKM4M_BHR70(H53*$E$16*2)*(1+$D$17)</f>
        <v>#NAME?</v>
      </c>
      <c r="I54" t="e">
        <f ca="1">PhiInKM4M_BHR70(I53*$E$16*2)*(1+$D$17)</f>
        <v>#NAME?</v>
      </c>
    </row>
    <row r="55" spans="1:9" x14ac:dyDescent="0.25">
      <c r="C55" t="s">
        <v>227</v>
      </c>
      <c r="E55">
        <f>E53*$D$19*(1+$D$17)</f>
        <v>37100</v>
      </c>
      <c r="F55">
        <f t="shared" ref="F55:I55" si="17">F53*$D$19*(1+$D$17)</f>
        <v>74200</v>
      </c>
      <c r="G55">
        <f t="shared" si="17"/>
        <v>111300</v>
      </c>
      <c r="H55">
        <f t="shared" si="17"/>
        <v>148400</v>
      </c>
      <c r="I55">
        <f t="shared" si="17"/>
        <v>185500</v>
      </c>
    </row>
    <row r="56" spans="1:9" x14ac:dyDescent="0.25">
      <c r="C56" t="s">
        <v>204</v>
      </c>
      <c r="E56">
        <f>(PhiMayCanMang(E53*2,$C$15/100,$D$15/100) + PhiMangCan(E53*2,$C$15/100,$D$15/100,$D$21))*(1+$D$17)</f>
        <v>81836.445600000006</v>
      </c>
      <c r="F56">
        <f>(PhiMayCanMang(F53*2,$C$15/100,$D$15/100) + PhiMangCan(F53*2,$C$15/100,$D$15/100,$D$21))*(1+$D$17)</f>
        <v>99369.121775000007</v>
      </c>
      <c r="G56">
        <f>(PhiMayCanMang(G53*2,$C$15/100,$D$15/100) + PhiMangCan(G53*2,$C$15/100,$D$15/100,$D$21))*(1+$D$17)</f>
        <v>117038.901875</v>
      </c>
      <c r="H56">
        <f>(PhiMayCanMang(H53*2,$C$15/100,$D$15/100) + PhiMangCan(H53*2,$C$15/100,$D$15/100,$D$21))*(1+$D$17)</f>
        <v>134708.67777499999</v>
      </c>
      <c r="I56">
        <f>(PhiMayCanMang(I53*2,$C$15/100,$D$15/100) + PhiMangCan(I53*2,$C$15/100,$D$15/100,$D$21))*(1+$D$17)</f>
        <v>152241.35902499998</v>
      </c>
    </row>
    <row r="57" spans="1:9" x14ac:dyDescent="0.25">
      <c r="C57" t="s">
        <v>228</v>
      </c>
    </row>
    <row r="58" spans="1:9" x14ac:dyDescent="0.25">
      <c r="C58" t="s">
        <v>223</v>
      </c>
      <c r="E58" s="7" t="e">
        <f ca="1">LamChanHangNgan(E54+E55+E57)</f>
        <v>#VALUE!</v>
      </c>
      <c r="F58" s="7" t="e">
        <f t="shared" ref="F58:I58" ca="1" si="18">LamChanHangNgan(F54+F55+F57)</f>
        <v>#VALUE!</v>
      </c>
      <c r="G58" s="7" t="e">
        <f t="shared" ca="1" si="18"/>
        <v>#VALUE!</v>
      </c>
      <c r="H58" s="7" t="e">
        <f t="shared" ca="1" si="18"/>
        <v>#VALUE!</v>
      </c>
      <c r="I58" s="7" t="e">
        <f t="shared" ca="1" si="18"/>
        <v>#VALUE!</v>
      </c>
    </row>
    <row r="59" spans="1:9" ht="14.25" customHeight="1" x14ac:dyDescent="0.25">
      <c r="C59" t="s">
        <v>224</v>
      </c>
      <c r="E59" s="7" t="e">
        <f ca="1">LamChanHangNgan(E54+E55+E56+E57)</f>
        <v>#VALUE!</v>
      </c>
      <c r="F59" s="7" t="e">
        <f t="shared" ref="F59:I59" ca="1" si="19">LamChanHangNgan(F54+F55+F56+F57)</f>
        <v>#VALUE!</v>
      </c>
      <c r="G59" s="7" t="e">
        <f t="shared" ca="1" si="19"/>
        <v>#VALUE!</v>
      </c>
      <c r="H59" s="7" t="e">
        <f t="shared" ca="1" si="19"/>
        <v>#VALUE!</v>
      </c>
      <c r="I59" s="7" t="e">
        <f t="shared" ca="1" si="19"/>
        <v>#VALUE!</v>
      </c>
    </row>
    <row r="60" spans="1:9" x14ac:dyDescent="0.25">
      <c r="A60">
        <v>22</v>
      </c>
      <c r="B60">
        <f>$A60*E$24</f>
        <v>220</v>
      </c>
      <c r="C60" t="s">
        <v>226</v>
      </c>
      <c r="E60">
        <f>($A60*E$24/2)/$D$16</f>
        <v>18.333333333333332</v>
      </c>
      <c r="F60">
        <f t="shared" ref="F60:I60" si="20">($A60*F$24/2)/$D$16</f>
        <v>36.666666666666664</v>
      </c>
      <c r="G60">
        <f t="shared" si="20"/>
        <v>55</v>
      </c>
      <c r="H60">
        <f t="shared" si="20"/>
        <v>73.333333333333329</v>
      </c>
      <c r="I60">
        <f t="shared" si="20"/>
        <v>91.666666666666671</v>
      </c>
    </row>
    <row r="61" spans="1:9" x14ac:dyDescent="0.25">
      <c r="C61" t="s">
        <v>200</v>
      </c>
      <c r="E61" t="e">
        <f ca="1">PhiInKM4M_BHR70(E60*$E$16*2)*(1+$D$17)</f>
        <v>#NAME?</v>
      </c>
      <c r="F61" t="e">
        <f ca="1">PhiInKM4M_BHR70(F60*$E$16*2)*(1+$D$17)</f>
        <v>#NAME?</v>
      </c>
      <c r="G61" t="e">
        <f ca="1">PhiInKM4M_BHR70(G60*$E$16*2)*(1+$D$17)</f>
        <v>#NAME?</v>
      </c>
      <c r="H61" t="e">
        <f ca="1">PhiInKM4M_BHR70(H60*$E$16*2)*(1+$D$17)</f>
        <v>#NAME?</v>
      </c>
      <c r="I61" t="e">
        <f ca="1">PhiInKM4M_BHR70(I60*$E$16*2)*(1+$D$17)</f>
        <v>#NAME?</v>
      </c>
    </row>
    <row r="62" spans="1:9" x14ac:dyDescent="0.25">
      <c r="C62" t="s">
        <v>227</v>
      </c>
      <c r="E62">
        <f>E60*$D$19*(1+$D$17)</f>
        <v>40810</v>
      </c>
      <c r="F62">
        <f t="shared" ref="F62:I62" si="21">F60*$D$19*(1+$D$17)</f>
        <v>81620</v>
      </c>
      <c r="G62">
        <f t="shared" si="21"/>
        <v>122430</v>
      </c>
      <c r="H62">
        <f t="shared" si="21"/>
        <v>163240</v>
      </c>
      <c r="I62">
        <f t="shared" si="21"/>
        <v>204050</v>
      </c>
    </row>
    <row r="63" spans="1:9" x14ac:dyDescent="0.25">
      <c r="C63" t="s">
        <v>204</v>
      </c>
      <c r="E63">
        <f>(PhiMayCanMang(E60*2,$C$15/100,$D$15/100) + PhiMangCan(E60*2,$C$15/100,$D$15/100,$D$21))*(1+$D$17)</f>
        <v>83552.746025</v>
      </c>
      <c r="F63">
        <f>(PhiMayCanMang(F60*2,$C$15/100,$D$15/100) + PhiMangCan(F60*2,$C$15/100,$D$15/100,$D$21))*(1+$D$17)</f>
        <v>102622.985325</v>
      </c>
      <c r="G63">
        <f>(PhiMayCanMang(G60*2,$C$15/100,$D$15/100) + PhiMangCan(G60*2,$C$15/100,$D$15/100,$D$21))*(1+$D$17)</f>
        <v>122462.00505000001</v>
      </c>
      <c r="H63">
        <f>(PhiMayCanMang(H60*2,$C$15/100,$D$15/100) + PhiMangCan(H60*2,$C$15/100,$D$15/100,$D$21))*(1+$D$17)</f>
        <v>141848.08557499998</v>
      </c>
      <c r="I63">
        <f>(PhiMayCanMang(I60*2,$C$15/100,$D$15/100) + PhiMangCan(I60*2,$C$15/100,$D$15/100,$D$21))*(1+$D$17)</f>
        <v>160918.32574999999</v>
      </c>
    </row>
    <row r="64" spans="1:9" x14ac:dyDescent="0.25">
      <c r="C64" t="s">
        <v>228</v>
      </c>
    </row>
    <row r="65" spans="1:9" x14ac:dyDescent="0.25">
      <c r="C65" t="s">
        <v>223</v>
      </c>
      <c r="E65" s="7" t="e">
        <f ca="1">LamChanHangNgan(E61+E62+E64)</f>
        <v>#VALUE!</v>
      </c>
      <c r="F65" s="7" t="e">
        <f t="shared" ref="F65:I65" ca="1" si="22">LamChanHangNgan(F61+F62+F64)</f>
        <v>#VALUE!</v>
      </c>
      <c r="G65" s="7" t="e">
        <f t="shared" ca="1" si="22"/>
        <v>#VALUE!</v>
      </c>
      <c r="H65" s="7" t="e">
        <f t="shared" ca="1" si="22"/>
        <v>#VALUE!</v>
      </c>
      <c r="I65" s="7" t="e">
        <f t="shared" ca="1" si="22"/>
        <v>#VALUE!</v>
      </c>
    </row>
    <row r="66" spans="1:9" x14ac:dyDescent="0.25">
      <c r="C66" t="s">
        <v>224</v>
      </c>
      <c r="E66" s="7" t="e">
        <f ca="1">LamChanHangNgan(E61+E62+E63+E64)</f>
        <v>#VALUE!</v>
      </c>
      <c r="F66" s="7" t="e">
        <f t="shared" ref="F66:I66" ca="1" si="23">LamChanHangNgan(F61+F62+F63+F64)</f>
        <v>#VALUE!</v>
      </c>
      <c r="G66" s="7" t="e">
        <f t="shared" ca="1" si="23"/>
        <v>#VALUE!</v>
      </c>
      <c r="H66" s="7" t="e">
        <f t="shared" ca="1" si="23"/>
        <v>#VALUE!</v>
      </c>
      <c r="I66" s="7" t="e">
        <f t="shared" ca="1" si="23"/>
        <v>#VALUE!</v>
      </c>
    </row>
    <row r="67" spans="1:9" x14ac:dyDescent="0.25">
      <c r="A67">
        <v>24</v>
      </c>
      <c r="B67">
        <f>$A67*E$24</f>
        <v>240</v>
      </c>
      <c r="C67" t="s">
        <v>226</v>
      </c>
      <c r="E67">
        <f>($A67*E$24/2)/$D$16</f>
        <v>20</v>
      </c>
      <c r="F67">
        <f t="shared" ref="F67:I67" si="24">($A67*F$24/2)/$D$16</f>
        <v>40</v>
      </c>
      <c r="G67">
        <f t="shared" si="24"/>
        <v>60</v>
      </c>
      <c r="H67">
        <f t="shared" si="24"/>
        <v>80</v>
      </c>
      <c r="I67">
        <f t="shared" si="24"/>
        <v>100</v>
      </c>
    </row>
    <row r="68" spans="1:9" x14ac:dyDescent="0.25">
      <c r="C68" t="s">
        <v>200</v>
      </c>
      <c r="E68" t="e">
        <f ca="1">PhiInKM4M_BHR70(E67*$E$16*2)*(1+$D$17)</f>
        <v>#NAME?</v>
      </c>
      <c r="F68" t="e">
        <f ca="1">PhiInKM4M_BHR70(F67*$E$16*2)*(1+$D$17)</f>
        <v>#NAME?</v>
      </c>
      <c r="G68" t="e">
        <f ca="1">PhiInKM4M_BHR70(G67*$E$16*2)*(1+$D$17)</f>
        <v>#NAME?</v>
      </c>
      <c r="H68" t="e">
        <f ca="1">PhiInKM4M_BHR70(H67*$E$16*2)*(1+$D$17)</f>
        <v>#NAME?</v>
      </c>
      <c r="I68" t="e">
        <f ca="1">PhiInKM4M_BHR70(I67*$E$16*2)*(1+$D$17)</f>
        <v>#NAME?</v>
      </c>
    </row>
    <row r="69" spans="1:9" x14ac:dyDescent="0.25">
      <c r="C69" t="s">
        <v>227</v>
      </c>
      <c r="E69">
        <f>E67*$D$19*(1+$D$17)</f>
        <v>44520</v>
      </c>
      <c r="F69">
        <f t="shared" ref="F69:I69" si="25">F67*$D$19*(1+$D$17)</f>
        <v>89040</v>
      </c>
      <c r="G69">
        <f t="shared" si="25"/>
        <v>133560</v>
      </c>
      <c r="H69">
        <f t="shared" si="25"/>
        <v>178080</v>
      </c>
      <c r="I69">
        <f t="shared" si="25"/>
        <v>222600</v>
      </c>
    </row>
    <row r="70" spans="1:9" x14ac:dyDescent="0.25">
      <c r="C70" t="s">
        <v>204</v>
      </c>
      <c r="E70">
        <f>(PhiMayCanMang(E67*2,$C$15/100,$D$15/100) + PhiMangCan(E67*2,$C$15/100,$D$15/100,$D$21))*(1+$D$17)</f>
        <v>85406.148625000002</v>
      </c>
      <c r="F70">
        <f>(PhiMayCanMang(F67*2,$C$15/100,$D$15/100) + PhiMangCan(F67*2,$C$15/100,$D$15/100,$D$21))*(1+$D$17)</f>
        <v>106645.63035000001</v>
      </c>
      <c r="G70">
        <f>(PhiMayCanMang(G67*2,$C$15/100,$D$15/100) + PhiMangCan(G67*2,$C$15/100,$D$15/100,$D$21))*(1+$D$17)</f>
        <v>127432.17305000001</v>
      </c>
      <c r="H70">
        <f>(PhiMayCanMang(H67*2,$C$15/100,$D$15/100) + PhiMangCan(H67*2,$C$15/100,$D$15/100,$D$21))*(1+$D$17)</f>
        <v>148671.65302500001</v>
      </c>
      <c r="I70">
        <f>(PhiMayCanMang(I67*2,$C$15/100,$D$15/100) + PhiMangCan(I67*2,$C$15/100,$D$15/100,$D$21))*(1+$D$17)</f>
        <v>169911.137025</v>
      </c>
    </row>
    <row r="71" spans="1:9" x14ac:dyDescent="0.25">
      <c r="C71" t="s">
        <v>228</v>
      </c>
    </row>
    <row r="72" spans="1:9" x14ac:dyDescent="0.25">
      <c r="C72" t="s">
        <v>223</v>
      </c>
      <c r="E72" s="7" t="e">
        <f ca="1">LamChanHangNgan(E68+E69+E71)</f>
        <v>#VALUE!</v>
      </c>
      <c r="F72" s="7" t="e">
        <f t="shared" ref="F72:I72" ca="1" si="26">LamChanHangNgan(F68+F69+F71)</f>
        <v>#VALUE!</v>
      </c>
      <c r="G72" s="7" t="e">
        <f t="shared" ca="1" si="26"/>
        <v>#VALUE!</v>
      </c>
      <c r="H72" s="7" t="e">
        <f t="shared" ca="1" si="26"/>
        <v>#VALUE!</v>
      </c>
      <c r="I72" s="7" t="e">
        <f t="shared" ca="1" si="26"/>
        <v>#VALUE!</v>
      </c>
    </row>
    <row r="73" spans="1:9" x14ac:dyDescent="0.25">
      <c r="C73" t="s">
        <v>224</v>
      </c>
      <c r="E73" s="7" t="e">
        <f ca="1">LamChanHangNgan(E68+E69+E70+E71)</f>
        <v>#VALUE!</v>
      </c>
      <c r="F73" s="7" t="e">
        <f t="shared" ref="F73:I73" ca="1" si="27">LamChanHangNgan(F68+F69+F70+F71)</f>
        <v>#VALUE!</v>
      </c>
      <c r="G73" s="7" t="e">
        <f t="shared" ca="1" si="27"/>
        <v>#VALUE!</v>
      </c>
      <c r="H73" s="7" t="e">
        <f t="shared" ca="1" si="27"/>
        <v>#VALUE!</v>
      </c>
      <c r="I73" s="7" t="e">
        <f t="shared" ca="1" si="27"/>
        <v>#VALUE!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B19" xr:uid="{C15ADB8B-D963-4456-A3FC-1BE871552D7E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C7DA20C9-E8F0-49C0-BC31-3DE518684D2E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AAE3BBCE-F9FB-4ED5-922A-4C095241C14E}">
      <formula1>OFFSET(GIA_MANG,1,0,,1)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A82D8-D6F7-4934-B112-8E2CE00527CB}">
  <sheetPr codeName="Trang_tính15"/>
  <dimension ref="A1:M29"/>
  <sheetViews>
    <sheetView workbookViewId="0">
      <selection activeCell="I19" sqref="I19"/>
    </sheetView>
  </sheetViews>
  <sheetFormatPr defaultRowHeight="15" x14ac:dyDescent="0.25"/>
  <cols>
    <col min="2" max="2" width="18.42578125" customWidth="1"/>
    <col min="4" max="4" width="17.28515625" customWidth="1"/>
    <col min="5" max="5" width="12.140625" bestFit="1" customWidth="1"/>
    <col min="6" max="7" width="13.28515625" bestFit="1" customWidth="1"/>
    <col min="8" max="8" width="16.28515625" customWidth="1"/>
    <col min="9" max="9" width="13.28515625" bestFit="1" customWidth="1"/>
  </cols>
  <sheetData>
    <row r="1" spans="1:13" x14ac:dyDescent="0.25">
      <c r="A1" t="s">
        <v>257</v>
      </c>
    </row>
    <row r="2" spans="1:13" x14ac:dyDescent="0.25">
      <c r="A2" t="s">
        <v>258</v>
      </c>
      <c r="D2" t="s">
        <v>259</v>
      </c>
    </row>
    <row r="3" spans="1:13" x14ac:dyDescent="0.25">
      <c r="A3" t="s">
        <v>260</v>
      </c>
    </row>
    <row r="9" spans="1:13" x14ac:dyDescent="0.25">
      <c r="A9" s="1" t="s">
        <v>181</v>
      </c>
      <c r="B9" t="s">
        <v>196</v>
      </c>
    </row>
    <row r="10" spans="1:13" x14ac:dyDescent="0.25">
      <c r="A10" t="s">
        <v>127</v>
      </c>
      <c r="B10" s="12">
        <v>43609</v>
      </c>
    </row>
    <row r="11" spans="1:13" x14ac:dyDescent="0.25">
      <c r="B11" t="s">
        <v>53</v>
      </c>
      <c r="C11" t="s">
        <v>54</v>
      </c>
      <c r="E11" t="s">
        <v>220</v>
      </c>
      <c r="F11" s="1" t="s">
        <v>221</v>
      </c>
      <c r="G11" s="1" t="s">
        <v>222</v>
      </c>
      <c r="H11" t="s">
        <v>236</v>
      </c>
    </row>
    <row r="12" spans="1:13" x14ac:dyDescent="0.25">
      <c r="A12" t="s">
        <v>233</v>
      </c>
      <c r="D12" t="s">
        <v>194</v>
      </c>
      <c r="I12" t="s">
        <v>234</v>
      </c>
      <c r="J12" t="s">
        <v>235</v>
      </c>
      <c r="L12" t="s">
        <v>249</v>
      </c>
      <c r="M12" t="e">
        <f ca="1">INDIRECT("GIA_DECAL_GIAY_VUONG")</f>
        <v>#REF!</v>
      </c>
    </row>
    <row r="13" spans="1:13" x14ac:dyDescent="0.25">
      <c r="A13" t="s">
        <v>219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  <c r="I13">
        <f>F$13+0.4+4</f>
        <v>27.5</v>
      </c>
      <c r="J13">
        <f>G$13+0.4*2</f>
        <v>29.400000000000002</v>
      </c>
    </row>
    <row r="15" spans="1:13" ht="45" x14ac:dyDescent="0.25">
      <c r="A15" t="s">
        <v>239</v>
      </c>
      <c r="B15" s="1" t="s">
        <v>31</v>
      </c>
      <c r="C15">
        <v>32</v>
      </c>
      <c r="D15">
        <v>47</v>
      </c>
      <c r="E15" s="2" t="s">
        <v>130</v>
      </c>
    </row>
    <row r="16" spans="1:13" x14ac:dyDescent="0.25">
      <c r="A16" t="s">
        <v>240</v>
      </c>
      <c r="D16" s="1">
        <v>1</v>
      </c>
      <c r="E16">
        <v>2</v>
      </c>
    </row>
    <row r="17" spans="1:9" x14ac:dyDescent="0.25">
      <c r="A17" t="s">
        <v>51</v>
      </c>
      <c r="D17" s="14">
        <v>0.75</v>
      </c>
      <c r="E17" s="15" t="s">
        <v>131</v>
      </c>
    </row>
    <row r="18" spans="1:9" x14ac:dyDescent="0.25">
      <c r="B18" t="s">
        <v>122</v>
      </c>
      <c r="C18" t="s">
        <v>123</v>
      </c>
      <c r="D18" t="s">
        <v>265</v>
      </c>
      <c r="E18" t="s">
        <v>124</v>
      </c>
    </row>
    <row r="19" spans="1:9" x14ac:dyDescent="0.25">
      <c r="A19" t="s">
        <v>262</v>
      </c>
      <c r="B19" t="s">
        <v>263</v>
      </c>
      <c r="C19" t="s">
        <v>264</v>
      </c>
      <c r="D19">
        <v>6000</v>
      </c>
      <c r="E19" s="3">
        <f>D19*(1+D17)</f>
        <v>10500</v>
      </c>
    </row>
    <row r="24" spans="1:9" x14ac:dyDescent="0.25">
      <c r="A24" t="s">
        <v>157</v>
      </c>
      <c r="B24" t="s">
        <v>156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D25" t="s">
        <v>261</v>
      </c>
      <c r="E25" s="3">
        <f>PhiLDPT_XepDotVoCuonLX(E$24)</f>
        <v>20222.2228</v>
      </c>
      <c r="F25" s="3">
        <f t="shared" ref="F25:I25" si="0">PhiLDPT_XepDotVoCuonLX(F$24)</f>
        <v>23111.111700000001</v>
      </c>
      <c r="G25" s="3">
        <f t="shared" si="0"/>
        <v>26000.000700000001</v>
      </c>
      <c r="H25" s="3">
        <f t="shared" si="0"/>
        <v>28888.8897</v>
      </c>
      <c r="I25" s="3">
        <f t="shared" si="0"/>
        <v>31777.778699999999</v>
      </c>
    </row>
    <row r="26" spans="1:9" x14ac:dyDescent="0.25">
      <c r="D26" t="s">
        <v>266</v>
      </c>
      <c r="E26" s="3">
        <f>$D$19*0.3*E$24</f>
        <v>18000</v>
      </c>
      <c r="F26" s="3">
        <f t="shared" ref="F26:I26" si="1">$D$19*0.3*F$24</f>
        <v>36000</v>
      </c>
      <c r="G26" s="3">
        <f t="shared" si="1"/>
        <v>54000</v>
      </c>
      <c r="H26" s="3">
        <f t="shared" si="1"/>
        <v>72000</v>
      </c>
      <c r="I26" s="3">
        <f t="shared" si="1"/>
        <v>90000</v>
      </c>
    </row>
    <row r="27" spans="1:9" x14ac:dyDescent="0.25">
      <c r="D27" t="s">
        <v>211</v>
      </c>
      <c r="E27" s="3">
        <f>(E$25+E$26)*(1+$D$17)</f>
        <v>66888.889900000009</v>
      </c>
      <c r="F27" s="3">
        <f t="shared" ref="F27:I27" si="2">(F$25+F$26)*(1+$D$17)</f>
        <v>103444.445475</v>
      </c>
      <c r="G27" s="3">
        <f t="shared" si="2"/>
        <v>140000.00122500001</v>
      </c>
      <c r="H27" s="3">
        <f t="shared" si="2"/>
        <v>176555.55697500001</v>
      </c>
      <c r="I27" s="3">
        <f t="shared" si="2"/>
        <v>213111.11272499998</v>
      </c>
    </row>
    <row r="28" spans="1:9" x14ac:dyDescent="0.25">
      <c r="D28" t="s">
        <v>250</v>
      </c>
      <c r="E28" s="3">
        <f>E$27/E$24</f>
        <v>6688.8889900000013</v>
      </c>
      <c r="F28" s="3">
        <f t="shared" ref="F28:I28" si="3">F$27/F$24</f>
        <v>5172.2222737499997</v>
      </c>
      <c r="G28" s="3">
        <f t="shared" si="3"/>
        <v>4666.6667075000005</v>
      </c>
      <c r="H28" s="3">
        <f t="shared" si="3"/>
        <v>4413.888924375</v>
      </c>
      <c r="I28" s="3">
        <f t="shared" si="3"/>
        <v>4262.2222544999995</v>
      </c>
    </row>
    <row r="29" spans="1:9" x14ac:dyDescent="0.25">
      <c r="D29" t="s">
        <v>267</v>
      </c>
      <c r="E29">
        <v>7000</v>
      </c>
      <c r="F29">
        <v>5000</v>
      </c>
      <c r="G29">
        <v>5000</v>
      </c>
      <c r="H29">
        <v>4500</v>
      </c>
      <c r="I29">
        <v>4500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9" xr:uid="{FC5355D7-D5EC-4D75-B2B2-2A42BD8870AC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30DBB26F-380C-43D5-A9B0-A2B923A091CB}">
      <formula1>OFFSET(KHO_CAT_SAN_PHAM,1,0,,1)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B1D87-A2DA-4881-AD2C-713C99050DC6}">
  <sheetPr codeName="Trang_tính17"/>
  <dimension ref="A1:I73"/>
  <sheetViews>
    <sheetView topLeftCell="A19" workbookViewId="0">
      <selection activeCell="K26" sqref="K26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256</v>
      </c>
    </row>
    <row r="2" spans="1:7" x14ac:dyDescent="0.25">
      <c r="A2" t="s">
        <v>179</v>
      </c>
      <c r="B2" t="s">
        <v>183</v>
      </c>
    </row>
    <row r="3" spans="1:7" x14ac:dyDescent="0.25">
      <c r="A3" t="s">
        <v>184</v>
      </c>
      <c r="B3" t="s">
        <v>32</v>
      </c>
    </row>
    <row r="4" spans="1:7" x14ac:dyDescent="0.25">
      <c r="A4" t="s">
        <v>121</v>
      </c>
      <c r="B4" t="s">
        <v>185</v>
      </c>
    </row>
    <row r="5" spans="1:7" x14ac:dyDescent="0.25">
      <c r="A5" t="s">
        <v>180</v>
      </c>
      <c r="B5" t="s">
        <v>186</v>
      </c>
    </row>
    <row r="6" spans="1:7" x14ac:dyDescent="0.25">
      <c r="A6" t="s">
        <v>187</v>
      </c>
      <c r="B6" t="s">
        <v>188</v>
      </c>
    </row>
    <row r="9" spans="1:7" x14ac:dyDescent="0.25">
      <c r="A9" s="1" t="s">
        <v>181</v>
      </c>
      <c r="B9" t="s">
        <v>196</v>
      </c>
    </row>
    <row r="10" spans="1:7" x14ac:dyDescent="0.25">
      <c r="A10" t="s">
        <v>127</v>
      </c>
      <c r="B10" s="12">
        <v>43609</v>
      </c>
    </row>
    <row r="11" spans="1:7" x14ac:dyDescent="0.25">
      <c r="B11" t="s">
        <v>53</v>
      </c>
      <c r="C11" t="s">
        <v>54</v>
      </c>
      <c r="E11" t="s">
        <v>220</v>
      </c>
      <c r="F11" s="1" t="s">
        <v>221</v>
      </c>
      <c r="G11" s="1" t="s">
        <v>222</v>
      </c>
    </row>
    <row r="12" spans="1:7" x14ac:dyDescent="0.25">
      <c r="A12" t="s">
        <v>119</v>
      </c>
      <c r="D12" t="s">
        <v>194</v>
      </c>
    </row>
    <row r="13" spans="1:7" x14ac:dyDescent="0.25">
      <c r="A13" t="s">
        <v>219</v>
      </c>
      <c r="B13">
        <v>15</v>
      </c>
      <c r="C13">
        <v>19</v>
      </c>
      <c r="D13">
        <v>0.3</v>
      </c>
      <c r="E13">
        <v>0</v>
      </c>
      <c r="F13">
        <f>$B13+$E13+$D13*2</f>
        <v>15.6</v>
      </c>
      <c r="G13">
        <f>$C13+$D13*2</f>
        <v>19.600000000000001</v>
      </c>
    </row>
    <row r="15" spans="1:7" ht="30" x14ac:dyDescent="0.25">
      <c r="A15" t="s">
        <v>117</v>
      </c>
      <c r="B15" s="1" t="s">
        <v>31</v>
      </c>
      <c r="C15">
        <v>32</v>
      </c>
      <c r="D15">
        <v>47</v>
      </c>
      <c r="E15" s="2" t="s">
        <v>130</v>
      </c>
    </row>
    <row r="16" spans="1:7" x14ac:dyDescent="0.25">
      <c r="A16" t="s">
        <v>126</v>
      </c>
      <c r="D16" s="1">
        <f>SoConTrenToLon($C$15,$D$15,$F$13,$G$13)</f>
        <v>4</v>
      </c>
      <c r="E16">
        <v>2</v>
      </c>
    </row>
    <row r="17" spans="1:9" x14ac:dyDescent="0.25">
      <c r="A17" t="s">
        <v>51</v>
      </c>
      <c r="D17" s="14">
        <v>0.75</v>
      </c>
      <c r="E17" s="15" t="s">
        <v>131</v>
      </c>
    </row>
    <row r="18" spans="1:9" x14ac:dyDescent="0.25">
      <c r="B18" t="s">
        <v>122</v>
      </c>
      <c r="C18" t="s">
        <v>123</v>
      </c>
      <c r="D18" t="s">
        <v>125</v>
      </c>
      <c r="E18" t="s">
        <v>124</v>
      </c>
    </row>
    <row r="19" spans="1:9" x14ac:dyDescent="0.25">
      <c r="A19" t="s">
        <v>195</v>
      </c>
      <c r="B19" t="s">
        <v>67</v>
      </c>
      <c r="C19" t="s">
        <v>60</v>
      </c>
      <c r="D19">
        <v>1272</v>
      </c>
      <c r="E19" s="3">
        <f>D19*(1+D17)</f>
        <v>2226</v>
      </c>
    </row>
    <row r="21" spans="1:9" x14ac:dyDescent="0.25">
      <c r="A21" t="s">
        <v>225</v>
      </c>
      <c r="B21" t="s">
        <v>49</v>
      </c>
      <c r="C21" t="s">
        <v>50</v>
      </c>
      <c r="D21">
        <v>1200</v>
      </c>
    </row>
    <row r="23" spans="1:9" x14ac:dyDescent="0.25">
      <c r="A23" t="s">
        <v>199</v>
      </c>
    </row>
    <row r="24" spans="1:9" x14ac:dyDescent="0.25">
      <c r="A24" t="s">
        <v>157</v>
      </c>
      <c r="B24" t="s">
        <v>156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226</v>
      </c>
      <c r="E25">
        <f>($A25*E$24/2)/$D$16</f>
        <v>15</v>
      </c>
      <c r="F25">
        <f t="shared" ref="F25:I25" si="0">($A25*F$24/2)/$D$16</f>
        <v>30</v>
      </c>
      <c r="G25">
        <f t="shared" si="0"/>
        <v>45</v>
      </c>
      <c r="H25">
        <f t="shared" si="0"/>
        <v>60</v>
      </c>
      <c r="I25">
        <f t="shared" si="0"/>
        <v>75</v>
      </c>
    </row>
    <row r="26" spans="1:9" x14ac:dyDescent="0.25">
      <c r="C26" t="s">
        <v>200</v>
      </c>
      <c r="E26" s="3" t="e">
        <f ca="1">PhiInKM4M_BHR70(E$25*$E$16*2)*(1+$D$17)</f>
        <v>#NAME?</v>
      </c>
      <c r="F26" s="3" t="e">
        <f ca="1">PhiInKM4M_BHR70(F$25*$E$16*2)*(1+$D$17)</f>
        <v>#NAME?</v>
      </c>
      <c r="G26" s="3" t="e">
        <f ca="1">PhiInKM4M_BHR70(G$25*$E$16*2)*(1+$D$17)</f>
        <v>#NAME?</v>
      </c>
      <c r="H26" s="3" t="e">
        <f ca="1">PhiInKM4M_BHR70(H$25*$E$16*2)*(1+$D$17)</f>
        <v>#NAME?</v>
      </c>
      <c r="I26" s="3" t="e">
        <f ca="1">PhiInKM4M_BHR70(I$25*$E$16*2)*(1+$D$17)</f>
        <v>#NAME?</v>
      </c>
    </row>
    <row r="27" spans="1:9" x14ac:dyDescent="0.25">
      <c r="C27" t="s">
        <v>227</v>
      </c>
      <c r="E27" s="3">
        <f>E$25*$D$19*(1+$D$17)</f>
        <v>33390</v>
      </c>
      <c r="F27" s="3">
        <f>F$25*$D$19*(1+$D$17)</f>
        <v>66780</v>
      </c>
      <c r="G27" s="3">
        <f t="shared" ref="G27:I27" si="1">G$25*$D$19*(1+$D$17)</f>
        <v>100170</v>
      </c>
      <c r="H27" s="3">
        <f t="shared" si="1"/>
        <v>133560</v>
      </c>
      <c r="I27" s="3">
        <f t="shared" si="1"/>
        <v>166950</v>
      </c>
    </row>
    <row r="28" spans="1:9" x14ac:dyDescent="0.25">
      <c r="C28" t="s">
        <v>204</v>
      </c>
      <c r="E28" s="3">
        <f>(PhiMayCanMang(E$25*2,$C$15/100,$D$15/100) + PhiMangCan(E$25*2,$C$15/100,$D$15/100,$D$21))*(1+$D$17)</f>
        <v>79983.043174999999</v>
      </c>
      <c r="F28" s="3">
        <f>(PhiMayCanMang(F$25*2,$C$15/100,$D$15/100) + PhiMangCan(F$25*2,$C$15/100,$D$15/100,$D$21))*(1+$D$17)</f>
        <v>95799.419800000003</v>
      </c>
      <c r="G28" s="3">
        <f>(PhiMayCanMang(G$25*2,$C$15/100,$D$15/100) + PhiMangCan(G$25*2,$C$15/100,$D$15/100,$D$21))*(1+$D$17)</f>
        <v>111615.79449999999</v>
      </c>
      <c r="H28" s="3">
        <f>(PhiMayCanMang(H$25*2,$C$15/100,$D$15/100) + PhiMangCan(H$25*2,$C$15/100,$D$15/100,$D$21))*(1+$D$17)</f>
        <v>127432.17305000001</v>
      </c>
      <c r="I28" s="3">
        <f>(PhiMayCanMang(I$25*2,$C$15/100,$D$15/100) + PhiMangCan(I$25*2,$C$15/100,$D$15/100,$D$21))*(1+$D$17)</f>
        <v>143248.54792499999</v>
      </c>
    </row>
    <row r="29" spans="1:9" x14ac:dyDescent="0.25">
      <c r="C29" t="s">
        <v>228</v>
      </c>
      <c r="E29" s="3"/>
      <c r="F29" s="3"/>
      <c r="G29" s="3"/>
      <c r="H29" s="3"/>
      <c r="I29" s="3"/>
    </row>
    <row r="30" spans="1:9" x14ac:dyDescent="0.25">
      <c r="C30" t="s">
        <v>223</v>
      </c>
      <c r="E30" s="7" t="e">
        <f ca="1">LamChanHangNgan(E$26+E$27+E$29)</f>
        <v>#VALUE!</v>
      </c>
      <c r="F30" s="7" t="e">
        <f t="shared" ref="F30:I30" ca="1" si="2">LamChanHangNgan(F$26+F$27+F$29)</f>
        <v>#VALUE!</v>
      </c>
      <c r="G30" s="7" t="e">
        <f t="shared" ca="1" si="2"/>
        <v>#VALUE!</v>
      </c>
      <c r="H30" s="7" t="e">
        <f t="shared" ca="1" si="2"/>
        <v>#VALUE!</v>
      </c>
      <c r="I30" s="7" t="e">
        <f t="shared" ca="1" si="2"/>
        <v>#VALUE!</v>
      </c>
    </row>
    <row r="31" spans="1:9" x14ac:dyDescent="0.25">
      <c r="C31" t="s">
        <v>224</v>
      </c>
      <c r="E31" s="7" t="e">
        <f ca="1">LamChanHangNgan(E$26+E$27+E$28+E$29)</f>
        <v>#VALUE!</v>
      </c>
      <c r="F31" s="7" t="e">
        <f t="shared" ref="F31:I31" ca="1" si="3">LamChanHangNgan(F$26+F$27+F$28+F$29)</f>
        <v>#VALUE!</v>
      </c>
      <c r="G31" s="7" t="e">
        <f t="shared" ca="1" si="3"/>
        <v>#VALUE!</v>
      </c>
      <c r="H31" s="7" t="e">
        <f t="shared" ca="1" si="3"/>
        <v>#VALUE!</v>
      </c>
      <c r="I31" s="7" t="e">
        <f t="shared" ca="1" si="3"/>
        <v>#VALUE!</v>
      </c>
    </row>
    <row r="32" spans="1:9" x14ac:dyDescent="0.25">
      <c r="A32">
        <v>14</v>
      </c>
      <c r="B32">
        <f>$A32*E$24</f>
        <v>140</v>
      </c>
      <c r="C32" t="s">
        <v>226</v>
      </c>
      <c r="E32">
        <f>($A32*E$24/2)/$D$16</f>
        <v>17.5</v>
      </c>
      <c r="F32">
        <f t="shared" ref="F32:I32" si="4">($A32*F$24/2)/$D$16</f>
        <v>35</v>
      </c>
      <c r="G32">
        <f t="shared" si="4"/>
        <v>52.5</v>
      </c>
      <c r="H32">
        <f t="shared" si="4"/>
        <v>70</v>
      </c>
      <c r="I32">
        <f t="shared" si="4"/>
        <v>87.5</v>
      </c>
    </row>
    <row r="33" spans="1:9" x14ac:dyDescent="0.25">
      <c r="C33" t="s">
        <v>200</v>
      </c>
      <c r="E33" s="8" t="e">
        <f ca="1">PhiInKM4M_BHR70(E32*$E$16*2)*(1+$D$17)</f>
        <v>#NAME?</v>
      </c>
      <c r="F33" s="8" t="e">
        <f ca="1">PhiInKM4M_BHR70(F32*$E$16*2)*(1+$D$17)</f>
        <v>#NAME?</v>
      </c>
      <c r="G33" s="8" t="e">
        <f ca="1">PhiInKM4M_BHR70(G32*$E$16*2)*(1+$D$17)</f>
        <v>#NAME?</v>
      </c>
      <c r="H33" s="8" t="e">
        <f ca="1">PhiInKM4M_BHR70(H32*$E$16*2)*(1+$D$17)</f>
        <v>#NAME?</v>
      </c>
      <c r="I33" s="8" t="e">
        <f ca="1">PhiInKM4M_BHR70(I32*$E$16*2)*(1+$D$17)</f>
        <v>#NAME?</v>
      </c>
    </row>
    <row r="34" spans="1:9" x14ac:dyDescent="0.25">
      <c r="C34" t="s">
        <v>227</v>
      </c>
      <c r="E34" s="8">
        <f>E32*$D$19*(1+$D$17)</f>
        <v>38955</v>
      </c>
      <c r="F34" s="8">
        <f t="shared" ref="F34:I34" si="5">F32*$D$19*(1+$D$17)</f>
        <v>77910</v>
      </c>
      <c r="G34" s="8">
        <f t="shared" si="5"/>
        <v>116865</v>
      </c>
      <c r="H34" s="8">
        <f t="shared" si="5"/>
        <v>155820</v>
      </c>
      <c r="I34" s="8">
        <f t="shared" si="5"/>
        <v>194775</v>
      </c>
    </row>
    <row r="35" spans="1:9" x14ac:dyDescent="0.25">
      <c r="C35" t="s">
        <v>204</v>
      </c>
      <c r="E35" s="8">
        <f>(PhiMayCanMang(E32*2,$C$15/100,$D$15/100) + PhiMangCan(E32*2,$C$15/100,$D$15/100,$D$21))*(1+$D$17)</f>
        <v>82468.125249999997</v>
      </c>
      <c r="F35" s="8">
        <f>(PhiMayCanMang(F32*2,$C$15/100,$D$15/100) + PhiMangCan(F32*2,$C$15/100,$D$15/100,$D$21))*(1+$D$17)</f>
        <v>101222.52525000001</v>
      </c>
      <c r="G35" s="8">
        <f>(PhiMayCanMang(G32*2,$C$15/100,$D$15/100) + PhiMangCan(G32*2,$C$15/100,$D$15/100,$D$21))*(1+$D$17)</f>
        <v>119523.98377500002</v>
      </c>
      <c r="H35" s="8">
        <f>(PhiMayCanMang(H32*2,$C$15/100,$D$15/100) + PhiMangCan(H32*2,$C$15/100,$D$15/100,$D$21))*(1+$D$17)</f>
        <v>138278.3836</v>
      </c>
      <c r="I35" s="8">
        <f>(PhiMayCanMang(I32*2,$C$15/100,$D$15/100) + PhiMangCan(I32*2,$C$15/100,$D$15/100,$D$21))*(1+$D$17)</f>
        <v>156579.84230000002</v>
      </c>
    </row>
    <row r="36" spans="1:9" x14ac:dyDescent="0.25">
      <c r="C36" t="s">
        <v>228</v>
      </c>
      <c r="E36" s="8"/>
      <c r="F36" s="8"/>
      <c r="G36" s="8"/>
      <c r="H36" s="8"/>
      <c r="I36" s="8"/>
    </row>
    <row r="37" spans="1:9" x14ac:dyDescent="0.25">
      <c r="C37" t="s">
        <v>223</v>
      </c>
      <c r="E37" s="23" t="e">
        <f ca="1">LamChanHangNgan(E33+E34+E36)</f>
        <v>#VALUE!</v>
      </c>
      <c r="F37" s="23" t="e">
        <f t="shared" ref="F37:I37" ca="1" si="6">LamChanHangNgan(F33+F34+F36)</f>
        <v>#VALUE!</v>
      </c>
      <c r="G37" s="23" t="e">
        <f t="shared" ca="1" si="6"/>
        <v>#VALUE!</v>
      </c>
      <c r="H37" s="23" t="e">
        <f t="shared" ca="1" si="6"/>
        <v>#VALUE!</v>
      </c>
      <c r="I37" s="23" t="e">
        <f t="shared" ca="1" si="6"/>
        <v>#VALUE!</v>
      </c>
    </row>
    <row r="38" spans="1:9" x14ac:dyDescent="0.25">
      <c r="C38" t="s">
        <v>224</v>
      </c>
      <c r="E38" s="23" t="e">
        <f ca="1">LamChanHangNgan(E33+E34+E35+E36)</f>
        <v>#VALUE!</v>
      </c>
      <c r="F38" s="23" t="e">
        <f t="shared" ref="F38:I38" ca="1" si="7">LamChanHangNgan(F33+F34+F35+F36)</f>
        <v>#VALUE!</v>
      </c>
      <c r="G38" s="23" t="e">
        <f t="shared" ca="1" si="7"/>
        <v>#VALUE!</v>
      </c>
      <c r="H38" s="23" t="e">
        <f t="shared" ca="1" si="7"/>
        <v>#VALUE!</v>
      </c>
      <c r="I38" s="23" t="e">
        <f t="shared" ca="1" si="7"/>
        <v>#VALUE!</v>
      </c>
    </row>
    <row r="39" spans="1:9" x14ac:dyDescent="0.25">
      <c r="A39">
        <v>16</v>
      </c>
      <c r="B39">
        <f>$A39*E$24</f>
        <v>160</v>
      </c>
      <c r="C39" t="s">
        <v>226</v>
      </c>
      <c r="E39">
        <f>($A39*E$24/2)/$D$16</f>
        <v>20</v>
      </c>
      <c r="F39">
        <f t="shared" ref="F39:I39" si="8">($A39*F$24/2)/$D$16</f>
        <v>40</v>
      </c>
      <c r="G39">
        <f t="shared" si="8"/>
        <v>60</v>
      </c>
      <c r="H39">
        <f t="shared" si="8"/>
        <v>80</v>
      </c>
      <c r="I39">
        <f t="shared" si="8"/>
        <v>100</v>
      </c>
    </row>
    <row r="40" spans="1:9" x14ac:dyDescent="0.25">
      <c r="C40" t="s">
        <v>200</v>
      </c>
      <c r="E40" t="e">
        <f ca="1">PhiInKM4M_BHR70(E39*$E$16*2)*(1+$D$17)</f>
        <v>#NAME?</v>
      </c>
      <c r="F40" t="e">
        <f ca="1">PhiInKM4M_BHR70(F39*$E$16*2)*(1+$D$17)</f>
        <v>#NAME?</v>
      </c>
      <c r="G40" t="e">
        <f ca="1">PhiInKM4M_BHR70(G39*$E$16*2)*(1+$D$17)</f>
        <v>#NAME?</v>
      </c>
      <c r="H40" t="e">
        <f ca="1">PhiInKM4M_BHR70(H39*$E$16*2)*(1+$D$17)</f>
        <v>#NAME?</v>
      </c>
      <c r="I40" t="e">
        <f ca="1">PhiInKM4M_BHR70(I39*$E$16*2)*(1+$D$17)</f>
        <v>#NAME?</v>
      </c>
    </row>
    <row r="41" spans="1:9" x14ac:dyDescent="0.25">
      <c r="C41" t="s">
        <v>227</v>
      </c>
      <c r="E41">
        <f>E39*$D$19*(1+$D$17)</f>
        <v>44520</v>
      </c>
      <c r="F41">
        <f t="shared" ref="F41:I41" si="9">F39*$D$19*(1+$D$17)</f>
        <v>89040</v>
      </c>
      <c r="G41">
        <f t="shared" si="9"/>
        <v>133560</v>
      </c>
      <c r="H41">
        <f t="shared" si="9"/>
        <v>178080</v>
      </c>
      <c r="I41">
        <f t="shared" si="9"/>
        <v>222600</v>
      </c>
    </row>
    <row r="42" spans="1:9" x14ac:dyDescent="0.25">
      <c r="C42" t="s">
        <v>204</v>
      </c>
      <c r="E42">
        <f>(PhiMayCanMang(E39*2,$C$15/100,$D$15/100) + PhiMangCan(E39*2,$C$15/100,$D$15/100,$D$21))*(1+$D$17)</f>
        <v>85406.148625000002</v>
      </c>
      <c r="F42">
        <f>(PhiMayCanMang(F39*2,$C$15/100,$D$15/100) + PhiMangCan(F39*2,$C$15/100,$D$15/100,$D$21))*(1+$D$17)</f>
        <v>106645.63035000001</v>
      </c>
      <c r="G42">
        <f>(PhiMayCanMang(G39*2,$C$15/100,$D$15/100) + PhiMangCan(G39*2,$C$15/100,$D$15/100,$D$21))*(1+$D$17)</f>
        <v>127432.17305000001</v>
      </c>
      <c r="H42">
        <f>(PhiMayCanMang(H39*2,$C$15/100,$D$15/100) + PhiMangCan(H39*2,$C$15/100,$D$15/100,$D$21))*(1+$D$17)</f>
        <v>148671.65302500001</v>
      </c>
      <c r="I42">
        <f>(PhiMayCanMang(I39*2,$C$15/100,$D$15/100) + PhiMangCan(I39*2,$C$15/100,$D$15/100,$D$21))*(1+$D$17)</f>
        <v>169911.137025</v>
      </c>
    </row>
    <row r="43" spans="1:9" x14ac:dyDescent="0.25">
      <c r="C43" t="s">
        <v>228</v>
      </c>
    </row>
    <row r="44" spans="1:9" x14ac:dyDescent="0.25">
      <c r="C44" t="s">
        <v>223</v>
      </c>
      <c r="E44" s="7" t="e">
        <f ca="1">LamChanHangNgan(E40+E41+E43)</f>
        <v>#VALUE!</v>
      </c>
      <c r="F44" s="7" t="e">
        <f t="shared" ref="F44:I44" ca="1" si="10">LamChanHangNgan(F40+F41+F43)</f>
        <v>#VALUE!</v>
      </c>
      <c r="G44" s="7" t="e">
        <f t="shared" ca="1" si="10"/>
        <v>#VALUE!</v>
      </c>
      <c r="H44" s="7" t="e">
        <f t="shared" ca="1" si="10"/>
        <v>#VALUE!</v>
      </c>
      <c r="I44" s="7" t="e">
        <f t="shared" ca="1" si="10"/>
        <v>#VALUE!</v>
      </c>
    </row>
    <row r="45" spans="1:9" x14ac:dyDescent="0.25">
      <c r="C45" t="s">
        <v>224</v>
      </c>
      <c r="E45" s="7" t="e">
        <f ca="1">LamChanHangNgan(E40+E41+E42+E43)</f>
        <v>#VALUE!</v>
      </c>
      <c r="F45" s="7" t="e">
        <f t="shared" ref="F45:I45" ca="1" si="11">LamChanHangNgan(F40+F41+F42+F43)</f>
        <v>#VALUE!</v>
      </c>
      <c r="G45" s="7" t="e">
        <f t="shared" ca="1" si="11"/>
        <v>#VALUE!</v>
      </c>
      <c r="H45" s="7" t="e">
        <f t="shared" ca="1" si="11"/>
        <v>#VALUE!</v>
      </c>
      <c r="I45" s="7" t="e">
        <f t="shared" ca="1" si="11"/>
        <v>#VALUE!</v>
      </c>
    </row>
    <row r="46" spans="1:9" x14ac:dyDescent="0.25">
      <c r="A46">
        <v>18</v>
      </c>
      <c r="B46">
        <f>$A46*E$24</f>
        <v>180</v>
      </c>
      <c r="C46" t="s">
        <v>226</v>
      </c>
      <c r="E46">
        <f>($A46*E$24/2)/$D$16</f>
        <v>22.5</v>
      </c>
      <c r="F46">
        <f t="shared" ref="F46:I46" si="12">($A46*F$24/2)/$D$16</f>
        <v>45</v>
      </c>
      <c r="G46">
        <f t="shared" si="12"/>
        <v>67.5</v>
      </c>
      <c r="H46">
        <f t="shared" si="12"/>
        <v>90</v>
      </c>
      <c r="I46">
        <f t="shared" si="12"/>
        <v>112.5</v>
      </c>
    </row>
    <row r="47" spans="1:9" x14ac:dyDescent="0.25">
      <c r="C47" t="s">
        <v>200</v>
      </c>
      <c r="E47" t="e">
        <f ca="1">PhiInKM4M_BHR70(E46*$E$16*2)*(1+$D$17)</f>
        <v>#NAME?</v>
      </c>
      <c r="F47" t="e">
        <f ca="1">PhiInKM4M_BHR70(F46*$E$16*2)*(1+$D$17)</f>
        <v>#NAME?</v>
      </c>
      <c r="G47" t="e">
        <f ca="1">PhiInKM4M_BHR70(G46*$E$16*2)*(1+$D$17)</f>
        <v>#NAME?</v>
      </c>
      <c r="H47" t="e">
        <f ca="1">PhiInKM4M_BHR70(H46*$E$16*2)*(1+$D$17)</f>
        <v>#NAME?</v>
      </c>
      <c r="I47" t="e">
        <f ca="1">PhiInKM4M_BHR70(I46*$E$16*2)*(1+$D$17)</f>
        <v>#NAME?</v>
      </c>
    </row>
    <row r="48" spans="1:9" x14ac:dyDescent="0.25">
      <c r="C48" t="s">
        <v>227</v>
      </c>
      <c r="E48">
        <f>E46*$D$19*(1+$D$17)</f>
        <v>50085</v>
      </c>
      <c r="F48">
        <f t="shared" ref="F48:I48" si="13">F46*$D$19*(1+$D$17)</f>
        <v>100170</v>
      </c>
      <c r="G48">
        <f t="shared" si="13"/>
        <v>150255</v>
      </c>
      <c r="H48">
        <f t="shared" si="13"/>
        <v>200340</v>
      </c>
      <c r="I48">
        <f t="shared" si="13"/>
        <v>250425</v>
      </c>
    </row>
    <row r="49" spans="1:9" x14ac:dyDescent="0.25">
      <c r="C49" t="s">
        <v>204</v>
      </c>
      <c r="E49">
        <f>(PhiMayCanMang(E46*2,$C$15/100,$D$15/100) + PhiMangCan(E46*2,$C$15/100,$D$15/100,$D$21))*(1+$D$17)</f>
        <v>87891.230525000006</v>
      </c>
      <c r="F49">
        <f>(PhiMayCanMang(F46*2,$C$15/100,$D$15/100) + PhiMangCan(F46*2,$C$15/100,$D$15/100,$D$21))*(1+$D$17)</f>
        <v>111615.79449999999</v>
      </c>
      <c r="G49">
        <f>(PhiMayCanMang(G46*2,$C$15/100,$D$15/100) + PhiMangCan(G46*2,$C$15/100,$D$15/100,$D$21))*(1+$D$17)</f>
        <v>135340.35847499999</v>
      </c>
      <c r="H49">
        <f>(PhiMayCanMang(H46*2,$C$15/100,$D$15/100) + PhiMangCan(H46*2,$C$15/100,$D$15/100,$D$21))*(1+$D$17)</f>
        <v>159517.863575</v>
      </c>
      <c r="I49">
        <f>(PhiMayCanMang(I46*2,$C$15/100,$D$15/100) + PhiMangCan(I46*2,$C$15/100,$D$15/100,$D$21))*(1+$D$17)</f>
        <v>183242.431575</v>
      </c>
    </row>
    <row r="50" spans="1:9" x14ac:dyDescent="0.25">
      <c r="C50" t="s">
        <v>228</v>
      </c>
    </row>
    <row r="51" spans="1:9" x14ac:dyDescent="0.25">
      <c r="C51" t="s">
        <v>223</v>
      </c>
      <c r="E51" s="7" t="e">
        <f ca="1">LamChanHangNgan(E47+E48+E50)</f>
        <v>#VALUE!</v>
      </c>
      <c r="F51" s="7" t="e">
        <f t="shared" ref="F51:I51" ca="1" si="14">LamChanHangNgan(F47+F48+F50)</f>
        <v>#VALUE!</v>
      </c>
      <c r="G51" s="7" t="e">
        <f t="shared" ca="1" si="14"/>
        <v>#VALUE!</v>
      </c>
      <c r="H51" s="7" t="e">
        <f t="shared" ca="1" si="14"/>
        <v>#VALUE!</v>
      </c>
      <c r="I51" s="7" t="e">
        <f t="shared" ca="1" si="14"/>
        <v>#VALUE!</v>
      </c>
    </row>
    <row r="52" spans="1:9" x14ac:dyDescent="0.25">
      <c r="C52" t="s">
        <v>224</v>
      </c>
      <c r="E52" s="7" t="e">
        <f ca="1">LamChanHangNgan(E47+E48+E49+E50)</f>
        <v>#VALUE!</v>
      </c>
      <c r="F52" s="7" t="e">
        <f t="shared" ref="F52:I52" ca="1" si="15">LamChanHangNgan(F47+F48+F49+F50)</f>
        <v>#VALUE!</v>
      </c>
      <c r="G52" s="7" t="e">
        <f t="shared" ca="1" si="15"/>
        <v>#VALUE!</v>
      </c>
      <c r="H52" s="7" t="e">
        <f t="shared" ca="1" si="15"/>
        <v>#VALUE!</v>
      </c>
      <c r="I52" s="7" t="e">
        <f t="shared" ca="1" si="15"/>
        <v>#VALUE!</v>
      </c>
    </row>
    <row r="53" spans="1:9" x14ac:dyDescent="0.25">
      <c r="A53">
        <v>20</v>
      </c>
      <c r="B53">
        <f>$A53*E$24</f>
        <v>200</v>
      </c>
      <c r="C53" t="s">
        <v>226</v>
      </c>
      <c r="E53">
        <f>($A53*E$24/2)/$D$16</f>
        <v>25</v>
      </c>
      <c r="F53">
        <f t="shared" ref="F53:I53" si="16">($A53*F$24/2)/$D$16</f>
        <v>50</v>
      </c>
      <c r="G53">
        <f t="shared" si="16"/>
        <v>75</v>
      </c>
      <c r="H53">
        <f t="shared" si="16"/>
        <v>100</v>
      </c>
      <c r="I53">
        <f t="shared" si="16"/>
        <v>125</v>
      </c>
    </row>
    <row r="54" spans="1:9" x14ac:dyDescent="0.25">
      <c r="C54" t="s">
        <v>200</v>
      </c>
      <c r="E54" t="e">
        <f ca="1">PhiInKM4M_BHR70(E53*$E$16*2)*(1+$D$17)</f>
        <v>#NAME?</v>
      </c>
      <c r="F54" t="e">
        <f ca="1">PhiInKM4M_BHR70(F53*$E$16*2)*(1+$D$17)</f>
        <v>#NAME?</v>
      </c>
      <c r="G54" t="e">
        <f ca="1">PhiInKM4M_BHR70(G53*$E$16*2)*(1+$D$17)</f>
        <v>#NAME?</v>
      </c>
      <c r="H54" t="e">
        <f ca="1">PhiInKM4M_BHR70(H53*$E$16*2)*(1+$D$17)</f>
        <v>#NAME?</v>
      </c>
      <c r="I54" t="e">
        <f ca="1">PhiInKM4M_BHR70(I53*$E$16*2)*(1+$D$17)</f>
        <v>#NAME?</v>
      </c>
    </row>
    <row r="55" spans="1:9" x14ac:dyDescent="0.25">
      <c r="C55" t="s">
        <v>227</v>
      </c>
      <c r="E55">
        <f>E53*$D$19*(1+$D$17)</f>
        <v>55650</v>
      </c>
      <c r="F55">
        <f t="shared" ref="F55:I55" si="17">F53*$D$19*(1+$D$17)</f>
        <v>111300</v>
      </c>
      <c r="G55">
        <f t="shared" si="17"/>
        <v>166950</v>
      </c>
      <c r="H55">
        <f t="shared" si="17"/>
        <v>222600</v>
      </c>
      <c r="I55">
        <f t="shared" si="17"/>
        <v>278250</v>
      </c>
    </row>
    <row r="56" spans="1:9" x14ac:dyDescent="0.25">
      <c r="C56" t="s">
        <v>204</v>
      </c>
      <c r="E56">
        <f>(PhiMayCanMang(E53*2,$C$15/100,$D$15/100) + PhiMangCan(E53*2,$C$15/100,$D$15/100,$D$21))*(1+$D$17)</f>
        <v>90376.313649999996</v>
      </c>
      <c r="F56">
        <f>(PhiMayCanMang(F53*2,$C$15/100,$D$15/100) + PhiMangCan(F53*2,$C$15/100,$D$15/100,$D$21))*(1+$D$17)</f>
        <v>117038.901875</v>
      </c>
      <c r="G56">
        <f>(PhiMayCanMang(G53*2,$C$15/100,$D$15/100) + PhiMangCan(G53*2,$C$15/100,$D$15/100,$D$21))*(1+$D$17)</f>
        <v>143248.54792499999</v>
      </c>
      <c r="H56">
        <f>(PhiMayCanMang(H53*2,$C$15/100,$D$15/100) + PhiMangCan(H53*2,$C$15/100,$D$15/100,$D$21))*(1+$D$17)</f>
        <v>169911.137025</v>
      </c>
      <c r="I56">
        <f>(PhiMayCanMang(I53*2,$C$15/100,$D$15/100) + PhiMangCan(I53*2,$C$15/100,$D$15/100,$D$21))*(1+$D$17)</f>
        <v>196120.780975</v>
      </c>
    </row>
    <row r="57" spans="1:9" x14ac:dyDescent="0.25">
      <c r="C57" t="s">
        <v>228</v>
      </c>
    </row>
    <row r="58" spans="1:9" x14ac:dyDescent="0.25">
      <c r="C58" t="s">
        <v>223</v>
      </c>
      <c r="E58" s="7" t="e">
        <f ca="1">LamChanHangNgan(E54+E55+E57)</f>
        <v>#VALUE!</v>
      </c>
      <c r="F58" s="7" t="e">
        <f t="shared" ref="F58:I58" ca="1" si="18">LamChanHangNgan(F54+F55+F57)</f>
        <v>#VALUE!</v>
      </c>
      <c r="G58" s="7" t="e">
        <f t="shared" ca="1" si="18"/>
        <v>#VALUE!</v>
      </c>
      <c r="H58" s="7" t="e">
        <f t="shared" ca="1" si="18"/>
        <v>#VALUE!</v>
      </c>
      <c r="I58" s="7" t="e">
        <f t="shared" ca="1" si="18"/>
        <v>#VALUE!</v>
      </c>
    </row>
    <row r="59" spans="1:9" ht="14.25" customHeight="1" x14ac:dyDescent="0.25">
      <c r="C59" t="s">
        <v>224</v>
      </c>
      <c r="E59" s="7" t="e">
        <f ca="1">LamChanHangNgan(E54+E55+E56+E57)</f>
        <v>#VALUE!</v>
      </c>
      <c r="F59" s="7" t="e">
        <f t="shared" ref="F59:I59" ca="1" si="19">LamChanHangNgan(F54+F55+F56+F57)</f>
        <v>#VALUE!</v>
      </c>
      <c r="G59" s="7" t="e">
        <f t="shared" ca="1" si="19"/>
        <v>#VALUE!</v>
      </c>
      <c r="H59" s="7" t="e">
        <f t="shared" ca="1" si="19"/>
        <v>#VALUE!</v>
      </c>
      <c r="I59" s="7" t="e">
        <f t="shared" ca="1" si="19"/>
        <v>#VALUE!</v>
      </c>
    </row>
    <row r="60" spans="1:9" x14ac:dyDescent="0.25">
      <c r="A60">
        <v>22</v>
      </c>
      <c r="B60">
        <f>$A60*E$24</f>
        <v>220</v>
      </c>
      <c r="C60" t="s">
        <v>226</v>
      </c>
      <c r="E60">
        <f>($A60*E$24/2)/$D$16</f>
        <v>27.5</v>
      </c>
      <c r="F60">
        <f t="shared" ref="F60:I60" si="20">($A60*F$24/2)/$D$16</f>
        <v>55</v>
      </c>
      <c r="G60">
        <f t="shared" si="20"/>
        <v>82.5</v>
      </c>
      <c r="H60">
        <f t="shared" si="20"/>
        <v>110</v>
      </c>
      <c r="I60">
        <f t="shared" si="20"/>
        <v>137.5</v>
      </c>
    </row>
    <row r="61" spans="1:9" x14ac:dyDescent="0.25">
      <c r="C61" t="s">
        <v>200</v>
      </c>
      <c r="E61" t="e">
        <f ca="1">PhiInKM4M_BHR70(E60*$E$16*2)*(1+$D$17)</f>
        <v>#NAME?</v>
      </c>
      <c r="F61" t="e">
        <f ca="1">PhiInKM4M_BHR70(F60*$E$16*2)*(1+$D$17)</f>
        <v>#NAME?</v>
      </c>
      <c r="G61" t="e">
        <f ca="1">PhiInKM4M_BHR70(G60*$E$16*2)*(1+$D$17)</f>
        <v>#NAME?</v>
      </c>
      <c r="H61" t="e">
        <f ca="1">PhiInKM4M_BHR70(H60*$E$16*2)*(1+$D$17)</f>
        <v>#NAME?</v>
      </c>
      <c r="I61" t="e">
        <f ca="1">PhiInKM4M_BHR70(I60*$E$16*2)*(1+$D$17)</f>
        <v>#NAME?</v>
      </c>
    </row>
    <row r="62" spans="1:9" x14ac:dyDescent="0.25">
      <c r="C62" t="s">
        <v>227</v>
      </c>
      <c r="E62">
        <f>E60*$D$19*(1+$D$17)</f>
        <v>61215</v>
      </c>
      <c r="F62">
        <f t="shared" ref="F62:I62" si="21">F60*$D$19*(1+$D$17)</f>
        <v>122430</v>
      </c>
      <c r="G62">
        <f t="shared" si="21"/>
        <v>183645</v>
      </c>
      <c r="H62">
        <f t="shared" si="21"/>
        <v>244860</v>
      </c>
      <c r="I62">
        <f t="shared" si="21"/>
        <v>306075</v>
      </c>
    </row>
    <row r="63" spans="1:9" x14ac:dyDescent="0.25">
      <c r="C63" t="s">
        <v>204</v>
      </c>
      <c r="E63">
        <f>(PhiMayCanMang(E60*2,$C$15/100,$D$15/100) + PhiMangCan(E60*2,$C$15/100,$D$15/100,$D$21))*(1+$D$17)</f>
        <v>93314.335800000001</v>
      </c>
      <c r="F63">
        <f>(PhiMayCanMang(F60*2,$C$15/100,$D$15/100) + PhiMangCan(F60*2,$C$15/100,$D$15/100,$D$21))*(1+$D$17)</f>
        <v>122462.00505000001</v>
      </c>
      <c r="G63">
        <f>(PhiMayCanMang(G60*2,$C$15/100,$D$15/100) + PhiMangCan(G60*2,$C$15/100,$D$15/100,$D$21))*(1+$D$17)</f>
        <v>151609.67832499999</v>
      </c>
      <c r="H63">
        <f>(PhiMayCanMang(H60*2,$C$15/100,$D$15/100) + PhiMangCan(H60*2,$C$15/100,$D$15/100,$D$21))*(1+$D$17)</f>
        <v>180304.40224999998</v>
      </c>
      <c r="I63">
        <f>(PhiMayCanMang(I60*2,$C$15/100,$D$15/100) + PhiMangCan(I60*2,$C$15/100,$D$15/100,$D$21))*(1+$D$17)</f>
        <v>209452.07954999999</v>
      </c>
    </row>
    <row r="64" spans="1:9" x14ac:dyDescent="0.25">
      <c r="C64" t="s">
        <v>228</v>
      </c>
    </row>
    <row r="65" spans="1:9" x14ac:dyDescent="0.25">
      <c r="C65" t="s">
        <v>223</v>
      </c>
      <c r="E65" s="7" t="e">
        <f ca="1">LamChanHangNgan(E61+E62+E64)</f>
        <v>#VALUE!</v>
      </c>
      <c r="F65" s="7" t="e">
        <f t="shared" ref="F65:I65" ca="1" si="22">LamChanHangNgan(F61+F62+F64)</f>
        <v>#VALUE!</v>
      </c>
      <c r="G65" s="7" t="e">
        <f t="shared" ca="1" si="22"/>
        <v>#VALUE!</v>
      </c>
      <c r="H65" s="7" t="e">
        <f t="shared" ca="1" si="22"/>
        <v>#VALUE!</v>
      </c>
      <c r="I65" s="7" t="e">
        <f t="shared" ca="1" si="22"/>
        <v>#VALUE!</v>
      </c>
    </row>
    <row r="66" spans="1:9" x14ac:dyDescent="0.25">
      <c r="C66" t="s">
        <v>224</v>
      </c>
      <c r="E66" s="7" t="e">
        <f ca="1">LamChanHangNgan(E61+E62+E63+E64)</f>
        <v>#VALUE!</v>
      </c>
      <c r="F66" s="7" t="e">
        <f t="shared" ref="F66:I66" ca="1" si="23">LamChanHangNgan(F61+F62+F63+F64)</f>
        <v>#VALUE!</v>
      </c>
      <c r="G66" s="7" t="e">
        <f t="shared" ca="1" si="23"/>
        <v>#VALUE!</v>
      </c>
      <c r="H66" s="7" t="e">
        <f t="shared" ca="1" si="23"/>
        <v>#VALUE!</v>
      </c>
      <c r="I66" s="7" t="e">
        <f t="shared" ca="1" si="23"/>
        <v>#VALUE!</v>
      </c>
    </row>
    <row r="67" spans="1:9" x14ac:dyDescent="0.25">
      <c r="A67">
        <v>24</v>
      </c>
      <c r="B67">
        <f>$A67*E$24</f>
        <v>240</v>
      </c>
      <c r="C67" t="s">
        <v>226</v>
      </c>
      <c r="E67">
        <f>($A67*E$24/2)/$D$16</f>
        <v>30</v>
      </c>
      <c r="F67">
        <f t="shared" ref="F67:I67" si="24">($A67*F$24/2)/$D$16</f>
        <v>60</v>
      </c>
      <c r="G67">
        <f t="shared" si="24"/>
        <v>90</v>
      </c>
      <c r="H67">
        <f t="shared" si="24"/>
        <v>120</v>
      </c>
      <c r="I67">
        <f t="shared" si="24"/>
        <v>150</v>
      </c>
    </row>
    <row r="68" spans="1:9" x14ac:dyDescent="0.25">
      <c r="C68" t="s">
        <v>200</v>
      </c>
      <c r="E68" t="e">
        <f ca="1">PhiInKM4M_BHR70(E67*$E$16*2)*(1+$D$17)</f>
        <v>#NAME?</v>
      </c>
      <c r="F68" t="e">
        <f ca="1">PhiInKM4M_BHR70(F67*$E$16*2)*(1+$D$17)</f>
        <v>#NAME?</v>
      </c>
      <c r="G68" t="e">
        <f ca="1">PhiInKM4M_BHR70(G67*$E$16*2)*(1+$D$17)</f>
        <v>#NAME?</v>
      </c>
      <c r="H68" t="e">
        <f ca="1">PhiInKM4M_BHR70(H67*$E$16*2)*(1+$D$17)</f>
        <v>#NAME?</v>
      </c>
      <c r="I68" t="e">
        <f ca="1">PhiInKM4M_BHR70(I67*$E$16*2)*(1+$D$17)</f>
        <v>#NAME?</v>
      </c>
    </row>
    <row r="69" spans="1:9" x14ac:dyDescent="0.25">
      <c r="C69" t="s">
        <v>227</v>
      </c>
      <c r="E69">
        <f>E67*$D$19*(1+$D$17)</f>
        <v>66780</v>
      </c>
      <c r="F69">
        <f t="shared" ref="F69:I69" si="25">F67*$D$19*(1+$D$17)</f>
        <v>133560</v>
      </c>
      <c r="G69">
        <f t="shared" si="25"/>
        <v>200340</v>
      </c>
      <c r="H69">
        <f t="shared" si="25"/>
        <v>267120</v>
      </c>
      <c r="I69">
        <f t="shared" si="25"/>
        <v>333900</v>
      </c>
    </row>
    <row r="70" spans="1:9" x14ac:dyDescent="0.25">
      <c r="C70" t="s">
        <v>204</v>
      </c>
      <c r="E70">
        <f>(PhiMayCanMang(E67*2,$C$15/100,$D$15/100) + PhiMangCan(E67*2,$C$15/100,$D$15/100,$D$21))*(1+$D$17)</f>
        <v>95799.419800000003</v>
      </c>
      <c r="F70">
        <f>(PhiMayCanMang(F67*2,$C$15/100,$D$15/100) + PhiMangCan(F67*2,$C$15/100,$D$15/100,$D$21))*(1+$D$17)</f>
        <v>127432.17305000001</v>
      </c>
      <c r="G70">
        <f>(PhiMayCanMang(G67*2,$C$15/100,$D$15/100) + PhiMangCan(G67*2,$C$15/100,$D$15/100,$D$21))*(1+$D$17)</f>
        <v>159517.863575</v>
      </c>
      <c r="H70">
        <f>(PhiMayCanMang(H67*2,$C$15/100,$D$15/100) + PhiMangCan(H67*2,$C$15/100,$D$15/100,$D$21))*(1+$D$17)</f>
        <v>191150.62084999998</v>
      </c>
      <c r="I70">
        <f>(PhiMayCanMang(I67*2,$C$15/100,$D$15/100) + PhiMangCan(I67*2,$C$15/100,$D$15/100,$D$21))*(1+$D$17)</f>
        <v>222783.37007499998</v>
      </c>
    </row>
    <row r="71" spans="1:9" x14ac:dyDescent="0.25">
      <c r="C71" t="s">
        <v>228</v>
      </c>
    </row>
    <row r="72" spans="1:9" x14ac:dyDescent="0.25">
      <c r="C72" t="s">
        <v>223</v>
      </c>
      <c r="E72" s="7" t="e">
        <f ca="1">LamChanHangNgan(E68+E69+E71)</f>
        <v>#VALUE!</v>
      </c>
      <c r="F72" s="7" t="e">
        <f t="shared" ref="F72:I72" ca="1" si="26">LamChanHangNgan(F68+F69+F71)</f>
        <v>#VALUE!</v>
      </c>
      <c r="G72" s="7" t="e">
        <f t="shared" ca="1" si="26"/>
        <v>#VALUE!</v>
      </c>
      <c r="H72" s="7" t="e">
        <f t="shared" ca="1" si="26"/>
        <v>#VALUE!</v>
      </c>
      <c r="I72" s="7" t="e">
        <f t="shared" ca="1" si="26"/>
        <v>#VALUE!</v>
      </c>
    </row>
    <row r="73" spans="1:9" x14ac:dyDescent="0.25">
      <c r="C73" t="s">
        <v>224</v>
      </c>
      <c r="E73" s="7" t="e">
        <f ca="1">LamChanHangNgan(E68+E69+E70+E71)</f>
        <v>#VALUE!</v>
      </c>
      <c r="F73" s="7" t="e">
        <f t="shared" ref="F73:I73" ca="1" si="27">LamChanHangNgan(F68+F69+F70+F71)</f>
        <v>#VALUE!</v>
      </c>
      <c r="G73" s="7" t="e">
        <f t="shared" ca="1" si="27"/>
        <v>#VALUE!</v>
      </c>
      <c r="H73" s="7" t="e">
        <f t="shared" ca="1" si="27"/>
        <v>#VALUE!</v>
      </c>
      <c r="I73" s="7" t="e">
        <f t="shared" ca="1" si="27"/>
        <v>#VALUE!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676ACABF-ABC4-4E34-84C4-770BA55DA6DF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59B54508-4DDF-445C-B6FE-85FF79F2FBC0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4E7E932A-1E9F-4872-8EB4-564B061591AC}">
      <formula1>OFFSET(GIA_GIAY_CO_BAN,1,0,,1)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422E8-40C3-44C4-9650-8FCA3418DEC1}">
  <sheetPr codeName="Trang_tính18"/>
  <dimension ref="A1:I73"/>
  <sheetViews>
    <sheetView topLeftCell="A15" workbookViewId="0">
      <selection activeCell="D29" sqref="D29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256</v>
      </c>
    </row>
    <row r="2" spans="1:7" x14ac:dyDescent="0.25">
      <c r="A2" t="s">
        <v>179</v>
      </c>
      <c r="B2" t="s">
        <v>183</v>
      </c>
    </row>
    <row r="3" spans="1:7" x14ac:dyDescent="0.25">
      <c r="A3" t="s">
        <v>184</v>
      </c>
      <c r="B3" t="s">
        <v>32</v>
      </c>
    </row>
    <row r="4" spans="1:7" x14ac:dyDescent="0.25">
      <c r="A4" t="s">
        <v>121</v>
      </c>
      <c r="B4" t="s">
        <v>185</v>
      </c>
    </row>
    <row r="5" spans="1:7" x14ac:dyDescent="0.25">
      <c r="A5" t="s">
        <v>180</v>
      </c>
      <c r="B5" t="s">
        <v>186</v>
      </c>
    </row>
    <row r="6" spans="1:7" x14ac:dyDescent="0.25">
      <c r="A6" t="s">
        <v>187</v>
      </c>
      <c r="B6" t="s">
        <v>188</v>
      </c>
    </row>
    <row r="9" spans="1:7" x14ac:dyDescent="0.25">
      <c r="A9" s="1" t="s">
        <v>181</v>
      </c>
      <c r="B9" t="s">
        <v>196</v>
      </c>
    </row>
    <row r="10" spans="1:7" x14ac:dyDescent="0.25">
      <c r="A10" t="s">
        <v>127</v>
      </c>
      <c r="B10" s="12">
        <v>43609</v>
      </c>
    </row>
    <row r="11" spans="1:7" x14ac:dyDescent="0.25">
      <c r="B11" t="s">
        <v>53</v>
      </c>
      <c r="C11" t="s">
        <v>54</v>
      </c>
      <c r="E11" t="s">
        <v>220</v>
      </c>
      <c r="F11" s="1" t="s">
        <v>221</v>
      </c>
      <c r="G11" s="1" t="s">
        <v>222</v>
      </c>
    </row>
    <row r="12" spans="1:7" x14ac:dyDescent="0.25">
      <c r="A12" t="s">
        <v>119</v>
      </c>
      <c r="D12" t="s">
        <v>194</v>
      </c>
    </row>
    <row r="13" spans="1:7" x14ac:dyDescent="0.25">
      <c r="A13" t="s">
        <v>219</v>
      </c>
      <c r="B13">
        <v>19</v>
      </c>
      <c r="C13">
        <v>30</v>
      </c>
      <c r="D13">
        <v>0.3</v>
      </c>
      <c r="E13">
        <v>0</v>
      </c>
      <c r="F13">
        <f>$B13+$E13+$D13*2</f>
        <v>19.600000000000001</v>
      </c>
      <c r="G13">
        <f>$C13+$D13*2</f>
        <v>30.6</v>
      </c>
    </row>
    <row r="15" spans="1:7" ht="30" x14ac:dyDescent="0.25">
      <c r="A15" t="s">
        <v>117</v>
      </c>
      <c r="B15" s="1" t="s">
        <v>31</v>
      </c>
      <c r="C15">
        <v>32</v>
      </c>
      <c r="D15">
        <v>47</v>
      </c>
      <c r="E15" s="2" t="s">
        <v>130</v>
      </c>
    </row>
    <row r="16" spans="1:7" x14ac:dyDescent="0.25">
      <c r="A16" t="s">
        <v>126</v>
      </c>
      <c r="D16" s="1">
        <f>SoConTrenToLon($C$15,$D$15,$F$13,$G$13)</f>
        <v>2</v>
      </c>
      <c r="E16">
        <v>2</v>
      </c>
    </row>
    <row r="17" spans="1:9" x14ac:dyDescent="0.25">
      <c r="A17" t="s">
        <v>51</v>
      </c>
      <c r="D17" s="14">
        <v>0.75</v>
      </c>
      <c r="E17" s="15" t="s">
        <v>131</v>
      </c>
    </row>
    <row r="18" spans="1:9" x14ac:dyDescent="0.25">
      <c r="B18" t="s">
        <v>122</v>
      </c>
      <c r="C18" t="s">
        <v>123</v>
      </c>
      <c r="D18" t="s">
        <v>125</v>
      </c>
      <c r="E18" t="s">
        <v>124</v>
      </c>
    </row>
    <row r="19" spans="1:9" x14ac:dyDescent="0.25">
      <c r="A19" t="s">
        <v>195</v>
      </c>
      <c r="B19" t="s">
        <v>67</v>
      </c>
      <c r="C19" t="s">
        <v>60</v>
      </c>
      <c r="D19">
        <v>1272</v>
      </c>
      <c r="E19" s="3">
        <f>D19*(1+D17)</f>
        <v>2226</v>
      </c>
    </row>
    <row r="21" spans="1:9" x14ac:dyDescent="0.25">
      <c r="A21" t="s">
        <v>225</v>
      </c>
      <c r="B21" t="s">
        <v>49</v>
      </c>
      <c r="C21" t="s">
        <v>50</v>
      </c>
      <c r="D21">
        <v>1200</v>
      </c>
    </row>
    <row r="23" spans="1:9" x14ac:dyDescent="0.25">
      <c r="A23" t="s">
        <v>199</v>
      </c>
    </row>
    <row r="24" spans="1:9" x14ac:dyDescent="0.25">
      <c r="A24" t="s">
        <v>157</v>
      </c>
      <c r="B24" t="s">
        <v>156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226</v>
      </c>
      <c r="E25">
        <f>($A25*E$24/2)/$D$16</f>
        <v>30</v>
      </c>
      <c r="F25">
        <f t="shared" ref="F25:I25" si="0">($A25*F$24/2)/$D$16</f>
        <v>60</v>
      </c>
      <c r="G25">
        <f t="shared" si="0"/>
        <v>90</v>
      </c>
      <c r="H25">
        <f t="shared" si="0"/>
        <v>120</v>
      </c>
      <c r="I25">
        <f t="shared" si="0"/>
        <v>150</v>
      </c>
    </row>
    <row r="26" spans="1:9" x14ac:dyDescent="0.25">
      <c r="C26" t="s">
        <v>200</v>
      </c>
      <c r="E26" s="3" t="e">
        <f ca="1">PhiInKM4M_BHR70(E$25*$E$16*2)*(1+$D$17)</f>
        <v>#NAME?</v>
      </c>
      <c r="F26" s="3" t="e">
        <f ca="1">PhiInKM4M_BHR70(F$25*$E$16*2)*(1+$D$17)</f>
        <v>#NAME?</v>
      </c>
      <c r="G26" s="3" t="e">
        <f ca="1">PhiInKM4M_BHR70(G$25*$E$16*2)*(1+$D$17)</f>
        <v>#NAME?</v>
      </c>
      <c r="H26" s="3" t="e">
        <f ca="1">PhiInKM4M_BHR70(H$25*$E$16*2)*(1+$D$17)</f>
        <v>#NAME?</v>
      </c>
      <c r="I26" s="3" t="e">
        <f ca="1">PhiInKM4M_BHR70(I$25*$E$16*2)*(1+$D$17)</f>
        <v>#NAME?</v>
      </c>
    </row>
    <row r="27" spans="1:9" x14ac:dyDescent="0.25">
      <c r="C27" t="s">
        <v>227</v>
      </c>
      <c r="E27" s="3">
        <f>E$25*$D$19*(1+$D$17)</f>
        <v>66780</v>
      </c>
      <c r="F27" s="3">
        <f>F$25*$D$19*(1+$D$17)</f>
        <v>133560</v>
      </c>
      <c r="G27" s="3">
        <f t="shared" ref="G27:I27" si="1">G$25*$D$19*(1+$D$17)</f>
        <v>200340</v>
      </c>
      <c r="H27" s="3">
        <f t="shared" si="1"/>
        <v>267120</v>
      </c>
      <c r="I27" s="3">
        <f t="shared" si="1"/>
        <v>333900</v>
      </c>
    </row>
    <row r="28" spans="1:9" x14ac:dyDescent="0.25">
      <c r="C28" t="s">
        <v>204</v>
      </c>
      <c r="E28" s="3">
        <f>(PhiMayCanMang(E$25*2,$C$15/100,$D$15/100) + PhiMangCan(E$25*2,$C$15/100,$D$15/100,$D$21))*(1+$D$17)</f>
        <v>95799.419800000003</v>
      </c>
      <c r="F28" s="3">
        <f>(PhiMayCanMang(F$25*2,$C$15/100,$D$15/100) + PhiMangCan(F$25*2,$C$15/100,$D$15/100,$D$21))*(1+$D$17)</f>
        <v>127432.17305000001</v>
      </c>
      <c r="G28" s="3">
        <f>(PhiMayCanMang(G$25*2,$C$15/100,$D$15/100) + PhiMangCan(G$25*2,$C$15/100,$D$15/100,$D$21))*(1+$D$17)</f>
        <v>159517.863575</v>
      </c>
      <c r="H28" s="3">
        <f>(PhiMayCanMang(H$25*2,$C$15/100,$D$15/100) + PhiMangCan(H$25*2,$C$15/100,$D$15/100,$D$21))*(1+$D$17)</f>
        <v>191150.62084999998</v>
      </c>
      <c r="I28" s="3">
        <f>(PhiMayCanMang(I$25*2,$C$15/100,$D$15/100) + PhiMangCan(I$25*2,$C$15/100,$D$15/100,$D$21))*(1+$D$17)</f>
        <v>222783.37007499998</v>
      </c>
    </row>
    <row r="29" spans="1:9" x14ac:dyDescent="0.25">
      <c r="C29" t="s">
        <v>228</v>
      </c>
      <c r="E29" s="3"/>
      <c r="F29" s="3"/>
      <c r="G29" s="3"/>
      <c r="H29" s="3"/>
      <c r="I29" s="3"/>
    </row>
    <row r="30" spans="1:9" x14ac:dyDescent="0.25">
      <c r="C30" t="s">
        <v>223</v>
      </c>
      <c r="E30" s="7" t="e">
        <f ca="1">LamChanHangNgan(E$26+E$27+E$29)</f>
        <v>#VALUE!</v>
      </c>
      <c r="F30" s="7" t="e">
        <f t="shared" ref="F30:I30" ca="1" si="2">LamChanHangNgan(F$26+F$27+F$29)</f>
        <v>#VALUE!</v>
      </c>
      <c r="G30" s="7" t="e">
        <f t="shared" ca="1" si="2"/>
        <v>#VALUE!</v>
      </c>
      <c r="H30" s="7" t="e">
        <f t="shared" ca="1" si="2"/>
        <v>#VALUE!</v>
      </c>
      <c r="I30" s="7" t="e">
        <f t="shared" ca="1" si="2"/>
        <v>#VALUE!</v>
      </c>
    </row>
    <row r="31" spans="1:9" x14ac:dyDescent="0.25">
      <c r="C31" t="s">
        <v>224</v>
      </c>
      <c r="E31" s="7" t="e">
        <f ca="1">LamChanHangNgan(E$26+E$27+E$28+E$29)</f>
        <v>#VALUE!</v>
      </c>
      <c r="F31" s="7" t="e">
        <f t="shared" ref="F31:I31" ca="1" si="3">LamChanHangNgan(F$26+F$27+F$28+F$29)</f>
        <v>#VALUE!</v>
      </c>
      <c r="G31" s="7" t="e">
        <f t="shared" ca="1" si="3"/>
        <v>#VALUE!</v>
      </c>
      <c r="H31" s="7" t="e">
        <f t="shared" ca="1" si="3"/>
        <v>#VALUE!</v>
      </c>
      <c r="I31" s="7" t="e">
        <f t="shared" ca="1" si="3"/>
        <v>#VALUE!</v>
      </c>
    </row>
    <row r="32" spans="1:9" x14ac:dyDescent="0.25">
      <c r="A32">
        <v>14</v>
      </c>
      <c r="B32">
        <f>$A32*E$24</f>
        <v>140</v>
      </c>
      <c r="C32" t="s">
        <v>226</v>
      </c>
      <c r="E32">
        <f>($A32*E$24/2)/$D$16</f>
        <v>35</v>
      </c>
      <c r="F32">
        <f t="shared" ref="F32:I32" si="4">($A32*F$24/2)/$D$16</f>
        <v>70</v>
      </c>
      <c r="G32">
        <f t="shared" si="4"/>
        <v>105</v>
      </c>
      <c r="H32">
        <f t="shared" si="4"/>
        <v>140</v>
      </c>
      <c r="I32">
        <f t="shared" si="4"/>
        <v>175</v>
      </c>
    </row>
    <row r="33" spans="1:9" x14ac:dyDescent="0.25">
      <c r="C33" t="s">
        <v>200</v>
      </c>
      <c r="E33" s="8" t="e">
        <f ca="1">PhiInKM4M_BHR70(E32*$E$16*2)*(1+$D$17)</f>
        <v>#NAME?</v>
      </c>
      <c r="F33" s="8" t="e">
        <f ca="1">PhiInKM4M_BHR70(F32*$E$16*2)*(1+$D$17)</f>
        <v>#NAME?</v>
      </c>
      <c r="G33" s="8" t="e">
        <f ca="1">PhiInKM4M_BHR70(G32*$E$16*2)*(1+$D$17)</f>
        <v>#NAME?</v>
      </c>
      <c r="H33" s="8" t="e">
        <f ca="1">PhiInKM4M_BHR70(H32*$E$16*2)*(1+$D$17)</f>
        <v>#NAME?</v>
      </c>
      <c r="I33" s="8" t="e">
        <f ca="1">PhiInKM4M_BHR70(I32*$E$16*2)*(1+$D$17)</f>
        <v>#NAME?</v>
      </c>
    </row>
    <row r="34" spans="1:9" x14ac:dyDescent="0.25">
      <c r="C34" t="s">
        <v>227</v>
      </c>
      <c r="E34" s="8">
        <f>E32*$D$19*(1+$D$17)</f>
        <v>77910</v>
      </c>
      <c r="F34" s="8">
        <f t="shared" ref="F34:I34" si="5">F32*$D$19*(1+$D$17)</f>
        <v>155820</v>
      </c>
      <c r="G34" s="8">
        <f t="shared" si="5"/>
        <v>233730</v>
      </c>
      <c r="H34" s="8">
        <f t="shared" si="5"/>
        <v>311640</v>
      </c>
      <c r="I34" s="8">
        <f t="shared" si="5"/>
        <v>389550</v>
      </c>
    </row>
    <row r="35" spans="1:9" x14ac:dyDescent="0.25">
      <c r="C35" t="s">
        <v>204</v>
      </c>
      <c r="E35" s="8">
        <f>(PhiMayCanMang(E32*2,$C$15/100,$D$15/100) + PhiMangCan(E32*2,$C$15/100,$D$15/100,$D$21))*(1+$D$17)</f>
        <v>101222.52525000001</v>
      </c>
      <c r="F35" s="8">
        <f>(PhiMayCanMang(F32*2,$C$15/100,$D$15/100) + PhiMangCan(F32*2,$C$15/100,$D$15/100,$D$21))*(1+$D$17)</f>
        <v>138278.3836</v>
      </c>
      <c r="G35" s="8">
        <f>(PhiMayCanMang(G32*2,$C$15/100,$D$15/100) + PhiMangCan(G32*2,$C$15/100,$D$15/100,$D$21))*(1+$D$17)</f>
        <v>175334.24229999998</v>
      </c>
      <c r="H35" s="8">
        <f>(PhiMayCanMang(H32*2,$C$15/100,$D$15/100) + PhiMangCan(H32*2,$C$15/100,$D$15/100,$D$21))*(1+$D$17)</f>
        <v>212390.10082499997</v>
      </c>
      <c r="I35" s="8">
        <f>(PhiMayCanMang(I32*2,$C$15/100,$D$15/100) + PhiMangCan(I32*2,$C$15/100,$D$15/100,$D$21))*(1+$D$17)</f>
        <v>248993.01822499998</v>
      </c>
    </row>
    <row r="36" spans="1:9" x14ac:dyDescent="0.25">
      <c r="C36" t="s">
        <v>228</v>
      </c>
      <c r="E36" s="8"/>
      <c r="F36" s="8"/>
      <c r="G36" s="8"/>
      <c r="H36" s="8"/>
      <c r="I36" s="8"/>
    </row>
    <row r="37" spans="1:9" x14ac:dyDescent="0.25">
      <c r="C37" t="s">
        <v>223</v>
      </c>
      <c r="E37" s="23" t="e">
        <f ca="1">LamChanHangNgan(E33+E34+E36)</f>
        <v>#VALUE!</v>
      </c>
      <c r="F37" s="23" t="e">
        <f t="shared" ref="F37:I37" ca="1" si="6">LamChanHangNgan(F33+F34+F36)</f>
        <v>#VALUE!</v>
      </c>
      <c r="G37" s="23" t="e">
        <f t="shared" ca="1" si="6"/>
        <v>#VALUE!</v>
      </c>
      <c r="H37" s="23" t="e">
        <f t="shared" ca="1" si="6"/>
        <v>#VALUE!</v>
      </c>
      <c r="I37" s="23" t="e">
        <f t="shared" ca="1" si="6"/>
        <v>#VALUE!</v>
      </c>
    </row>
    <row r="38" spans="1:9" x14ac:dyDescent="0.25">
      <c r="C38" t="s">
        <v>224</v>
      </c>
      <c r="E38" s="23" t="e">
        <f ca="1">LamChanHangNgan(E33+E34+E35+E36)</f>
        <v>#VALUE!</v>
      </c>
      <c r="F38" s="23" t="e">
        <f t="shared" ref="F38:I38" ca="1" si="7">LamChanHangNgan(F33+F34+F35+F36)</f>
        <v>#VALUE!</v>
      </c>
      <c r="G38" s="23" t="e">
        <f t="shared" ca="1" si="7"/>
        <v>#VALUE!</v>
      </c>
      <c r="H38" s="23" t="e">
        <f t="shared" ca="1" si="7"/>
        <v>#VALUE!</v>
      </c>
      <c r="I38" s="23" t="e">
        <f t="shared" ca="1" si="7"/>
        <v>#VALUE!</v>
      </c>
    </row>
    <row r="39" spans="1:9" x14ac:dyDescent="0.25">
      <c r="A39">
        <v>16</v>
      </c>
      <c r="B39">
        <f>$A39*E$24</f>
        <v>160</v>
      </c>
      <c r="C39" t="s">
        <v>226</v>
      </c>
      <c r="E39">
        <f>($A39*E$24/2)/$D$16</f>
        <v>40</v>
      </c>
      <c r="F39">
        <f t="shared" ref="F39:I39" si="8">($A39*F$24/2)/$D$16</f>
        <v>80</v>
      </c>
      <c r="G39">
        <f t="shared" si="8"/>
        <v>120</v>
      </c>
      <c r="H39">
        <f t="shared" si="8"/>
        <v>160</v>
      </c>
      <c r="I39">
        <f t="shared" si="8"/>
        <v>200</v>
      </c>
    </row>
    <row r="40" spans="1:9" x14ac:dyDescent="0.25">
      <c r="C40" t="s">
        <v>200</v>
      </c>
      <c r="E40" t="e">
        <f ca="1">PhiInKM4M_BHR70(E39*$E$16*2)*(1+$D$17)</f>
        <v>#NAME?</v>
      </c>
      <c r="F40" t="e">
        <f ca="1">PhiInKM4M_BHR70(F39*$E$16*2)*(1+$D$17)</f>
        <v>#NAME?</v>
      </c>
      <c r="G40" t="e">
        <f ca="1">PhiInKM4M_BHR70(G39*$E$16*2)*(1+$D$17)</f>
        <v>#NAME?</v>
      </c>
      <c r="H40" t="e">
        <f ca="1">PhiInKM4M_BHR70(H39*$E$16*2)*(1+$D$17)</f>
        <v>#NAME?</v>
      </c>
      <c r="I40" t="e">
        <f ca="1">PhiInKM4M_BHR70(I39*$E$16*2)*(1+$D$17)</f>
        <v>#NAME?</v>
      </c>
    </row>
    <row r="41" spans="1:9" x14ac:dyDescent="0.25">
      <c r="C41" t="s">
        <v>227</v>
      </c>
      <c r="E41">
        <f>E39*$D$19*(1+$D$17)</f>
        <v>89040</v>
      </c>
      <c r="F41">
        <f t="shared" ref="F41:I41" si="9">F39*$D$19*(1+$D$17)</f>
        <v>178080</v>
      </c>
      <c r="G41">
        <f t="shared" si="9"/>
        <v>267120</v>
      </c>
      <c r="H41">
        <f t="shared" si="9"/>
        <v>356160</v>
      </c>
      <c r="I41">
        <f t="shared" si="9"/>
        <v>445200</v>
      </c>
    </row>
    <row r="42" spans="1:9" x14ac:dyDescent="0.25">
      <c r="C42" t="s">
        <v>204</v>
      </c>
      <c r="E42">
        <f>(PhiMayCanMang(E39*2,$C$15/100,$D$15/100) + PhiMangCan(E39*2,$C$15/100,$D$15/100,$D$21))*(1+$D$17)</f>
        <v>106645.63035000001</v>
      </c>
      <c r="F42">
        <f>(PhiMayCanMang(F39*2,$C$15/100,$D$15/100) + PhiMangCan(F39*2,$C$15/100,$D$15/100,$D$21))*(1+$D$17)</f>
        <v>148671.65302500001</v>
      </c>
      <c r="G42">
        <f>(PhiMayCanMang(G39*2,$C$15/100,$D$15/100) + PhiMangCan(G39*2,$C$15/100,$D$15/100,$D$21))*(1+$D$17)</f>
        <v>191150.62084999998</v>
      </c>
      <c r="H42">
        <f>(PhiMayCanMang(H39*2,$C$15/100,$D$15/100) + PhiMangCan(H39*2,$C$15/100,$D$15/100,$D$21))*(1+$D$17)</f>
        <v>233176.63949999999</v>
      </c>
      <c r="I42">
        <f>(PhiMayCanMang(I39*2,$C$15/100,$D$15/100) + PhiMangCan(I39*2,$C$15/100,$D$15/100,$D$21))*(1+$D$17)</f>
        <v>275655.60732499999</v>
      </c>
    </row>
    <row r="43" spans="1:9" x14ac:dyDescent="0.25">
      <c r="C43" t="s">
        <v>228</v>
      </c>
    </row>
    <row r="44" spans="1:9" x14ac:dyDescent="0.25">
      <c r="C44" t="s">
        <v>223</v>
      </c>
      <c r="E44" s="7" t="e">
        <f ca="1">LamChanHangNgan(E40+E41+E43)</f>
        <v>#VALUE!</v>
      </c>
      <c r="F44" s="7" t="e">
        <f t="shared" ref="F44:I44" ca="1" si="10">LamChanHangNgan(F40+F41+F43)</f>
        <v>#VALUE!</v>
      </c>
      <c r="G44" s="7" t="e">
        <f t="shared" ca="1" si="10"/>
        <v>#VALUE!</v>
      </c>
      <c r="H44" s="7" t="e">
        <f t="shared" ca="1" si="10"/>
        <v>#VALUE!</v>
      </c>
      <c r="I44" s="7" t="e">
        <f t="shared" ca="1" si="10"/>
        <v>#VALUE!</v>
      </c>
    </row>
    <row r="45" spans="1:9" x14ac:dyDescent="0.25">
      <c r="C45" t="s">
        <v>224</v>
      </c>
      <c r="E45" s="7" t="e">
        <f ca="1">LamChanHangNgan(E40+E41+E42+E43)</f>
        <v>#VALUE!</v>
      </c>
      <c r="F45" s="7" t="e">
        <f t="shared" ref="F45:I45" ca="1" si="11">LamChanHangNgan(F40+F41+F42+F43)</f>
        <v>#VALUE!</v>
      </c>
      <c r="G45" s="7" t="e">
        <f t="shared" ca="1" si="11"/>
        <v>#VALUE!</v>
      </c>
      <c r="H45" s="7" t="e">
        <f t="shared" ca="1" si="11"/>
        <v>#VALUE!</v>
      </c>
      <c r="I45" s="7" t="e">
        <f t="shared" ca="1" si="11"/>
        <v>#VALUE!</v>
      </c>
    </row>
    <row r="46" spans="1:9" x14ac:dyDescent="0.25">
      <c r="A46">
        <v>18</v>
      </c>
      <c r="B46">
        <f>$A46*E$24</f>
        <v>180</v>
      </c>
      <c r="C46" t="s">
        <v>226</v>
      </c>
      <c r="E46">
        <f>($A46*E$24/2)/$D$16</f>
        <v>45</v>
      </c>
      <c r="F46">
        <f t="shared" ref="F46:I46" si="12">($A46*F$24/2)/$D$16</f>
        <v>90</v>
      </c>
      <c r="G46">
        <f t="shared" si="12"/>
        <v>135</v>
      </c>
      <c r="H46">
        <f t="shared" si="12"/>
        <v>180</v>
      </c>
      <c r="I46">
        <f t="shared" si="12"/>
        <v>225</v>
      </c>
    </row>
    <row r="47" spans="1:9" x14ac:dyDescent="0.25">
      <c r="C47" t="s">
        <v>200</v>
      </c>
      <c r="E47" t="e">
        <f ca="1">PhiInKM4M_BHR70(E46*$E$16*2)*(1+$D$17)</f>
        <v>#NAME?</v>
      </c>
      <c r="F47" t="e">
        <f ca="1">PhiInKM4M_BHR70(F46*$E$16*2)*(1+$D$17)</f>
        <v>#NAME?</v>
      </c>
      <c r="G47" t="e">
        <f ca="1">PhiInKM4M_BHR70(G46*$E$16*2)*(1+$D$17)</f>
        <v>#NAME?</v>
      </c>
      <c r="H47" t="e">
        <f ca="1">PhiInKM4M_BHR70(H46*$E$16*2)*(1+$D$17)</f>
        <v>#NAME?</v>
      </c>
      <c r="I47" t="e">
        <f ca="1">PhiInKM4M_BHR70(I46*$E$16*2)*(1+$D$17)</f>
        <v>#NAME?</v>
      </c>
    </row>
    <row r="48" spans="1:9" x14ac:dyDescent="0.25">
      <c r="C48" t="s">
        <v>227</v>
      </c>
      <c r="E48">
        <f>E46*$D$19*(1+$D$17)</f>
        <v>100170</v>
      </c>
      <c r="F48">
        <f t="shared" ref="F48:I48" si="13">F46*$D$19*(1+$D$17)</f>
        <v>200340</v>
      </c>
      <c r="G48">
        <f t="shared" si="13"/>
        <v>300510</v>
      </c>
      <c r="H48">
        <f t="shared" si="13"/>
        <v>400680</v>
      </c>
      <c r="I48">
        <f t="shared" si="13"/>
        <v>500850</v>
      </c>
    </row>
    <row r="49" spans="1:9" x14ac:dyDescent="0.25">
      <c r="C49" t="s">
        <v>204</v>
      </c>
      <c r="E49">
        <f>(PhiMayCanMang(E46*2,$C$15/100,$D$15/100) + PhiMangCan(E46*2,$C$15/100,$D$15/100,$D$21))*(1+$D$17)</f>
        <v>111615.79449999999</v>
      </c>
      <c r="F49">
        <f>(PhiMayCanMang(F46*2,$C$15/100,$D$15/100) + PhiMangCan(F46*2,$C$15/100,$D$15/100,$D$21))*(1+$D$17)</f>
        <v>159517.863575</v>
      </c>
      <c r="G49">
        <f>(PhiMayCanMang(G46*2,$C$15/100,$D$15/100) + PhiMangCan(G46*2,$C$15/100,$D$15/100,$D$21))*(1+$D$17)</f>
        <v>206966.99152499999</v>
      </c>
      <c r="H49">
        <f>(PhiMayCanMang(H46*2,$C$15/100,$D$15/100) + PhiMangCan(H46*2,$C$15/100,$D$15/100,$D$21))*(1+$D$17)</f>
        <v>254416.11947500001</v>
      </c>
      <c r="I49">
        <f>(PhiMayCanMang(I46*2,$C$15/100,$D$15/100) + PhiMangCan(I46*2,$C$15/100,$D$15/100,$D$21))*(1+$D$17)</f>
        <v>301865.25547500001</v>
      </c>
    </row>
    <row r="50" spans="1:9" x14ac:dyDescent="0.25">
      <c r="C50" t="s">
        <v>228</v>
      </c>
    </row>
    <row r="51" spans="1:9" x14ac:dyDescent="0.25">
      <c r="C51" t="s">
        <v>223</v>
      </c>
      <c r="E51" s="7" t="e">
        <f ca="1">LamChanHangNgan(E47+E48+E50)</f>
        <v>#VALUE!</v>
      </c>
      <c r="F51" s="7" t="e">
        <f t="shared" ref="F51:I51" ca="1" si="14">LamChanHangNgan(F47+F48+F50)</f>
        <v>#VALUE!</v>
      </c>
      <c r="G51" s="7" t="e">
        <f t="shared" ca="1" si="14"/>
        <v>#VALUE!</v>
      </c>
      <c r="H51" s="7" t="e">
        <f t="shared" ca="1" si="14"/>
        <v>#VALUE!</v>
      </c>
      <c r="I51" s="7" t="e">
        <f t="shared" ca="1" si="14"/>
        <v>#VALUE!</v>
      </c>
    </row>
    <row r="52" spans="1:9" x14ac:dyDescent="0.25">
      <c r="C52" t="s">
        <v>224</v>
      </c>
      <c r="E52" s="7" t="e">
        <f ca="1">LamChanHangNgan(E47+E48+E49+E50)</f>
        <v>#VALUE!</v>
      </c>
      <c r="F52" s="7" t="e">
        <f t="shared" ref="F52:I52" ca="1" si="15">LamChanHangNgan(F47+F48+F49+F50)</f>
        <v>#VALUE!</v>
      </c>
      <c r="G52" s="7" t="e">
        <f t="shared" ca="1" si="15"/>
        <v>#VALUE!</v>
      </c>
      <c r="H52" s="7" t="e">
        <f t="shared" ca="1" si="15"/>
        <v>#VALUE!</v>
      </c>
      <c r="I52" s="7" t="e">
        <f t="shared" ca="1" si="15"/>
        <v>#VALUE!</v>
      </c>
    </row>
    <row r="53" spans="1:9" x14ac:dyDescent="0.25">
      <c r="A53">
        <v>20</v>
      </c>
      <c r="B53">
        <f>$A53*E$24</f>
        <v>200</v>
      </c>
      <c r="C53" t="s">
        <v>226</v>
      </c>
      <c r="E53">
        <f>($A53*E$24/2)/$D$16</f>
        <v>50</v>
      </c>
      <c r="F53">
        <f t="shared" ref="F53:I53" si="16">($A53*F$24/2)/$D$16</f>
        <v>100</v>
      </c>
      <c r="G53">
        <f t="shared" si="16"/>
        <v>150</v>
      </c>
      <c r="H53">
        <f t="shared" si="16"/>
        <v>200</v>
      </c>
      <c r="I53">
        <f t="shared" si="16"/>
        <v>250</v>
      </c>
    </row>
    <row r="54" spans="1:9" x14ac:dyDescent="0.25">
      <c r="C54" t="s">
        <v>200</v>
      </c>
      <c r="E54" t="e">
        <f ca="1">PhiInKM4M_BHR70(E53*$E$16*2)*(1+$D$17)</f>
        <v>#NAME?</v>
      </c>
      <c r="F54" t="e">
        <f ca="1">PhiInKM4M_BHR70(F53*$E$16*2)*(1+$D$17)</f>
        <v>#NAME?</v>
      </c>
      <c r="G54" t="e">
        <f ca="1">PhiInKM4M_BHR70(G53*$E$16*2)*(1+$D$17)</f>
        <v>#NAME?</v>
      </c>
      <c r="H54" t="e">
        <f ca="1">PhiInKM4M_BHR70(H53*$E$16*2)*(1+$D$17)</f>
        <v>#NAME?</v>
      </c>
      <c r="I54" t="e">
        <f ca="1">PhiInKM4M_BHR70(I53*$E$16*2)*(1+$D$17)</f>
        <v>#NAME?</v>
      </c>
    </row>
    <row r="55" spans="1:9" x14ac:dyDescent="0.25">
      <c r="C55" t="s">
        <v>227</v>
      </c>
      <c r="E55">
        <f>E53*$D$19*(1+$D$17)</f>
        <v>111300</v>
      </c>
      <c r="F55">
        <f t="shared" ref="F55:I55" si="17">F53*$D$19*(1+$D$17)</f>
        <v>222600</v>
      </c>
      <c r="G55">
        <f t="shared" si="17"/>
        <v>333900</v>
      </c>
      <c r="H55">
        <f t="shared" si="17"/>
        <v>445200</v>
      </c>
      <c r="I55">
        <f t="shared" si="17"/>
        <v>556500</v>
      </c>
    </row>
    <row r="56" spans="1:9" x14ac:dyDescent="0.25">
      <c r="C56" t="s">
        <v>204</v>
      </c>
      <c r="E56">
        <f>(PhiMayCanMang(E53*2,$C$15/100,$D$15/100) + PhiMangCan(E53*2,$C$15/100,$D$15/100,$D$21))*(1+$D$17)</f>
        <v>117038.901875</v>
      </c>
      <c r="F56">
        <f>(PhiMayCanMang(F53*2,$C$15/100,$D$15/100) + PhiMangCan(F53*2,$C$15/100,$D$15/100,$D$21))*(1+$D$17)</f>
        <v>169911.137025</v>
      </c>
      <c r="G56">
        <f>(PhiMayCanMang(G53*2,$C$15/100,$D$15/100) + PhiMangCan(G53*2,$C$15/100,$D$15/100,$D$21))*(1+$D$17)</f>
        <v>222783.37007499998</v>
      </c>
      <c r="H56">
        <f>(PhiMayCanMang(H53*2,$C$15/100,$D$15/100) + PhiMangCan(H53*2,$C$15/100,$D$15/100,$D$21))*(1+$D$17)</f>
        <v>275655.60732499999</v>
      </c>
      <c r="I56">
        <f>(PhiMayCanMang(I53*2,$C$15/100,$D$15/100) + PhiMangCan(I53*2,$C$15/100,$D$15/100,$D$21))*(1+$D$17)</f>
        <v>328527.83652499999</v>
      </c>
    </row>
    <row r="57" spans="1:9" x14ac:dyDescent="0.25">
      <c r="C57" t="s">
        <v>228</v>
      </c>
    </row>
    <row r="58" spans="1:9" x14ac:dyDescent="0.25">
      <c r="C58" t="s">
        <v>223</v>
      </c>
      <c r="E58" s="7" t="e">
        <f ca="1">LamChanHangNgan(E54+E55+E57)</f>
        <v>#VALUE!</v>
      </c>
      <c r="F58" s="7" t="e">
        <f t="shared" ref="F58:I58" ca="1" si="18">LamChanHangNgan(F54+F55+F57)</f>
        <v>#VALUE!</v>
      </c>
      <c r="G58" s="7" t="e">
        <f t="shared" ca="1" si="18"/>
        <v>#VALUE!</v>
      </c>
      <c r="H58" s="7" t="e">
        <f t="shared" ca="1" si="18"/>
        <v>#VALUE!</v>
      </c>
      <c r="I58" s="7" t="e">
        <f t="shared" ca="1" si="18"/>
        <v>#VALUE!</v>
      </c>
    </row>
    <row r="59" spans="1:9" ht="14.25" customHeight="1" x14ac:dyDescent="0.25">
      <c r="C59" t="s">
        <v>224</v>
      </c>
      <c r="E59" s="7" t="e">
        <f ca="1">LamChanHangNgan(E54+E55+E56+E57)</f>
        <v>#VALUE!</v>
      </c>
      <c r="F59" s="7" t="e">
        <f t="shared" ref="F59:I59" ca="1" si="19">LamChanHangNgan(F54+F55+F56+F57)</f>
        <v>#VALUE!</v>
      </c>
      <c r="G59" s="7" t="e">
        <f t="shared" ca="1" si="19"/>
        <v>#VALUE!</v>
      </c>
      <c r="H59" s="7" t="e">
        <f t="shared" ca="1" si="19"/>
        <v>#VALUE!</v>
      </c>
      <c r="I59" s="7" t="e">
        <f t="shared" ca="1" si="19"/>
        <v>#VALUE!</v>
      </c>
    </row>
    <row r="60" spans="1:9" x14ac:dyDescent="0.25">
      <c r="A60">
        <v>22</v>
      </c>
      <c r="B60">
        <f>$A60*E$24</f>
        <v>220</v>
      </c>
      <c r="C60" t="s">
        <v>226</v>
      </c>
      <c r="E60">
        <f>($A60*E$24/2)/$D$16</f>
        <v>55</v>
      </c>
      <c r="F60">
        <f t="shared" ref="F60:I60" si="20">($A60*F$24/2)/$D$16</f>
        <v>110</v>
      </c>
      <c r="G60">
        <f t="shared" si="20"/>
        <v>165</v>
      </c>
      <c r="H60">
        <f t="shared" si="20"/>
        <v>220</v>
      </c>
      <c r="I60">
        <f t="shared" si="20"/>
        <v>275</v>
      </c>
    </row>
    <row r="61" spans="1:9" x14ac:dyDescent="0.25">
      <c r="C61" t="s">
        <v>200</v>
      </c>
      <c r="E61" t="e">
        <f ca="1">PhiInKM4M_BHR70(E60*$E$16*2)*(1+$D$17)</f>
        <v>#NAME?</v>
      </c>
      <c r="F61" t="e">
        <f ca="1">PhiInKM4M_BHR70(F60*$E$16*2)*(1+$D$17)</f>
        <v>#NAME?</v>
      </c>
      <c r="G61" t="e">
        <f ca="1">PhiInKM4M_BHR70(G60*$E$16*2)*(1+$D$17)</f>
        <v>#NAME?</v>
      </c>
      <c r="H61" t="e">
        <f ca="1">PhiInKM4M_BHR70(H60*$E$16*2)*(1+$D$17)</f>
        <v>#NAME?</v>
      </c>
      <c r="I61" t="e">
        <f ca="1">PhiInKM4M_BHR70(I60*$E$16*2)*(1+$D$17)</f>
        <v>#NAME?</v>
      </c>
    </row>
    <row r="62" spans="1:9" x14ac:dyDescent="0.25">
      <c r="C62" t="s">
        <v>227</v>
      </c>
      <c r="E62">
        <f>E60*$D$19*(1+$D$17)</f>
        <v>122430</v>
      </c>
      <c r="F62">
        <f t="shared" ref="F62:I62" si="21">F60*$D$19*(1+$D$17)</f>
        <v>244860</v>
      </c>
      <c r="G62">
        <f t="shared" si="21"/>
        <v>367290</v>
      </c>
      <c r="H62">
        <f t="shared" si="21"/>
        <v>489720</v>
      </c>
      <c r="I62">
        <f t="shared" si="21"/>
        <v>612150</v>
      </c>
    </row>
    <row r="63" spans="1:9" x14ac:dyDescent="0.25">
      <c r="C63" t="s">
        <v>204</v>
      </c>
      <c r="E63">
        <f>(PhiMayCanMang(E60*2,$C$15/100,$D$15/100) + PhiMangCan(E60*2,$C$15/100,$D$15/100,$D$21))*(1+$D$17)</f>
        <v>122462.00505000001</v>
      </c>
      <c r="F63">
        <f>(PhiMayCanMang(F60*2,$C$15/100,$D$15/100) + PhiMangCan(F60*2,$C$15/100,$D$15/100,$D$21))*(1+$D$17)</f>
        <v>180304.40224999998</v>
      </c>
      <c r="G63">
        <f>(PhiMayCanMang(G60*2,$C$15/100,$D$15/100) + PhiMangCan(G60*2,$C$15/100,$D$15/100,$D$21))*(1+$D$17)</f>
        <v>238599.74897499999</v>
      </c>
      <c r="H63">
        <f>(PhiMayCanMang(H60*2,$C$15/100,$D$15/100) + PhiMangCan(H60*2,$C$15/100,$D$15/100,$D$21))*(1+$D$17)</f>
        <v>296895.07925000001</v>
      </c>
      <c r="I63">
        <f>(PhiMayCanMang(I60*2,$C$15/100,$D$15/100) + PhiMangCan(I60*2,$C$15/100,$D$15/100,$D$21))*(1+$D$17)</f>
        <v>354737.49272500002</v>
      </c>
    </row>
    <row r="64" spans="1:9" x14ac:dyDescent="0.25">
      <c r="C64" t="s">
        <v>228</v>
      </c>
    </row>
    <row r="65" spans="1:9" x14ac:dyDescent="0.25">
      <c r="C65" t="s">
        <v>223</v>
      </c>
      <c r="E65" s="7" t="e">
        <f ca="1">LamChanHangNgan(E61+E62+E64)</f>
        <v>#VALUE!</v>
      </c>
      <c r="F65" s="7" t="e">
        <f t="shared" ref="F65:I65" ca="1" si="22">LamChanHangNgan(F61+F62+F64)</f>
        <v>#VALUE!</v>
      </c>
      <c r="G65" s="7" t="e">
        <f t="shared" ca="1" si="22"/>
        <v>#VALUE!</v>
      </c>
      <c r="H65" s="7" t="e">
        <f t="shared" ca="1" si="22"/>
        <v>#VALUE!</v>
      </c>
      <c r="I65" s="7" t="e">
        <f t="shared" ca="1" si="22"/>
        <v>#VALUE!</v>
      </c>
    </row>
    <row r="66" spans="1:9" x14ac:dyDescent="0.25">
      <c r="C66" t="s">
        <v>224</v>
      </c>
      <c r="E66" s="7" t="e">
        <f ca="1">LamChanHangNgan(E61+E62+E63+E64)</f>
        <v>#VALUE!</v>
      </c>
      <c r="F66" s="7" t="e">
        <f t="shared" ref="F66:I66" ca="1" si="23">LamChanHangNgan(F61+F62+F63+F64)</f>
        <v>#VALUE!</v>
      </c>
      <c r="G66" s="7" t="e">
        <f t="shared" ca="1" si="23"/>
        <v>#VALUE!</v>
      </c>
      <c r="H66" s="7" t="e">
        <f t="shared" ca="1" si="23"/>
        <v>#VALUE!</v>
      </c>
      <c r="I66" s="7" t="e">
        <f t="shared" ca="1" si="23"/>
        <v>#VALUE!</v>
      </c>
    </row>
    <row r="67" spans="1:9" x14ac:dyDescent="0.25">
      <c r="A67">
        <v>24</v>
      </c>
      <c r="B67">
        <f>$A67*E$24</f>
        <v>240</v>
      </c>
      <c r="C67" t="s">
        <v>226</v>
      </c>
      <c r="E67">
        <f>($A67*E$24/2)/$D$16</f>
        <v>60</v>
      </c>
      <c r="F67">
        <f t="shared" ref="F67:I67" si="24">($A67*F$24/2)/$D$16</f>
        <v>120</v>
      </c>
      <c r="G67">
        <f t="shared" si="24"/>
        <v>180</v>
      </c>
      <c r="H67">
        <f t="shared" si="24"/>
        <v>240</v>
      </c>
      <c r="I67">
        <f t="shared" si="24"/>
        <v>300</v>
      </c>
    </row>
    <row r="68" spans="1:9" x14ac:dyDescent="0.25">
      <c r="C68" t="s">
        <v>200</v>
      </c>
      <c r="E68" t="e">
        <f ca="1">PhiInKM4M_BHR70(E67*$E$16*2)*(1+$D$17)</f>
        <v>#NAME?</v>
      </c>
      <c r="F68" t="e">
        <f ca="1">PhiInKM4M_BHR70(F67*$E$16*2)*(1+$D$17)</f>
        <v>#NAME?</v>
      </c>
      <c r="G68" t="e">
        <f ca="1">PhiInKM4M_BHR70(G67*$E$16*2)*(1+$D$17)</f>
        <v>#NAME?</v>
      </c>
      <c r="H68" t="e">
        <f ca="1">PhiInKM4M_BHR70(H67*$E$16*2)*(1+$D$17)</f>
        <v>#NAME?</v>
      </c>
      <c r="I68" t="e">
        <f ca="1">PhiInKM4M_BHR70(I67*$E$16*2)*(1+$D$17)</f>
        <v>#NAME?</v>
      </c>
    </row>
    <row r="69" spans="1:9" x14ac:dyDescent="0.25">
      <c r="C69" t="s">
        <v>227</v>
      </c>
      <c r="E69">
        <f>E67*$D$19*(1+$D$17)</f>
        <v>133560</v>
      </c>
      <c r="F69">
        <f t="shared" ref="F69:I69" si="25">F67*$D$19*(1+$D$17)</f>
        <v>267120</v>
      </c>
      <c r="G69">
        <f t="shared" si="25"/>
        <v>400680</v>
      </c>
      <c r="H69">
        <f t="shared" si="25"/>
        <v>534240</v>
      </c>
      <c r="I69">
        <f t="shared" si="25"/>
        <v>667800</v>
      </c>
    </row>
    <row r="70" spans="1:9" x14ac:dyDescent="0.25">
      <c r="C70" t="s">
        <v>204</v>
      </c>
      <c r="E70">
        <f>(PhiMayCanMang(E67*2,$C$15/100,$D$15/100) + PhiMangCan(E67*2,$C$15/100,$D$15/100,$D$21))*(1+$D$17)</f>
        <v>127432.17305000001</v>
      </c>
      <c r="F70">
        <f>(PhiMayCanMang(F67*2,$C$15/100,$D$15/100) + PhiMangCan(F67*2,$C$15/100,$D$15/100,$D$21))*(1+$D$17)</f>
        <v>191150.62084999998</v>
      </c>
      <c r="G70">
        <f>(PhiMayCanMang(G67*2,$C$15/100,$D$15/100) + PhiMangCan(G67*2,$C$15/100,$D$15/100,$D$21))*(1+$D$17)</f>
        <v>254416.11947500001</v>
      </c>
      <c r="H70">
        <f>(PhiMayCanMang(H67*2,$C$15/100,$D$15/100) + PhiMangCan(H67*2,$C$15/100,$D$15/100,$D$21))*(1+$D$17)</f>
        <v>318134.57514999993</v>
      </c>
      <c r="I70">
        <f>(PhiMayCanMang(I67*2,$C$15/100,$D$15/100) + PhiMangCan(I67*2,$C$15/100,$D$15/100,$D$21))*(1+$D$17)</f>
        <v>381400.073775</v>
      </c>
    </row>
    <row r="71" spans="1:9" x14ac:dyDescent="0.25">
      <c r="C71" t="s">
        <v>228</v>
      </c>
    </row>
    <row r="72" spans="1:9" x14ac:dyDescent="0.25">
      <c r="C72" t="s">
        <v>223</v>
      </c>
      <c r="E72" s="7" t="e">
        <f ca="1">LamChanHangNgan(E68+E69+E71)</f>
        <v>#VALUE!</v>
      </c>
      <c r="F72" s="7" t="e">
        <f t="shared" ref="F72:I72" ca="1" si="26">LamChanHangNgan(F68+F69+F71)</f>
        <v>#VALUE!</v>
      </c>
      <c r="G72" s="7" t="e">
        <f t="shared" ca="1" si="26"/>
        <v>#VALUE!</v>
      </c>
      <c r="H72" s="7" t="e">
        <f t="shared" ca="1" si="26"/>
        <v>#VALUE!</v>
      </c>
      <c r="I72" s="7" t="e">
        <f t="shared" ca="1" si="26"/>
        <v>#VALUE!</v>
      </c>
    </row>
    <row r="73" spans="1:9" x14ac:dyDescent="0.25">
      <c r="C73" t="s">
        <v>224</v>
      </c>
      <c r="E73" s="7" t="e">
        <f ca="1">LamChanHangNgan(E68+E69+E70+E71)</f>
        <v>#VALUE!</v>
      </c>
      <c r="F73" s="7" t="e">
        <f t="shared" ref="F73:I73" ca="1" si="27">LamChanHangNgan(F68+F69+F70+F71)</f>
        <v>#VALUE!</v>
      </c>
      <c r="G73" s="7" t="e">
        <f t="shared" ca="1" si="27"/>
        <v>#VALUE!</v>
      </c>
      <c r="H73" s="7" t="e">
        <f t="shared" ca="1" si="27"/>
        <v>#VALUE!</v>
      </c>
      <c r="I73" s="7" t="e">
        <f t="shared" ca="1" si="27"/>
        <v>#VALUE!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B19" xr:uid="{D8C85FF1-6DE8-4757-9E06-02778266D71F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ADA04A0E-DB65-4750-B475-6480E8C57816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E087B56D-980B-463B-882F-8480F67EC0A3}">
      <formula1>OFFSET(GIA_MANG,1,0,,1)</formula1>
    </dataValidation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15A7C-0847-46E7-8F94-E73B31AC4E8A}">
  <sheetPr codeName="Trang_tính19"/>
  <dimension ref="A1:I73"/>
  <sheetViews>
    <sheetView topLeftCell="A7" workbookViewId="0">
      <selection activeCell="D15" sqref="D15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256</v>
      </c>
    </row>
    <row r="2" spans="1:7" x14ac:dyDescent="0.25">
      <c r="A2" t="s">
        <v>179</v>
      </c>
      <c r="B2" t="s">
        <v>183</v>
      </c>
    </row>
    <row r="3" spans="1:7" x14ac:dyDescent="0.25">
      <c r="A3" t="s">
        <v>184</v>
      </c>
      <c r="B3" t="s">
        <v>32</v>
      </c>
    </row>
    <row r="4" spans="1:7" x14ac:dyDescent="0.25">
      <c r="A4" t="s">
        <v>121</v>
      </c>
      <c r="B4" t="s">
        <v>185</v>
      </c>
    </row>
    <row r="5" spans="1:7" x14ac:dyDescent="0.25">
      <c r="A5" t="s">
        <v>180</v>
      </c>
      <c r="B5" t="s">
        <v>186</v>
      </c>
    </row>
    <row r="6" spans="1:7" x14ac:dyDescent="0.25">
      <c r="A6" t="s">
        <v>187</v>
      </c>
      <c r="B6" t="s">
        <v>188</v>
      </c>
    </row>
    <row r="9" spans="1:7" x14ac:dyDescent="0.25">
      <c r="A9" s="1" t="s">
        <v>181</v>
      </c>
      <c r="B9" t="s">
        <v>196</v>
      </c>
    </row>
    <row r="10" spans="1:7" x14ac:dyDescent="0.25">
      <c r="A10" t="s">
        <v>127</v>
      </c>
      <c r="B10" s="12">
        <v>43609</v>
      </c>
    </row>
    <row r="11" spans="1:7" x14ac:dyDescent="0.25">
      <c r="B11" t="s">
        <v>53</v>
      </c>
      <c r="C11" t="s">
        <v>54</v>
      </c>
      <c r="E11" t="s">
        <v>220</v>
      </c>
      <c r="F11" s="1" t="s">
        <v>221</v>
      </c>
      <c r="G11" s="1" t="s">
        <v>222</v>
      </c>
    </row>
    <row r="12" spans="1:7" x14ac:dyDescent="0.25">
      <c r="A12" t="s">
        <v>119</v>
      </c>
      <c r="D12" t="s">
        <v>194</v>
      </c>
    </row>
    <row r="13" spans="1:7" x14ac:dyDescent="0.25">
      <c r="A13" t="s">
        <v>219</v>
      </c>
      <c r="B13">
        <v>15</v>
      </c>
      <c r="C13">
        <v>34</v>
      </c>
      <c r="D13">
        <v>0.3</v>
      </c>
      <c r="E13">
        <v>0</v>
      </c>
      <c r="F13">
        <f>$B13+$E13+$D13*2</f>
        <v>15.6</v>
      </c>
      <c r="G13">
        <f>$C13+$D13*2</f>
        <v>34.6</v>
      </c>
    </row>
    <row r="15" spans="1:7" ht="30" x14ac:dyDescent="0.25">
      <c r="A15" t="s">
        <v>117</v>
      </c>
      <c r="B15" s="1" t="s">
        <v>31</v>
      </c>
      <c r="C15">
        <v>32</v>
      </c>
      <c r="D15">
        <v>47</v>
      </c>
      <c r="E15" s="2" t="s">
        <v>130</v>
      </c>
    </row>
    <row r="16" spans="1:7" x14ac:dyDescent="0.25">
      <c r="A16" t="s">
        <v>126</v>
      </c>
      <c r="D16" s="1">
        <f>SoConTrenToLon($C$15,$D$15,$F$13,$G$13)</f>
        <v>2</v>
      </c>
      <c r="E16">
        <v>2</v>
      </c>
    </row>
    <row r="17" spans="1:9" x14ac:dyDescent="0.25">
      <c r="A17" t="s">
        <v>51</v>
      </c>
      <c r="D17" s="14">
        <v>0.75</v>
      </c>
      <c r="E17" s="15" t="s">
        <v>131</v>
      </c>
    </row>
    <row r="18" spans="1:9" x14ac:dyDescent="0.25">
      <c r="B18" t="s">
        <v>122</v>
      </c>
      <c r="C18" t="s">
        <v>123</v>
      </c>
      <c r="D18" t="s">
        <v>125</v>
      </c>
      <c r="E18" t="s">
        <v>124</v>
      </c>
    </row>
    <row r="19" spans="1:9" x14ac:dyDescent="0.25">
      <c r="A19" t="s">
        <v>195</v>
      </c>
      <c r="B19" t="s">
        <v>67</v>
      </c>
      <c r="C19" t="s">
        <v>60</v>
      </c>
      <c r="D19">
        <v>1272</v>
      </c>
      <c r="E19" s="3">
        <f>D19*(1+D17)</f>
        <v>2226</v>
      </c>
    </row>
    <row r="21" spans="1:9" x14ac:dyDescent="0.25">
      <c r="A21" t="s">
        <v>225</v>
      </c>
      <c r="B21" t="s">
        <v>49</v>
      </c>
      <c r="C21" t="s">
        <v>50</v>
      </c>
      <c r="D21">
        <v>1200</v>
      </c>
    </row>
    <row r="23" spans="1:9" x14ac:dyDescent="0.25">
      <c r="A23" t="s">
        <v>199</v>
      </c>
    </row>
    <row r="24" spans="1:9" x14ac:dyDescent="0.25">
      <c r="A24" t="s">
        <v>157</v>
      </c>
      <c r="B24" t="s">
        <v>156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226</v>
      </c>
      <c r="E25">
        <f>($A25*E$24/2)/$D$16</f>
        <v>30</v>
      </c>
      <c r="F25">
        <f t="shared" ref="F25:I25" si="0">($A25*F$24/2)/$D$16</f>
        <v>60</v>
      </c>
      <c r="G25">
        <f t="shared" si="0"/>
        <v>90</v>
      </c>
      <c r="H25">
        <f t="shared" si="0"/>
        <v>120</v>
      </c>
      <c r="I25">
        <f t="shared" si="0"/>
        <v>150</v>
      </c>
    </row>
    <row r="26" spans="1:9" x14ac:dyDescent="0.25">
      <c r="C26" t="s">
        <v>200</v>
      </c>
      <c r="E26" s="3" t="e">
        <f ca="1">PhiInKM4M_BHR70(E$25*$E$16*2)*(1+$D$17)</f>
        <v>#NAME?</v>
      </c>
      <c r="F26" s="3" t="e">
        <f ca="1">PhiInKM4M_BHR70(F$25*$E$16*2)*(1+$D$17)</f>
        <v>#NAME?</v>
      </c>
      <c r="G26" s="3" t="e">
        <f ca="1">PhiInKM4M_BHR70(G$25*$E$16*2)*(1+$D$17)</f>
        <v>#NAME?</v>
      </c>
      <c r="H26" s="3" t="e">
        <f ca="1">PhiInKM4M_BHR70(H$25*$E$16*2)*(1+$D$17)</f>
        <v>#NAME?</v>
      </c>
      <c r="I26" s="3" t="e">
        <f ca="1">PhiInKM4M_BHR70(I$25*$E$16*2)*(1+$D$17)</f>
        <v>#NAME?</v>
      </c>
    </row>
    <row r="27" spans="1:9" x14ac:dyDescent="0.25">
      <c r="C27" t="s">
        <v>227</v>
      </c>
      <c r="E27" s="3">
        <f>E$25*$D$19*(1+$D$17)</f>
        <v>66780</v>
      </c>
      <c r="F27" s="3">
        <f>F$25*$D$19*(1+$D$17)</f>
        <v>133560</v>
      </c>
      <c r="G27" s="3">
        <f t="shared" ref="G27:I27" si="1">G$25*$D$19*(1+$D$17)</f>
        <v>200340</v>
      </c>
      <c r="H27" s="3">
        <f t="shared" si="1"/>
        <v>267120</v>
      </c>
      <c r="I27" s="3">
        <f t="shared" si="1"/>
        <v>333900</v>
      </c>
    </row>
    <row r="28" spans="1:9" x14ac:dyDescent="0.25">
      <c r="C28" t="s">
        <v>204</v>
      </c>
      <c r="E28" s="3">
        <f>(PhiMayCanMang(E$25*2,$C$15/100,$D$15/100) + PhiMangCan(E$25*2,$C$15/100,$D$15/100,$D$21))*(1+$D$17)</f>
        <v>95799.419800000003</v>
      </c>
      <c r="F28" s="3">
        <f>(PhiMayCanMang(F$25*2,$C$15/100,$D$15/100) + PhiMangCan(F$25*2,$C$15/100,$D$15/100,$D$21))*(1+$D$17)</f>
        <v>127432.17305000001</v>
      </c>
      <c r="G28" s="3">
        <f>(PhiMayCanMang(G$25*2,$C$15/100,$D$15/100) + PhiMangCan(G$25*2,$C$15/100,$D$15/100,$D$21))*(1+$D$17)</f>
        <v>159517.863575</v>
      </c>
      <c r="H28" s="3">
        <f>(PhiMayCanMang(H$25*2,$C$15/100,$D$15/100) + PhiMangCan(H$25*2,$C$15/100,$D$15/100,$D$21))*(1+$D$17)</f>
        <v>191150.62084999998</v>
      </c>
      <c r="I28" s="3">
        <f>(PhiMayCanMang(I$25*2,$C$15/100,$D$15/100) + PhiMangCan(I$25*2,$C$15/100,$D$15/100,$D$21))*(1+$D$17)</f>
        <v>222783.37007499998</v>
      </c>
    </row>
    <row r="29" spans="1:9" x14ac:dyDescent="0.25">
      <c r="C29" t="s">
        <v>228</v>
      </c>
      <c r="E29" s="3"/>
      <c r="F29" s="3"/>
      <c r="G29" s="3"/>
      <c r="H29" s="3"/>
      <c r="I29" s="3"/>
    </row>
    <row r="30" spans="1:9" x14ac:dyDescent="0.25">
      <c r="C30" t="s">
        <v>223</v>
      </c>
      <c r="E30" s="7" t="e">
        <f ca="1">LamChanHangNgan(E$26+E$27+E$29)</f>
        <v>#VALUE!</v>
      </c>
      <c r="F30" s="7" t="e">
        <f t="shared" ref="F30:I30" ca="1" si="2">LamChanHangNgan(F$26+F$27+F$29)</f>
        <v>#VALUE!</v>
      </c>
      <c r="G30" s="7" t="e">
        <f t="shared" ca="1" si="2"/>
        <v>#VALUE!</v>
      </c>
      <c r="H30" s="7" t="e">
        <f t="shared" ca="1" si="2"/>
        <v>#VALUE!</v>
      </c>
      <c r="I30" s="7" t="e">
        <f t="shared" ca="1" si="2"/>
        <v>#VALUE!</v>
      </c>
    </row>
    <row r="31" spans="1:9" x14ac:dyDescent="0.25">
      <c r="C31" t="s">
        <v>224</v>
      </c>
      <c r="E31" s="7" t="e">
        <f ca="1">LamChanHangNgan(E$26+E$27+E$28+E$29)</f>
        <v>#VALUE!</v>
      </c>
      <c r="F31" s="7" t="e">
        <f t="shared" ref="F31:I31" ca="1" si="3">LamChanHangNgan(F$26+F$27+F$28+F$29)</f>
        <v>#VALUE!</v>
      </c>
      <c r="G31" s="7" t="e">
        <f t="shared" ca="1" si="3"/>
        <v>#VALUE!</v>
      </c>
      <c r="H31" s="7" t="e">
        <f t="shared" ca="1" si="3"/>
        <v>#VALUE!</v>
      </c>
      <c r="I31" s="7" t="e">
        <f t="shared" ca="1" si="3"/>
        <v>#VALUE!</v>
      </c>
    </row>
    <row r="32" spans="1:9" x14ac:dyDescent="0.25">
      <c r="A32">
        <v>14</v>
      </c>
      <c r="B32">
        <f>$A32*E$24</f>
        <v>140</v>
      </c>
      <c r="C32" t="s">
        <v>226</v>
      </c>
      <c r="E32">
        <f>($A32*E$24/2)/$D$16</f>
        <v>35</v>
      </c>
      <c r="F32">
        <f t="shared" ref="F32:I32" si="4">($A32*F$24/2)/$D$16</f>
        <v>70</v>
      </c>
      <c r="G32">
        <f t="shared" si="4"/>
        <v>105</v>
      </c>
      <c r="H32">
        <f t="shared" si="4"/>
        <v>140</v>
      </c>
      <c r="I32">
        <f t="shared" si="4"/>
        <v>175</v>
      </c>
    </row>
    <row r="33" spans="1:9" x14ac:dyDescent="0.25">
      <c r="C33" t="s">
        <v>200</v>
      </c>
      <c r="E33" s="8" t="e">
        <f ca="1">PhiInKM4M_BHR70(E32*$E$16*2)*(1+$D$17)</f>
        <v>#NAME?</v>
      </c>
      <c r="F33" s="8" t="e">
        <f ca="1">PhiInKM4M_BHR70(F32*$E$16*2)*(1+$D$17)</f>
        <v>#NAME?</v>
      </c>
      <c r="G33" s="8" t="e">
        <f ca="1">PhiInKM4M_BHR70(G32*$E$16*2)*(1+$D$17)</f>
        <v>#NAME?</v>
      </c>
      <c r="H33" s="8" t="e">
        <f ca="1">PhiInKM4M_BHR70(H32*$E$16*2)*(1+$D$17)</f>
        <v>#NAME?</v>
      </c>
      <c r="I33" s="8" t="e">
        <f ca="1">PhiInKM4M_BHR70(I32*$E$16*2)*(1+$D$17)</f>
        <v>#NAME?</v>
      </c>
    </row>
    <row r="34" spans="1:9" x14ac:dyDescent="0.25">
      <c r="C34" t="s">
        <v>227</v>
      </c>
      <c r="E34" s="8">
        <f>E32*$D$19*(1+$D$17)</f>
        <v>77910</v>
      </c>
      <c r="F34" s="8">
        <f t="shared" ref="F34:I34" si="5">F32*$D$19*(1+$D$17)</f>
        <v>155820</v>
      </c>
      <c r="G34" s="8">
        <f t="shared" si="5"/>
        <v>233730</v>
      </c>
      <c r="H34" s="8">
        <f t="shared" si="5"/>
        <v>311640</v>
      </c>
      <c r="I34" s="8">
        <f t="shared" si="5"/>
        <v>389550</v>
      </c>
    </row>
    <row r="35" spans="1:9" x14ac:dyDescent="0.25">
      <c r="C35" t="s">
        <v>204</v>
      </c>
      <c r="E35" s="8">
        <f>(PhiMayCanMang(E32*2,$C$15/100,$D$15/100) + PhiMangCan(E32*2,$C$15/100,$D$15/100,$D$21))*(1+$D$17)</f>
        <v>101222.52525000001</v>
      </c>
      <c r="F35" s="8">
        <f>(PhiMayCanMang(F32*2,$C$15/100,$D$15/100) + PhiMangCan(F32*2,$C$15/100,$D$15/100,$D$21))*(1+$D$17)</f>
        <v>138278.3836</v>
      </c>
      <c r="G35" s="8">
        <f>(PhiMayCanMang(G32*2,$C$15/100,$D$15/100) + PhiMangCan(G32*2,$C$15/100,$D$15/100,$D$21))*(1+$D$17)</f>
        <v>175334.24229999998</v>
      </c>
      <c r="H35" s="8">
        <f>(PhiMayCanMang(H32*2,$C$15/100,$D$15/100) + PhiMangCan(H32*2,$C$15/100,$D$15/100,$D$21))*(1+$D$17)</f>
        <v>212390.10082499997</v>
      </c>
      <c r="I35" s="8">
        <f>(PhiMayCanMang(I32*2,$C$15/100,$D$15/100) + PhiMangCan(I32*2,$C$15/100,$D$15/100,$D$21))*(1+$D$17)</f>
        <v>248993.01822499998</v>
      </c>
    </row>
    <row r="36" spans="1:9" x14ac:dyDescent="0.25">
      <c r="C36" t="s">
        <v>228</v>
      </c>
      <c r="E36" s="8"/>
      <c r="F36" s="8"/>
      <c r="G36" s="8"/>
      <c r="H36" s="8"/>
      <c r="I36" s="8"/>
    </row>
    <row r="37" spans="1:9" x14ac:dyDescent="0.25">
      <c r="C37" t="s">
        <v>223</v>
      </c>
      <c r="E37" s="23" t="e">
        <f ca="1">LamChanHangNgan(E33+E34+E36)</f>
        <v>#VALUE!</v>
      </c>
      <c r="F37" s="23" t="e">
        <f t="shared" ref="F37:I37" ca="1" si="6">LamChanHangNgan(F33+F34+F36)</f>
        <v>#VALUE!</v>
      </c>
      <c r="G37" s="23" t="e">
        <f t="shared" ca="1" si="6"/>
        <v>#VALUE!</v>
      </c>
      <c r="H37" s="23" t="e">
        <f t="shared" ca="1" si="6"/>
        <v>#VALUE!</v>
      </c>
      <c r="I37" s="23" t="e">
        <f t="shared" ca="1" si="6"/>
        <v>#VALUE!</v>
      </c>
    </row>
    <row r="38" spans="1:9" x14ac:dyDescent="0.25">
      <c r="C38" t="s">
        <v>224</v>
      </c>
      <c r="E38" s="23" t="e">
        <f ca="1">LamChanHangNgan(E33+E34+E35+E36)</f>
        <v>#VALUE!</v>
      </c>
      <c r="F38" s="23" t="e">
        <f t="shared" ref="F38:I38" ca="1" si="7">LamChanHangNgan(F33+F34+F35+F36)</f>
        <v>#VALUE!</v>
      </c>
      <c r="G38" s="23" t="e">
        <f t="shared" ca="1" si="7"/>
        <v>#VALUE!</v>
      </c>
      <c r="H38" s="23" t="e">
        <f t="shared" ca="1" si="7"/>
        <v>#VALUE!</v>
      </c>
      <c r="I38" s="23" t="e">
        <f t="shared" ca="1" si="7"/>
        <v>#VALUE!</v>
      </c>
    </row>
    <row r="39" spans="1:9" x14ac:dyDescent="0.25">
      <c r="A39">
        <v>16</v>
      </c>
      <c r="B39">
        <f>$A39*E$24</f>
        <v>160</v>
      </c>
      <c r="C39" t="s">
        <v>226</v>
      </c>
      <c r="E39">
        <f>($A39*E$24/2)/$D$16</f>
        <v>40</v>
      </c>
      <c r="F39">
        <f t="shared" ref="F39:I39" si="8">($A39*F$24/2)/$D$16</f>
        <v>80</v>
      </c>
      <c r="G39">
        <f t="shared" si="8"/>
        <v>120</v>
      </c>
      <c r="H39">
        <f t="shared" si="8"/>
        <v>160</v>
      </c>
      <c r="I39">
        <f t="shared" si="8"/>
        <v>200</v>
      </c>
    </row>
    <row r="40" spans="1:9" x14ac:dyDescent="0.25">
      <c r="C40" t="s">
        <v>200</v>
      </c>
      <c r="E40" t="e">
        <f ca="1">PhiInKM4M_BHR70(E39*$E$16*2)*(1+$D$17)</f>
        <v>#NAME?</v>
      </c>
      <c r="F40" t="e">
        <f ca="1">PhiInKM4M_BHR70(F39*$E$16*2)*(1+$D$17)</f>
        <v>#NAME?</v>
      </c>
      <c r="G40" t="e">
        <f ca="1">PhiInKM4M_BHR70(G39*$E$16*2)*(1+$D$17)</f>
        <v>#NAME?</v>
      </c>
      <c r="H40" t="e">
        <f ca="1">PhiInKM4M_BHR70(H39*$E$16*2)*(1+$D$17)</f>
        <v>#NAME?</v>
      </c>
      <c r="I40" t="e">
        <f ca="1">PhiInKM4M_BHR70(I39*$E$16*2)*(1+$D$17)</f>
        <v>#NAME?</v>
      </c>
    </row>
    <row r="41" spans="1:9" x14ac:dyDescent="0.25">
      <c r="C41" t="s">
        <v>227</v>
      </c>
      <c r="E41">
        <f>E39*$D$19*(1+$D$17)</f>
        <v>89040</v>
      </c>
      <c r="F41">
        <f t="shared" ref="F41:I41" si="9">F39*$D$19*(1+$D$17)</f>
        <v>178080</v>
      </c>
      <c r="G41">
        <f t="shared" si="9"/>
        <v>267120</v>
      </c>
      <c r="H41">
        <f t="shared" si="9"/>
        <v>356160</v>
      </c>
      <c r="I41">
        <f t="shared" si="9"/>
        <v>445200</v>
      </c>
    </row>
    <row r="42" spans="1:9" x14ac:dyDescent="0.25">
      <c r="C42" t="s">
        <v>204</v>
      </c>
      <c r="E42">
        <f>(PhiMayCanMang(E39*2,$C$15/100,$D$15/100) + PhiMangCan(E39*2,$C$15/100,$D$15/100,$D$21))*(1+$D$17)</f>
        <v>106645.63035000001</v>
      </c>
      <c r="F42">
        <f>(PhiMayCanMang(F39*2,$C$15/100,$D$15/100) + PhiMangCan(F39*2,$C$15/100,$D$15/100,$D$21))*(1+$D$17)</f>
        <v>148671.65302500001</v>
      </c>
      <c r="G42">
        <f>(PhiMayCanMang(G39*2,$C$15/100,$D$15/100) + PhiMangCan(G39*2,$C$15/100,$D$15/100,$D$21))*(1+$D$17)</f>
        <v>191150.62084999998</v>
      </c>
      <c r="H42">
        <f>(PhiMayCanMang(H39*2,$C$15/100,$D$15/100) + PhiMangCan(H39*2,$C$15/100,$D$15/100,$D$21))*(1+$D$17)</f>
        <v>233176.63949999999</v>
      </c>
      <c r="I42">
        <f>(PhiMayCanMang(I39*2,$C$15/100,$D$15/100) + PhiMangCan(I39*2,$C$15/100,$D$15/100,$D$21))*(1+$D$17)</f>
        <v>275655.60732499999</v>
      </c>
    </row>
    <row r="43" spans="1:9" x14ac:dyDescent="0.25">
      <c r="C43" t="s">
        <v>228</v>
      </c>
    </row>
    <row r="44" spans="1:9" x14ac:dyDescent="0.25">
      <c r="C44" t="s">
        <v>223</v>
      </c>
      <c r="E44" s="7" t="e">
        <f ca="1">LamChanHangNgan(E40+E41+E43)</f>
        <v>#VALUE!</v>
      </c>
      <c r="F44" s="7" t="e">
        <f t="shared" ref="F44:I44" ca="1" si="10">LamChanHangNgan(F40+F41+F43)</f>
        <v>#VALUE!</v>
      </c>
      <c r="G44" s="7" t="e">
        <f t="shared" ca="1" si="10"/>
        <v>#VALUE!</v>
      </c>
      <c r="H44" s="7" t="e">
        <f t="shared" ca="1" si="10"/>
        <v>#VALUE!</v>
      </c>
      <c r="I44" s="7" t="e">
        <f t="shared" ca="1" si="10"/>
        <v>#VALUE!</v>
      </c>
    </row>
    <row r="45" spans="1:9" x14ac:dyDescent="0.25">
      <c r="C45" t="s">
        <v>224</v>
      </c>
      <c r="E45" s="7" t="e">
        <f ca="1">LamChanHangNgan(E40+E41+E42+E43)</f>
        <v>#VALUE!</v>
      </c>
      <c r="F45" s="7" t="e">
        <f t="shared" ref="F45:I45" ca="1" si="11">LamChanHangNgan(F40+F41+F42+F43)</f>
        <v>#VALUE!</v>
      </c>
      <c r="G45" s="7" t="e">
        <f t="shared" ca="1" si="11"/>
        <v>#VALUE!</v>
      </c>
      <c r="H45" s="7" t="e">
        <f t="shared" ca="1" si="11"/>
        <v>#VALUE!</v>
      </c>
      <c r="I45" s="7" t="e">
        <f t="shared" ca="1" si="11"/>
        <v>#VALUE!</v>
      </c>
    </row>
    <row r="46" spans="1:9" x14ac:dyDescent="0.25">
      <c r="A46">
        <v>18</v>
      </c>
      <c r="B46">
        <f>$A46*E$24</f>
        <v>180</v>
      </c>
      <c r="C46" t="s">
        <v>226</v>
      </c>
      <c r="E46">
        <f>($A46*E$24/2)/$D$16</f>
        <v>45</v>
      </c>
      <c r="F46">
        <f t="shared" ref="F46:I46" si="12">($A46*F$24/2)/$D$16</f>
        <v>90</v>
      </c>
      <c r="G46">
        <f t="shared" si="12"/>
        <v>135</v>
      </c>
      <c r="H46">
        <f t="shared" si="12"/>
        <v>180</v>
      </c>
      <c r="I46">
        <f t="shared" si="12"/>
        <v>225</v>
      </c>
    </row>
    <row r="47" spans="1:9" x14ac:dyDescent="0.25">
      <c r="C47" t="s">
        <v>200</v>
      </c>
      <c r="E47" t="e">
        <f ca="1">PhiInKM4M_BHR70(E46*$E$16*2)*(1+$D$17)</f>
        <v>#NAME?</v>
      </c>
      <c r="F47" t="e">
        <f ca="1">PhiInKM4M_BHR70(F46*$E$16*2)*(1+$D$17)</f>
        <v>#NAME?</v>
      </c>
      <c r="G47" t="e">
        <f ca="1">PhiInKM4M_BHR70(G46*$E$16*2)*(1+$D$17)</f>
        <v>#NAME?</v>
      </c>
      <c r="H47" t="e">
        <f ca="1">PhiInKM4M_BHR70(H46*$E$16*2)*(1+$D$17)</f>
        <v>#NAME?</v>
      </c>
      <c r="I47" t="e">
        <f ca="1">PhiInKM4M_BHR70(I46*$E$16*2)*(1+$D$17)</f>
        <v>#NAME?</v>
      </c>
    </row>
    <row r="48" spans="1:9" x14ac:dyDescent="0.25">
      <c r="C48" t="s">
        <v>227</v>
      </c>
      <c r="E48">
        <f>E46*$D$19*(1+$D$17)</f>
        <v>100170</v>
      </c>
      <c r="F48">
        <f t="shared" ref="F48:I48" si="13">F46*$D$19*(1+$D$17)</f>
        <v>200340</v>
      </c>
      <c r="G48">
        <f t="shared" si="13"/>
        <v>300510</v>
      </c>
      <c r="H48">
        <f t="shared" si="13"/>
        <v>400680</v>
      </c>
      <c r="I48">
        <f t="shared" si="13"/>
        <v>500850</v>
      </c>
    </row>
    <row r="49" spans="1:9" x14ac:dyDescent="0.25">
      <c r="C49" t="s">
        <v>204</v>
      </c>
      <c r="E49">
        <f>(PhiMayCanMang(E46*2,$C$15/100,$D$15/100) + PhiMangCan(E46*2,$C$15/100,$D$15/100,$D$21))*(1+$D$17)</f>
        <v>111615.79449999999</v>
      </c>
      <c r="F49">
        <f>(PhiMayCanMang(F46*2,$C$15/100,$D$15/100) + PhiMangCan(F46*2,$C$15/100,$D$15/100,$D$21))*(1+$D$17)</f>
        <v>159517.863575</v>
      </c>
      <c r="G49">
        <f>(PhiMayCanMang(G46*2,$C$15/100,$D$15/100) + PhiMangCan(G46*2,$C$15/100,$D$15/100,$D$21))*(1+$D$17)</f>
        <v>206966.99152499999</v>
      </c>
      <c r="H49">
        <f>(PhiMayCanMang(H46*2,$C$15/100,$D$15/100) + PhiMangCan(H46*2,$C$15/100,$D$15/100,$D$21))*(1+$D$17)</f>
        <v>254416.11947500001</v>
      </c>
      <c r="I49">
        <f>(PhiMayCanMang(I46*2,$C$15/100,$D$15/100) + PhiMangCan(I46*2,$C$15/100,$D$15/100,$D$21))*(1+$D$17)</f>
        <v>301865.25547500001</v>
      </c>
    </row>
    <row r="50" spans="1:9" x14ac:dyDescent="0.25">
      <c r="C50" t="s">
        <v>228</v>
      </c>
    </row>
    <row r="51" spans="1:9" x14ac:dyDescent="0.25">
      <c r="C51" t="s">
        <v>223</v>
      </c>
      <c r="E51" s="7" t="e">
        <f ca="1">LamChanHangNgan(E47+E48+E50)</f>
        <v>#VALUE!</v>
      </c>
      <c r="F51" s="7" t="e">
        <f t="shared" ref="F51:I51" ca="1" si="14">LamChanHangNgan(F47+F48+F50)</f>
        <v>#VALUE!</v>
      </c>
      <c r="G51" s="7" t="e">
        <f t="shared" ca="1" si="14"/>
        <v>#VALUE!</v>
      </c>
      <c r="H51" s="7" t="e">
        <f t="shared" ca="1" si="14"/>
        <v>#VALUE!</v>
      </c>
      <c r="I51" s="7" t="e">
        <f t="shared" ca="1" si="14"/>
        <v>#VALUE!</v>
      </c>
    </row>
    <row r="52" spans="1:9" x14ac:dyDescent="0.25">
      <c r="C52" t="s">
        <v>224</v>
      </c>
      <c r="E52" s="7" t="e">
        <f ca="1">LamChanHangNgan(E47+E48+E49+E50)</f>
        <v>#VALUE!</v>
      </c>
      <c r="F52" s="7" t="e">
        <f t="shared" ref="F52:I52" ca="1" si="15">LamChanHangNgan(F47+F48+F49+F50)</f>
        <v>#VALUE!</v>
      </c>
      <c r="G52" s="7" t="e">
        <f t="shared" ca="1" si="15"/>
        <v>#VALUE!</v>
      </c>
      <c r="H52" s="7" t="e">
        <f t="shared" ca="1" si="15"/>
        <v>#VALUE!</v>
      </c>
      <c r="I52" s="7" t="e">
        <f t="shared" ca="1" si="15"/>
        <v>#VALUE!</v>
      </c>
    </row>
    <row r="53" spans="1:9" x14ac:dyDescent="0.25">
      <c r="A53">
        <v>20</v>
      </c>
      <c r="B53">
        <f>$A53*E$24</f>
        <v>200</v>
      </c>
      <c r="C53" t="s">
        <v>226</v>
      </c>
      <c r="E53">
        <f>($A53*E$24/2)/$D$16</f>
        <v>50</v>
      </c>
      <c r="F53">
        <f t="shared" ref="F53:I53" si="16">($A53*F$24/2)/$D$16</f>
        <v>100</v>
      </c>
      <c r="G53">
        <f t="shared" si="16"/>
        <v>150</v>
      </c>
      <c r="H53">
        <f t="shared" si="16"/>
        <v>200</v>
      </c>
      <c r="I53">
        <f t="shared" si="16"/>
        <v>250</v>
      </c>
    </row>
    <row r="54" spans="1:9" x14ac:dyDescent="0.25">
      <c r="C54" t="s">
        <v>200</v>
      </c>
      <c r="E54" t="e">
        <f ca="1">PhiInKM4M_BHR70(E53*$E$16*2)*(1+$D$17)</f>
        <v>#NAME?</v>
      </c>
      <c r="F54" t="e">
        <f ca="1">PhiInKM4M_BHR70(F53*$E$16*2)*(1+$D$17)</f>
        <v>#NAME?</v>
      </c>
      <c r="G54" t="e">
        <f ca="1">PhiInKM4M_BHR70(G53*$E$16*2)*(1+$D$17)</f>
        <v>#NAME?</v>
      </c>
      <c r="H54" t="e">
        <f ca="1">PhiInKM4M_BHR70(H53*$E$16*2)*(1+$D$17)</f>
        <v>#NAME?</v>
      </c>
      <c r="I54" t="e">
        <f ca="1">PhiInKM4M_BHR70(I53*$E$16*2)*(1+$D$17)</f>
        <v>#NAME?</v>
      </c>
    </row>
    <row r="55" spans="1:9" x14ac:dyDescent="0.25">
      <c r="C55" t="s">
        <v>227</v>
      </c>
      <c r="E55">
        <f>E53*$D$19*(1+$D$17)</f>
        <v>111300</v>
      </c>
      <c r="F55">
        <f t="shared" ref="F55:I55" si="17">F53*$D$19*(1+$D$17)</f>
        <v>222600</v>
      </c>
      <c r="G55">
        <f t="shared" si="17"/>
        <v>333900</v>
      </c>
      <c r="H55">
        <f t="shared" si="17"/>
        <v>445200</v>
      </c>
      <c r="I55">
        <f t="shared" si="17"/>
        <v>556500</v>
      </c>
    </row>
    <row r="56" spans="1:9" x14ac:dyDescent="0.25">
      <c r="C56" t="s">
        <v>204</v>
      </c>
      <c r="E56">
        <f>(PhiMayCanMang(E53*2,$C$15/100,$D$15/100) + PhiMangCan(E53*2,$C$15/100,$D$15/100,$D$21))*(1+$D$17)</f>
        <v>117038.901875</v>
      </c>
      <c r="F56">
        <f>(PhiMayCanMang(F53*2,$C$15/100,$D$15/100) + PhiMangCan(F53*2,$C$15/100,$D$15/100,$D$21))*(1+$D$17)</f>
        <v>169911.137025</v>
      </c>
      <c r="G56">
        <f>(PhiMayCanMang(G53*2,$C$15/100,$D$15/100) + PhiMangCan(G53*2,$C$15/100,$D$15/100,$D$21))*(1+$D$17)</f>
        <v>222783.37007499998</v>
      </c>
      <c r="H56">
        <f>(PhiMayCanMang(H53*2,$C$15/100,$D$15/100) + PhiMangCan(H53*2,$C$15/100,$D$15/100,$D$21))*(1+$D$17)</f>
        <v>275655.60732499999</v>
      </c>
      <c r="I56">
        <f>(PhiMayCanMang(I53*2,$C$15/100,$D$15/100) + PhiMangCan(I53*2,$C$15/100,$D$15/100,$D$21))*(1+$D$17)</f>
        <v>328527.83652499999</v>
      </c>
    </row>
    <row r="57" spans="1:9" x14ac:dyDescent="0.25">
      <c r="C57" t="s">
        <v>228</v>
      </c>
    </row>
    <row r="58" spans="1:9" x14ac:dyDescent="0.25">
      <c r="C58" t="s">
        <v>223</v>
      </c>
      <c r="E58" s="7" t="e">
        <f ca="1">LamChanHangNgan(E54+E55+E57)</f>
        <v>#VALUE!</v>
      </c>
      <c r="F58" s="7" t="e">
        <f t="shared" ref="F58:I58" ca="1" si="18">LamChanHangNgan(F54+F55+F57)</f>
        <v>#VALUE!</v>
      </c>
      <c r="G58" s="7" t="e">
        <f t="shared" ca="1" si="18"/>
        <v>#VALUE!</v>
      </c>
      <c r="H58" s="7" t="e">
        <f t="shared" ca="1" si="18"/>
        <v>#VALUE!</v>
      </c>
      <c r="I58" s="7" t="e">
        <f t="shared" ca="1" si="18"/>
        <v>#VALUE!</v>
      </c>
    </row>
    <row r="59" spans="1:9" ht="14.25" customHeight="1" x14ac:dyDescent="0.25">
      <c r="C59" t="s">
        <v>224</v>
      </c>
      <c r="E59" s="7" t="e">
        <f ca="1">LamChanHangNgan(E54+E55+E56+E57)</f>
        <v>#VALUE!</v>
      </c>
      <c r="F59" s="7" t="e">
        <f t="shared" ref="F59:I59" ca="1" si="19">LamChanHangNgan(F54+F55+F56+F57)</f>
        <v>#VALUE!</v>
      </c>
      <c r="G59" s="7" t="e">
        <f t="shared" ca="1" si="19"/>
        <v>#VALUE!</v>
      </c>
      <c r="H59" s="7" t="e">
        <f t="shared" ca="1" si="19"/>
        <v>#VALUE!</v>
      </c>
      <c r="I59" s="7" t="e">
        <f t="shared" ca="1" si="19"/>
        <v>#VALUE!</v>
      </c>
    </row>
    <row r="60" spans="1:9" x14ac:dyDescent="0.25">
      <c r="A60">
        <v>22</v>
      </c>
      <c r="B60">
        <f>$A60*E$24</f>
        <v>220</v>
      </c>
      <c r="C60" t="s">
        <v>226</v>
      </c>
      <c r="E60">
        <f>($A60*E$24/2)/$D$16</f>
        <v>55</v>
      </c>
      <c r="F60">
        <f t="shared" ref="F60:I60" si="20">($A60*F$24/2)/$D$16</f>
        <v>110</v>
      </c>
      <c r="G60">
        <f t="shared" si="20"/>
        <v>165</v>
      </c>
      <c r="H60">
        <f t="shared" si="20"/>
        <v>220</v>
      </c>
      <c r="I60">
        <f t="shared" si="20"/>
        <v>275</v>
      </c>
    </row>
    <row r="61" spans="1:9" x14ac:dyDescent="0.25">
      <c r="C61" t="s">
        <v>200</v>
      </c>
      <c r="E61" t="e">
        <f ca="1">PhiInKM4M_BHR70(E60*$E$16*2)*(1+$D$17)</f>
        <v>#NAME?</v>
      </c>
      <c r="F61" t="e">
        <f ca="1">PhiInKM4M_BHR70(F60*$E$16*2)*(1+$D$17)</f>
        <v>#NAME?</v>
      </c>
      <c r="G61" t="e">
        <f ca="1">PhiInKM4M_BHR70(G60*$E$16*2)*(1+$D$17)</f>
        <v>#NAME?</v>
      </c>
      <c r="H61" t="e">
        <f ca="1">PhiInKM4M_BHR70(H60*$E$16*2)*(1+$D$17)</f>
        <v>#NAME?</v>
      </c>
      <c r="I61" t="e">
        <f ca="1">PhiInKM4M_BHR70(I60*$E$16*2)*(1+$D$17)</f>
        <v>#NAME?</v>
      </c>
    </row>
    <row r="62" spans="1:9" x14ac:dyDescent="0.25">
      <c r="C62" t="s">
        <v>227</v>
      </c>
      <c r="E62">
        <f>E60*$D$19*(1+$D$17)</f>
        <v>122430</v>
      </c>
      <c r="F62">
        <f t="shared" ref="F62:I62" si="21">F60*$D$19*(1+$D$17)</f>
        <v>244860</v>
      </c>
      <c r="G62">
        <f t="shared" si="21"/>
        <v>367290</v>
      </c>
      <c r="H62">
        <f t="shared" si="21"/>
        <v>489720</v>
      </c>
      <c r="I62">
        <f t="shared" si="21"/>
        <v>612150</v>
      </c>
    </row>
    <row r="63" spans="1:9" x14ac:dyDescent="0.25">
      <c r="C63" t="s">
        <v>204</v>
      </c>
      <c r="E63">
        <f>(PhiMayCanMang(E60*2,$C$15/100,$D$15/100) + PhiMangCan(E60*2,$C$15/100,$D$15/100,$D$21))*(1+$D$17)</f>
        <v>122462.00505000001</v>
      </c>
      <c r="F63">
        <f>(PhiMayCanMang(F60*2,$C$15/100,$D$15/100) + PhiMangCan(F60*2,$C$15/100,$D$15/100,$D$21))*(1+$D$17)</f>
        <v>180304.40224999998</v>
      </c>
      <c r="G63">
        <f>(PhiMayCanMang(G60*2,$C$15/100,$D$15/100) + PhiMangCan(G60*2,$C$15/100,$D$15/100,$D$21))*(1+$D$17)</f>
        <v>238599.74897499999</v>
      </c>
      <c r="H63">
        <f>(PhiMayCanMang(H60*2,$C$15/100,$D$15/100) + PhiMangCan(H60*2,$C$15/100,$D$15/100,$D$21))*(1+$D$17)</f>
        <v>296895.07925000001</v>
      </c>
      <c r="I63">
        <f>(PhiMayCanMang(I60*2,$C$15/100,$D$15/100) + PhiMangCan(I60*2,$C$15/100,$D$15/100,$D$21))*(1+$D$17)</f>
        <v>354737.49272500002</v>
      </c>
    </row>
    <row r="64" spans="1:9" x14ac:dyDescent="0.25">
      <c r="C64" t="s">
        <v>228</v>
      </c>
    </row>
    <row r="65" spans="1:9" x14ac:dyDescent="0.25">
      <c r="C65" t="s">
        <v>223</v>
      </c>
      <c r="E65" s="7" t="e">
        <f ca="1">LamChanHangNgan(E61+E62+E64)</f>
        <v>#VALUE!</v>
      </c>
      <c r="F65" s="7" t="e">
        <f t="shared" ref="F65:I65" ca="1" si="22">LamChanHangNgan(F61+F62+F64)</f>
        <v>#VALUE!</v>
      </c>
      <c r="G65" s="7" t="e">
        <f t="shared" ca="1" si="22"/>
        <v>#VALUE!</v>
      </c>
      <c r="H65" s="7" t="e">
        <f t="shared" ca="1" si="22"/>
        <v>#VALUE!</v>
      </c>
      <c r="I65" s="7" t="e">
        <f t="shared" ca="1" si="22"/>
        <v>#VALUE!</v>
      </c>
    </row>
    <row r="66" spans="1:9" x14ac:dyDescent="0.25">
      <c r="C66" t="s">
        <v>224</v>
      </c>
      <c r="E66" s="7" t="e">
        <f ca="1">LamChanHangNgan(E61+E62+E63+E64)</f>
        <v>#VALUE!</v>
      </c>
      <c r="F66" s="7" t="e">
        <f t="shared" ref="F66:I66" ca="1" si="23">LamChanHangNgan(F61+F62+F63+F64)</f>
        <v>#VALUE!</v>
      </c>
      <c r="G66" s="7" t="e">
        <f t="shared" ca="1" si="23"/>
        <v>#VALUE!</v>
      </c>
      <c r="H66" s="7" t="e">
        <f t="shared" ca="1" si="23"/>
        <v>#VALUE!</v>
      </c>
      <c r="I66" s="7" t="e">
        <f t="shared" ca="1" si="23"/>
        <v>#VALUE!</v>
      </c>
    </row>
    <row r="67" spans="1:9" x14ac:dyDescent="0.25">
      <c r="A67">
        <v>24</v>
      </c>
      <c r="B67">
        <f>$A67*E$24</f>
        <v>240</v>
      </c>
      <c r="C67" t="s">
        <v>226</v>
      </c>
      <c r="E67">
        <f>($A67*E$24/2)/$D$16</f>
        <v>60</v>
      </c>
      <c r="F67">
        <f t="shared" ref="F67:I67" si="24">($A67*F$24/2)/$D$16</f>
        <v>120</v>
      </c>
      <c r="G67">
        <f t="shared" si="24"/>
        <v>180</v>
      </c>
      <c r="H67">
        <f t="shared" si="24"/>
        <v>240</v>
      </c>
      <c r="I67">
        <f t="shared" si="24"/>
        <v>300</v>
      </c>
    </row>
    <row r="68" spans="1:9" x14ac:dyDescent="0.25">
      <c r="C68" t="s">
        <v>200</v>
      </c>
      <c r="E68" t="e">
        <f ca="1">PhiInKM4M_BHR70(E67*$E$16*2)*(1+$D$17)</f>
        <v>#NAME?</v>
      </c>
      <c r="F68" t="e">
        <f ca="1">PhiInKM4M_BHR70(F67*$E$16*2)*(1+$D$17)</f>
        <v>#NAME?</v>
      </c>
      <c r="G68" t="e">
        <f ca="1">PhiInKM4M_BHR70(G67*$E$16*2)*(1+$D$17)</f>
        <v>#NAME?</v>
      </c>
      <c r="H68" t="e">
        <f ca="1">PhiInKM4M_BHR70(H67*$E$16*2)*(1+$D$17)</f>
        <v>#NAME?</v>
      </c>
      <c r="I68" t="e">
        <f ca="1">PhiInKM4M_BHR70(I67*$E$16*2)*(1+$D$17)</f>
        <v>#NAME?</v>
      </c>
    </row>
    <row r="69" spans="1:9" x14ac:dyDescent="0.25">
      <c r="C69" t="s">
        <v>227</v>
      </c>
      <c r="E69">
        <f>E67*$D$19*(1+$D$17)</f>
        <v>133560</v>
      </c>
      <c r="F69">
        <f t="shared" ref="F69:I69" si="25">F67*$D$19*(1+$D$17)</f>
        <v>267120</v>
      </c>
      <c r="G69">
        <f t="shared" si="25"/>
        <v>400680</v>
      </c>
      <c r="H69">
        <f t="shared" si="25"/>
        <v>534240</v>
      </c>
      <c r="I69">
        <f t="shared" si="25"/>
        <v>667800</v>
      </c>
    </row>
    <row r="70" spans="1:9" x14ac:dyDescent="0.25">
      <c r="C70" t="s">
        <v>204</v>
      </c>
      <c r="E70">
        <f>(PhiMayCanMang(E67*2,$C$15/100,$D$15/100) + PhiMangCan(E67*2,$C$15/100,$D$15/100,$D$21))*(1+$D$17)</f>
        <v>127432.17305000001</v>
      </c>
      <c r="F70">
        <f>(PhiMayCanMang(F67*2,$C$15/100,$D$15/100) + PhiMangCan(F67*2,$C$15/100,$D$15/100,$D$21))*(1+$D$17)</f>
        <v>191150.62084999998</v>
      </c>
      <c r="G70">
        <f>(PhiMayCanMang(G67*2,$C$15/100,$D$15/100) + PhiMangCan(G67*2,$C$15/100,$D$15/100,$D$21))*(1+$D$17)</f>
        <v>254416.11947500001</v>
      </c>
      <c r="H70">
        <f>(PhiMayCanMang(H67*2,$C$15/100,$D$15/100) + PhiMangCan(H67*2,$C$15/100,$D$15/100,$D$21))*(1+$D$17)</f>
        <v>318134.57514999993</v>
      </c>
      <c r="I70">
        <f>(PhiMayCanMang(I67*2,$C$15/100,$D$15/100) + PhiMangCan(I67*2,$C$15/100,$D$15/100,$D$21))*(1+$D$17)</f>
        <v>381400.073775</v>
      </c>
    </row>
    <row r="71" spans="1:9" x14ac:dyDescent="0.25">
      <c r="C71" t="s">
        <v>228</v>
      </c>
    </row>
    <row r="72" spans="1:9" x14ac:dyDescent="0.25">
      <c r="C72" t="s">
        <v>223</v>
      </c>
      <c r="E72" s="7" t="e">
        <f ca="1">LamChanHangNgan(E68+E69+E71)</f>
        <v>#VALUE!</v>
      </c>
      <c r="F72" s="7" t="e">
        <f t="shared" ref="F72:I72" ca="1" si="26">LamChanHangNgan(F68+F69+F71)</f>
        <v>#VALUE!</v>
      </c>
      <c r="G72" s="7" t="e">
        <f t="shared" ca="1" si="26"/>
        <v>#VALUE!</v>
      </c>
      <c r="H72" s="7" t="e">
        <f t="shared" ca="1" si="26"/>
        <v>#VALUE!</v>
      </c>
      <c r="I72" s="7" t="e">
        <f t="shared" ca="1" si="26"/>
        <v>#VALUE!</v>
      </c>
    </row>
    <row r="73" spans="1:9" x14ac:dyDescent="0.25">
      <c r="C73" t="s">
        <v>224</v>
      </c>
      <c r="E73" s="7" t="e">
        <f ca="1">LamChanHangNgan(E68+E69+E70+E71)</f>
        <v>#VALUE!</v>
      </c>
      <c r="F73" s="7" t="e">
        <f t="shared" ref="F73:I73" ca="1" si="27">LamChanHangNgan(F68+F69+F70+F71)</f>
        <v>#VALUE!</v>
      </c>
      <c r="G73" s="7" t="e">
        <f t="shared" ca="1" si="27"/>
        <v>#VALUE!</v>
      </c>
      <c r="H73" s="7" t="e">
        <f t="shared" ca="1" si="27"/>
        <v>#VALUE!</v>
      </c>
      <c r="I73" s="7" t="e">
        <f t="shared" ca="1" si="27"/>
        <v>#VALUE!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F0288B32-910E-469F-9E8B-46CB21B2C4AC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63C2DB1F-4C53-4178-9E0D-8BF3D7169D80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E3FA2C8F-EE3C-4472-A8FB-FDE14F09FF39}">
      <formula1>OFFSET(GIA_GIAY_CO_BAN,1,0,,1)</formula1>
    </dataValidation>
  </dataValidation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1EB56-9FD3-4579-9283-29F5BE6E6695}">
  <sheetPr codeName="Trang_tính6"/>
  <dimension ref="A1:I73"/>
  <sheetViews>
    <sheetView workbookViewId="0">
      <selection activeCell="I34" sqref="I34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218</v>
      </c>
    </row>
    <row r="2" spans="1:7" x14ac:dyDescent="0.25">
      <c r="A2" t="s">
        <v>179</v>
      </c>
      <c r="B2" t="s">
        <v>183</v>
      </c>
    </row>
    <row r="3" spans="1:7" x14ac:dyDescent="0.25">
      <c r="A3" t="s">
        <v>184</v>
      </c>
      <c r="B3" t="s">
        <v>32</v>
      </c>
    </row>
    <row r="4" spans="1:7" x14ac:dyDescent="0.25">
      <c r="A4" t="s">
        <v>121</v>
      </c>
      <c r="B4" t="s">
        <v>185</v>
      </c>
    </row>
    <row r="5" spans="1:7" x14ac:dyDescent="0.25">
      <c r="A5" t="s">
        <v>180</v>
      </c>
      <c r="B5" t="s">
        <v>186</v>
      </c>
    </row>
    <row r="6" spans="1:7" x14ac:dyDescent="0.25">
      <c r="A6" t="s">
        <v>187</v>
      </c>
      <c r="B6" t="s">
        <v>188</v>
      </c>
    </row>
    <row r="9" spans="1:7" x14ac:dyDescent="0.25">
      <c r="A9" s="1" t="s">
        <v>181</v>
      </c>
      <c r="B9" t="s">
        <v>196</v>
      </c>
    </row>
    <row r="10" spans="1:7" x14ac:dyDescent="0.25">
      <c r="A10" t="s">
        <v>127</v>
      </c>
      <c r="B10" s="12">
        <v>43609</v>
      </c>
    </row>
    <row r="11" spans="1:7" x14ac:dyDescent="0.25">
      <c r="B11" t="s">
        <v>53</v>
      </c>
      <c r="C11" t="s">
        <v>54</v>
      </c>
      <c r="E11" t="s">
        <v>220</v>
      </c>
      <c r="F11" s="1" t="s">
        <v>221</v>
      </c>
      <c r="G11" s="1" t="s">
        <v>222</v>
      </c>
    </row>
    <row r="12" spans="1:7" x14ac:dyDescent="0.25">
      <c r="A12" t="s">
        <v>119</v>
      </c>
      <c r="D12" t="s">
        <v>194</v>
      </c>
    </row>
    <row r="13" spans="1:7" x14ac:dyDescent="0.25">
      <c r="A13" t="s">
        <v>219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</row>
    <row r="15" spans="1:7" ht="30" x14ac:dyDescent="0.25">
      <c r="A15" t="s">
        <v>117</v>
      </c>
      <c r="B15" s="1" t="s">
        <v>31</v>
      </c>
      <c r="C15">
        <v>32</v>
      </c>
      <c r="D15">
        <v>47</v>
      </c>
      <c r="E15" s="2" t="s">
        <v>130</v>
      </c>
    </row>
    <row r="16" spans="1:7" x14ac:dyDescent="0.25">
      <c r="A16" t="s">
        <v>126</v>
      </c>
      <c r="D16" s="1">
        <f>SoConTrenToLon($C$15,$D$15,$B$13+$D$13,$C$13+$D$13)</f>
        <v>2</v>
      </c>
      <c r="E16">
        <v>2</v>
      </c>
    </row>
    <row r="17" spans="1:9" x14ac:dyDescent="0.25">
      <c r="A17" t="s">
        <v>51</v>
      </c>
      <c r="D17" s="14">
        <v>0.75</v>
      </c>
      <c r="E17" s="15" t="s">
        <v>131</v>
      </c>
    </row>
    <row r="18" spans="1:9" x14ac:dyDescent="0.25">
      <c r="B18" t="s">
        <v>122</v>
      </c>
      <c r="C18" t="s">
        <v>123</v>
      </c>
      <c r="D18" t="s">
        <v>125</v>
      </c>
      <c r="E18" t="s">
        <v>124</v>
      </c>
    </row>
    <row r="19" spans="1:9" x14ac:dyDescent="0.25">
      <c r="A19" t="s">
        <v>195</v>
      </c>
      <c r="B19" t="s">
        <v>67</v>
      </c>
      <c r="C19" t="s">
        <v>60</v>
      </c>
      <c r="D19">
        <v>1272</v>
      </c>
      <c r="E19" s="3">
        <f>D19*(1+D17)</f>
        <v>2226</v>
      </c>
    </row>
    <row r="21" spans="1:9" x14ac:dyDescent="0.25">
      <c r="A21" t="s">
        <v>225</v>
      </c>
      <c r="B21" t="s">
        <v>49</v>
      </c>
      <c r="C21" t="s">
        <v>50</v>
      </c>
      <c r="D21">
        <v>1200</v>
      </c>
    </row>
    <row r="23" spans="1:9" x14ac:dyDescent="0.25">
      <c r="A23" t="s">
        <v>199</v>
      </c>
    </row>
    <row r="24" spans="1:9" x14ac:dyDescent="0.25">
      <c r="A24" t="s">
        <v>157</v>
      </c>
      <c r="B24" t="s">
        <v>156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226</v>
      </c>
      <c r="E25">
        <f>($A25*E$24/2)/$D$16</f>
        <v>30</v>
      </c>
      <c r="F25">
        <f t="shared" ref="F25:I25" si="0">($A25*F$24/2)/$D$16</f>
        <v>60</v>
      </c>
      <c r="G25">
        <f t="shared" si="0"/>
        <v>90</v>
      </c>
      <c r="H25">
        <f t="shared" si="0"/>
        <v>120</v>
      </c>
      <c r="I25">
        <f t="shared" si="0"/>
        <v>150</v>
      </c>
    </row>
    <row r="26" spans="1:9" x14ac:dyDescent="0.25">
      <c r="C26" t="s">
        <v>200</v>
      </c>
      <c r="E26" s="3" t="e">
        <f ca="1">PhiInKM4M_BHR70(E$25*$E$16*2)*(1+$D$17)</f>
        <v>#NAME?</v>
      </c>
      <c r="F26" s="3" t="e">
        <f ca="1">PhiInKM4M_BHR70(F$25*$E$16*2)*(1+$D$17)</f>
        <v>#NAME?</v>
      </c>
      <c r="G26" s="3" t="e">
        <f ca="1">PhiInKM4M_BHR70(G$25*$E$16*2)*(1+$D$17)</f>
        <v>#NAME?</v>
      </c>
      <c r="H26" s="3" t="e">
        <f ca="1">PhiInKM4M_BHR70(H$25*$E$16*2)*(1+$D$17)</f>
        <v>#NAME?</v>
      </c>
      <c r="I26" s="3" t="e">
        <f ca="1">PhiInKM4M_BHR70(I$25*$E$16*2)*(1+$D$17)</f>
        <v>#NAME?</v>
      </c>
    </row>
    <row r="27" spans="1:9" x14ac:dyDescent="0.25">
      <c r="C27" t="s">
        <v>227</v>
      </c>
      <c r="E27" s="3">
        <f>E$25*$D$19*(1+$D$17)</f>
        <v>66780</v>
      </c>
      <c r="F27" s="3">
        <f>F$25*$D$19*(1+$D$17)</f>
        <v>133560</v>
      </c>
      <c r="G27" s="3">
        <f t="shared" ref="G27:I27" si="1">G$25*$D$19*(1+$D$17)</f>
        <v>200340</v>
      </c>
      <c r="H27" s="3">
        <f t="shared" si="1"/>
        <v>267120</v>
      </c>
      <c r="I27" s="3">
        <f t="shared" si="1"/>
        <v>333900</v>
      </c>
    </row>
    <row r="28" spans="1:9" x14ac:dyDescent="0.25">
      <c r="C28" t="s">
        <v>204</v>
      </c>
      <c r="E28" s="3">
        <f>(PhiMayCanMang(E$25*2,$C$15/100,$D$15/100) + PhiMangCan(E$25*2,$C$15/100,$D$15/100,$D$21))*(1+$D$17)</f>
        <v>95799.419800000003</v>
      </c>
      <c r="F28" s="3">
        <f>(PhiMayCanMang(F$25*2,$C$15/100,$D$15/100) + PhiMangCan(F$25*2,$C$15/100,$D$15/100,$D$21))*(1+$D$17)</f>
        <v>127432.17305000001</v>
      </c>
      <c r="G28" s="3">
        <f>(PhiMayCanMang(G$25*2,$C$15/100,$D$15/100) + PhiMangCan(G$25*2,$C$15/100,$D$15/100,$D$21))*(1+$D$17)</f>
        <v>159517.863575</v>
      </c>
      <c r="H28" s="3">
        <f>(PhiMayCanMang(H$25*2,$C$15/100,$D$15/100) + PhiMangCan(H$25*2,$C$15/100,$D$15/100,$D$21))*(1+$D$17)</f>
        <v>191150.62084999998</v>
      </c>
      <c r="I28" s="3">
        <f>(PhiMayCanMang(I$25*2,$C$15/100,$D$15/100) + PhiMangCan(I$25*2,$C$15/100,$D$15/100,$D$21))*(1+$D$17)</f>
        <v>222783.37007499998</v>
      </c>
    </row>
    <row r="29" spans="1:9" x14ac:dyDescent="0.25">
      <c r="C29" t="s">
        <v>228</v>
      </c>
      <c r="E29" s="3">
        <f>PhiMayCanGap(E$25*$D$16)*(1+$D$17)</f>
        <v>114479.166725</v>
      </c>
      <c r="F29" s="3">
        <f t="shared" ref="F29:I29" si="2">PhiMayCanGap(F$25*$D$16)*(1+$D$17)</f>
        <v>121041.666725</v>
      </c>
      <c r="G29" s="3">
        <f t="shared" si="2"/>
        <v>127604.166725</v>
      </c>
      <c r="H29" s="3">
        <f t="shared" si="2"/>
        <v>134166.66672500002</v>
      </c>
      <c r="I29" s="3">
        <f t="shared" si="2"/>
        <v>140729.16672500002</v>
      </c>
    </row>
    <row r="30" spans="1:9" x14ac:dyDescent="0.25">
      <c r="C30" t="s">
        <v>223</v>
      </c>
      <c r="E30" s="7" t="e">
        <f ca="1">LamChanHangNgan(E$26+E$27+E$29)</f>
        <v>#VALUE!</v>
      </c>
      <c r="F30" s="7" t="e">
        <f t="shared" ref="F30:I30" ca="1" si="3">LamChanHangNgan(F$26+F$27+F$29)</f>
        <v>#VALUE!</v>
      </c>
      <c r="G30" s="7" t="e">
        <f t="shared" ca="1" si="3"/>
        <v>#VALUE!</v>
      </c>
      <c r="H30" s="7" t="e">
        <f t="shared" ca="1" si="3"/>
        <v>#VALUE!</v>
      </c>
      <c r="I30" s="7" t="e">
        <f t="shared" ca="1" si="3"/>
        <v>#VALUE!</v>
      </c>
    </row>
    <row r="31" spans="1:9" x14ac:dyDescent="0.25">
      <c r="C31" t="s">
        <v>224</v>
      </c>
      <c r="E31" s="7" t="e">
        <f ca="1">LamChanHangNgan(E$26+E$27+E$28+E$29)</f>
        <v>#VALUE!</v>
      </c>
      <c r="F31" s="7" t="e">
        <f t="shared" ref="F31:I31" ca="1" si="4">LamChanHangNgan(F$26+F$27+F$28+F$29)</f>
        <v>#VALUE!</v>
      </c>
      <c r="G31" s="7" t="e">
        <f t="shared" ca="1" si="4"/>
        <v>#VALUE!</v>
      </c>
      <c r="H31" s="7" t="e">
        <f t="shared" ca="1" si="4"/>
        <v>#VALUE!</v>
      </c>
      <c r="I31" s="7" t="e">
        <f t="shared" ca="1" si="4"/>
        <v>#VALUE!</v>
      </c>
    </row>
    <row r="32" spans="1:9" x14ac:dyDescent="0.25">
      <c r="A32">
        <v>14</v>
      </c>
      <c r="B32">
        <f>$A32*E$24</f>
        <v>140</v>
      </c>
      <c r="C32" t="s">
        <v>226</v>
      </c>
      <c r="E32">
        <f>($A32*E$24/2)/$D$16</f>
        <v>35</v>
      </c>
      <c r="F32">
        <f t="shared" ref="F32:I32" si="5">($A32*F$24/2)/$D$16</f>
        <v>70</v>
      </c>
      <c r="G32">
        <f t="shared" si="5"/>
        <v>105</v>
      </c>
      <c r="H32">
        <f t="shared" si="5"/>
        <v>140</v>
      </c>
      <c r="I32">
        <f t="shared" si="5"/>
        <v>175</v>
      </c>
    </row>
    <row r="33" spans="1:9" x14ac:dyDescent="0.25">
      <c r="C33" t="s">
        <v>200</v>
      </c>
      <c r="E33" s="8" t="e">
        <f ca="1">PhiInKM4M_BHR70(E32*$E$16*2)*(1+$D$17)</f>
        <v>#NAME?</v>
      </c>
      <c r="F33" s="8" t="e">
        <f ca="1">PhiInKM4M_BHR70(F32*$E$16*2)*(1+$D$17)</f>
        <v>#NAME?</v>
      </c>
      <c r="G33" s="8" t="e">
        <f ca="1">PhiInKM4M_BHR70(G32*$E$16*2)*(1+$D$17)</f>
        <v>#NAME?</v>
      </c>
      <c r="H33" s="8" t="e">
        <f ca="1">PhiInKM4M_BHR70(H32*$E$16*2)*(1+$D$17)</f>
        <v>#NAME?</v>
      </c>
      <c r="I33" s="8" t="e">
        <f ca="1">PhiInKM4M_BHR70(I32*$E$16*2)*(1+$D$17)</f>
        <v>#NAME?</v>
      </c>
    </row>
    <row r="34" spans="1:9" x14ac:dyDescent="0.25">
      <c r="C34" t="s">
        <v>227</v>
      </c>
      <c r="E34" s="8">
        <f>E32*$D$19*(1+$D$17)</f>
        <v>77910</v>
      </c>
      <c r="F34" s="8">
        <f t="shared" ref="F34:I34" si="6">F32*$D$19*(1+$D$17)</f>
        <v>155820</v>
      </c>
      <c r="G34" s="8">
        <f t="shared" si="6"/>
        <v>233730</v>
      </c>
      <c r="H34" s="8">
        <f t="shared" si="6"/>
        <v>311640</v>
      </c>
      <c r="I34" s="8">
        <f t="shared" si="6"/>
        <v>389550</v>
      </c>
    </row>
    <row r="35" spans="1:9" x14ac:dyDescent="0.25">
      <c r="C35" t="s">
        <v>204</v>
      </c>
      <c r="E35" s="8">
        <f>(PhiMayCanMang(E32*2,$C$15/100,$D$15/100) + PhiMangCan(E32*2,$C$15/100,$D$15/100,$D$21))*(1+$D$17)</f>
        <v>101222.52525000001</v>
      </c>
      <c r="F35" s="8">
        <f>(PhiMayCanMang(F32*2,$C$15/100,$D$15/100) + PhiMangCan(F32*2,$C$15/100,$D$15/100,$D$21))*(1+$D$17)</f>
        <v>138278.3836</v>
      </c>
      <c r="G35" s="8">
        <f>(PhiMayCanMang(G32*2,$C$15/100,$D$15/100) + PhiMangCan(G32*2,$C$15/100,$D$15/100,$D$21))*(1+$D$17)</f>
        <v>175334.24229999998</v>
      </c>
      <c r="H35" s="8">
        <f>(PhiMayCanMang(H32*2,$C$15/100,$D$15/100) + PhiMangCan(H32*2,$C$15/100,$D$15/100,$D$21))*(1+$D$17)</f>
        <v>212390.10082499997</v>
      </c>
      <c r="I35" s="8">
        <f>(PhiMayCanMang(I32*2,$C$15/100,$D$15/100) + PhiMangCan(I32*2,$C$15/100,$D$15/100,$D$21))*(1+$D$17)</f>
        <v>248993.01822499998</v>
      </c>
    </row>
    <row r="36" spans="1:9" x14ac:dyDescent="0.25">
      <c r="C36" t="s">
        <v>228</v>
      </c>
      <c r="E36" s="8">
        <f>PhiMayCanGap(E32*$D$16)*(1+$D$17)</f>
        <v>115572.916725</v>
      </c>
      <c r="F36" s="8">
        <f t="shared" ref="F36:I36" si="7">PhiMayCanGap(F32*$D$16)*(1+$D$17)</f>
        <v>123229.166725</v>
      </c>
      <c r="G36" s="8">
        <f t="shared" si="7"/>
        <v>130885.416725</v>
      </c>
      <c r="H36" s="8">
        <f t="shared" si="7"/>
        <v>138541.66672500002</v>
      </c>
      <c r="I36" s="8">
        <f t="shared" si="7"/>
        <v>146197.91672500002</v>
      </c>
    </row>
    <row r="37" spans="1:9" x14ac:dyDescent="0.25">
      <c r="C37" t="s">
        <v>223</v>
      </c>
      <c r="E37" s="23" t="e">
        <f ca="1">LamChanHangNgan(E33+E34+E36)</f>
        <v>#VALUE!</v>
      </c>
      <c r="F37" s="23" t="e">
        <f t="shared" ref="F37:I37" ca="1" si="8">LamChanHangNgan(F33+F34+F36)</f>
        <v>#VALUE!</v>
      </c>
      <c r="G37" s="23" t="e">
        <f t="shared" ca="1" si="8"/>
        <v>#VALUE!</v>
      </c>
      <c r="H37" s="23" t="e">
        <f t="shared" ca="1" si="8"/>
        <v>#VALUE!</v>
      </c>
      <c r="I37" s="23" t="e">
        <f t="shared" ca="1" si="8"/>
        <v>#VALUE!</v>
      </c>
    </row>
    <row r="38" spans="1:9" x14ac:dyDescent="0.25">
      <c r="C38" t="s">
        <v>224</v>
      </c>
      <c r="E38" s="23" t="e">
        <f ca="1">LamChanHangNgan(E33+E34+E35+E36)</f>
        <v>#VALUE!</v>
      </c>
      <c r="F38" s="23" t="e">
        <f t="shared" ref="F38:I38" ca="1" si="9">LamChanHangNgan(F33+F34+F35+F36)</f>
        <v>#VALUE!</v>
      </c>
      <c r="G38" s="23" t="e">
        <f t="shared" ca="1" si="9"/>
        <v>#VALUE!</v>
      </c>
      <c r="H38" s="23" t="e">
        <f t="shared" ca="1" si="9"/>
        <v>#VALUE!</v>
      </c>
      <c r="I38" s="23" t="e">
        <f t="shared" ca="1" si="9"/>
        <v>#VALUE!</v>
      </c>
    </row>
    <row r="39" spans="1:9" x14ac:dyDescent="0.25">
      <c r="A39">
        <v>16</v>
      </c>
      <c r="B39">
        <f>$A39*E$24</f>
        <v>160</v>
      </c>
      <c r="C39" t="s">
        <v>226</v>
      </c>
      <c r="E39">
        <f>($A39*E$24/2)/$D$16</f>
        <v>40</v>
      </c>
      <c r="F39">
        <f t="shared" ref="F39:I39" si="10">($A39*F$24/2)/$D$16</f>
        <v>80</v>
      </c>
      <c r="G39">
        <f t="shared" si="10"/>
        <v>120</v>
      </c>
      <c r="H39">
        <f t="shared" si="10"/>
        <v>160</v>
      </c>
      <c r="I39">
        <f t="shared" si="10"/>
        <v>200</v>
      </c>
    </row>
    <row r="40" spans="1:9" x14ac:dyDescent="0.25">
      <c r="C40" t="s">
        <v>200</v>
      </c>
      <c r="E40" t="e">
        <f ca="1">PhiInKM4M_BHR70(E39*$E$16*2)*(1+$D$17)</f>
        <v>#NAME?</v>
      </c>
      <c r="F40" t="e">
        <f ca="1">PhiInKM4M_BHR70(F39*$E$16*2)*(1+$D$17)</f>
        <v>#NAME?</v>
      </c>
      <c r="G40" t="e">
        <f ca="1">PhiInKM4M_BHR70(G39*$E$16*2)*(1+$D$17)</f>
        <v>#NAME?</v>
      </c>
      <c r="H40" t="e">
        <f ca="1">PhiInKM4M_BHR70(H39*$E$16*2)*(1+$D$17)</f>
        <v>#NAME?</v>
      </c>
      <c r="I40" t="e">
        <f ca="1">PhiInKM4M_BHR70(I39*$E$16*2)*(1+$D$17)</f>
        <v>#NAME?</v>
      </c>
    </row>
    <row r="41" spans="1:9" x14ac:dyDescent="0.25">
      <c r="C41" t="s">
        <v>227</v>
      </c>
      <c r="E41">
        <f>E39*$D$19*(1+$D$17)</f>
        <v>89040</v>
      </c>
      <c r="F41">
        <f t="shared" ref="F41:I41" si="11">F39*$D$19*(1+$D$17)</f>
        <v>178080</v>
      </c>
      <c r="G41">
        <f t="shared" si="11"/>
        <v>267120</v>
      </c>
      <c r="H41">
        <f t="shared" si="11"/>
        <v>356160</v>
      </c>
      <c r="I41">
        <f t="shared" si="11"/>
        <v>445200</v>
      </c>
    </row>
    <row r="42" spans="1:9" x14ac:dyDescent="0.25">
      <c r="C42" t="s">
        <v>204</v>
      </c>
      <c r="E42">
        <f>(PhiMayCanMang(E39*2,$C$15/100,$D$15/100) + PhiMangCan(E39*2,$C$15/100,$D$15/100,$D$21))*(1+$D$17)</f>
        <v>106645.63035000001</v>
      </c>
      <c r="F42">
        <f>(PhiMayCanMang(F39*2,$C$15/100,$D$15/100) + PhiMangCan(F39*2,$C$15/100,$D$15/100,$D$21))*(1+$D$17)</f>
        <v>148671.65302500001</v>
      </c>
      <c r="G42">
        <f>(PhiMayCanMang(G39*2,$C$15/100,$D$15/100) + PhiMangCan(G39*2,$C$15/100,$D$15/100,$D$21))*(1+$D$17)</f>
        <v>191150.62084999998</v>
      </c>
      <c r="H42">
        <f>(PhiMayCanMang(H39*2,$C$15/100,$D$15/100) + PhiMangCan(H39*2,$C$15/100,$D$15/100,$D$21))*(1+$D$17)</f>
        <v>233176.63949999999</v>
      </c>
      <c r="I42">
        <f>(PhiMayCanMang(I39*2,$C$15/100,$D$15/100) + PhiMangCan(I39*2,$C$15/100,$D$15/100,$D$21))*(1+$D$17)</f>
        <v>275655.60732499999</v>
      </c>
    </row>
    <row r="43" spans="1:9" x14ac:dyDescent="0.25">
      <c r="C43" t="s">
        <v>228</v>
      </c>
      <c r="E43">
        <f>PhiMayCanGap(E39*$D$16)*(1+$D$17)</f>
        <v>116666.666725</v>
      </c>
      <c r="F43">
        <f t="shared" ref="F43:I43" si="12">PhiMayCanGap(F39*$D$16)*(1+$D$17)</f>
        <v>125416.666725</v>
      </c>
      <c r="G43">
        <f t="shared" si="12"/>
        <v>134166.66672500002</v>
      </c>
      <c r="H43">
        <f t="shared" si="12"/>
        <v>142916.66672500002</v>
      </c>
      <c r="I43">
        <f t="shared" si="12"/>
        <v>151666.66672500002</v>
      </c>
    </row>
    <row r="44" spans="1:9" x14ac:dyDescent="0.25">
      <c r="C44" t="s">
        <v>223</v>
      </c>
      <c r="E44" s="7" t="e">
        <f ca="1">LamChanHangNgan(E40+E41+E43)</f>
        <v>#VALUE!</v>
      </c>
      <c r="F44" s="7" t="e">
        <f t="shared" ref="F44" ca="1" si="13">LamChanHangNgan(F40+F41+F43)</f>
        <v>#VALUE!</v>
      </c>
      <c r="G44" s="7" t="e">
        <f t="shared" ref="G44" ca="1" si="14">LamChanHangNgan(G40+G41+G43)</f>
        <v>#VALUE!</v>
      </c>
      <c r="H44" s="7" t="e">
        <f t="shared" ref="H44" ca="1" si="15">LamChanHangNgan(H40+H41+H43)</f>
        <v>#VALUE!</v>
      </c>
      <c r="I44" s="7" t="e">
        <f t="shared" ref="I44" ca="1" si="16">LamChanHangNgan(I40+I41+I43)</f>
        <v>#VALUE!</v>
      </c>
    </row>
    <row r="45" spans="1:9" x14ac:dyDescent="0.25">
      <c r="C45" t="s">
        <v>224</v>
      </c>
      <c r="E45" s="7" t="e">
        <f ca="1">LamChanHangNgan(E40+E41+E42+E43)</f>
        <v>#VALUE!</v>
      </c>
      <c r="F45" s="7" t="e">
        <f t="shared" ref="F45:I45" ca="1" si="17">LamChanHangNgan(F40+F41+F42+F43)</f>
        <v>#VALUE!</v>
      </c>
      <c r="G45" s="7" t="e">
        <f t="shared" ca="1" si="17"/>
        <v>#VALUE!</v>
      </c>
      <c r="H45" s="7" t="e">
        <f t="shared" ca="1" si="17"/>
        <v>#VALUE!</v>
      </c>
      <c r="I45" s="7" t="e">
        <f t="shared" ca="1" si="17"/>
        <v>#VALUE!</v>
      </c>
    </row>
    <row r="46" spans="1:9" x14ac:dyDescent="0.25">
      <c r="A46">
        <v>18</v>
      </c>
      <c r="B46">
        <f>$A46*E$24</f>
        <v>180</v>
      </c>
      <c r="C46" t="s">
        <v>226</v>
      </c>
      <c r="E46">
        <f>($A46*E$24/2)/$D$16</f>
        <v>45</v>
      </c>
      <c r="F46">
        <f t="shared" ref="F46:I46" si="18">($A46*F$24/2)/$D$16</f>
        <v>90</v>
      </c>
      <c r="G46">
        <f t="shared" si="18"/>
        <v>135</v>
      </c>
      <c r="H46">
        <f t="shared" si="18"/>
        <v>180</v>
      </c>
      <c r="I46">
        <f t="shared" si="18"/>
        <v>225</v>
      </c>
    </row>
    <row r="47" spans="1:9" x14ac:dyDescent="0.25">
      <c r="C47" t="s">
        <v>200</v>
      </c>
      <c r="E47" t="e">
        <f ca="1">PhiInKM4M_BHR70(E46*$E$16*2)*(1+$D$17)</f>
        <v>#NAME?</v>
      </c>
      <c r="F47" t="e">
        <f ca="1">PhiInKM4M_BHR70(F46*$E$16*2)*(1+$D$17)</f>
        <v>#NAME?</v>
      </c>
      <c r="G47" t="e">
        <f ca="1">PhiInKM4M_BHR70(G46*$E$16*2)*(1+$D$17)</f>
        <v>#NAME?</v>
      </c>
      <c r="H47" t="e">
        <f ca="1">PhiInKM4M_BHR70(H46*$E$16*2)*(1+$D$17)</f>
        <v>#NAME?</v>
      </c>
      <c r="I47" t="e">
        <f ca="1">PhiInKM4M_BHR70(I46*$E$16*2)*(1+$D$17)</f>
        <v>#NAME?</v>
      </c>
    </row>
    <row r="48" spans="1:9" x14ac:dyDescent="0.25">
      <c r="C48" t="s">
        <v>227</v>
      </c>
      <c r="E48">
        <f>E46*$D$19*(1+$D$17)</f>
        <v>100170</v>
      </c>
      <c r="F48">
        <f t="shared" ref="F48:I48" si="19">F46*$D$19*(1+$D$17)</f>
        <v>200340</v>
      </c>
      <c r="G48">
        <f t="shared" si="19"/>
        <v>300510</v>
      </c>
      <c r="H48">
        <f t="shared" si="19"/>
        <v>400680</v>
      </c>
      <c r="I48">
        <f t="shared" si="19"/>
        <v>500850</v>
      </c>
    </row>
    <row r="49" spans="1:9" x14ac:dyDescent="0.25">
      <c r="C49" t="s">
        <v>204</v>
      </c>
      <c r="E49">
        <f>(PhiMayCanMang(E46*2,$C$15/100,$D$15/100) + PhiMangCan(E46*2,$C$15/100,$D$15/100,$D$21))*(1+$D$17)</f>
        <v>111615.79449999999</v>
      </c>
      <c r="F49">
        <f>(PhiMayCanMang(F46*2,$C$15/100,$D$15/100) + PhiMangCan(F46*2,$C$15/100,$D$15/100,$D$21))*(1+$D$17)</f>
        <v>159517.863575</v>
      </c>
      <c r="G49">
        <f>(PhiMayCanMang(G46*2,$C$15/100,$D$15/100) + PhiMangCan(G46*2,$C$15/100,$D$15/100,$D$21))*(1+$D$17)</f>
        <v>206966.99152499999</v>
      </c>
      <c r="H49">
        <f>(PhiMayCanMang(H46*2,$C$15/100,$D$15/100) + PhiMangCan(H46*2,$C$15/100,$D$15/100,$D$21))*(1+$D$17)</f>
        <v>254416.11947500001</v>
      </c>
      <c r="I49">
        <f>(PhiMayCanMang(I46*2,$C$15/100,$D$15/100) + PhiMangCan(I46*2,$C$15/100,$D$15/100,$D$21))*(1+$D$17)</f>
        <v>301865.25547500001</v>
      </c>
    </row>
    <row r="50" spans="1:9" x14ac:dyDescent="0.25">
      <c r="C50" t="s">
        <v>228</v>
      </c>
      <c r="E50">
        <f>PhiMayCanGap(E46*$D$16)*(1+$D$17)</f>
        <v>117760.416725</v>
      </c>
      <c r="F50">
        <f t="shared" ref="F50:I50" si="20">PhiMayCanGap(F46*$D$16)*(1+$D$17)</f>
        <v>127604.166725</v>
      </c>
      <c r="G50">
        <f t="shared" si="20"/>
        <v>137447.91672500002</v>
      </c>
      <c r="H50">
        <f t="shared" si="20"/>
        <v>147291.66672500002</v>
      </c>
      <c r="I50">
        <f t="shared" si="20"/>
        <v>157135.41672500002</v>
      </c>
    </row>
    <row r="51" spans="1:9" x14ac:dyDescent="0.25">
      <c r="C51" t="s">
        <v>223</v>
      </c>
      <c r="E51" s="7" t="e">
        <f ca="1">LamChanHangNgan(E47+E48+E50)</f>
        <v>#VALUE!</v>
      </c>
      <c r="F51" s="7" t="e">
        <f t="shared" ref="F51" ca="1" si="21">LamChanHangNgan(F47+F48+F50)</f>
        <v>#VALUE!</v>
      </c>
      <c r="G51" s="7" t="e">
        <f t="shared" ref="G51" ca="1" si="22">LamChanHangNgan(G47+G48+G50)</f>
        <v>#VALUE!</v>
      </c>
      <c r="H51" s="7" t="e">
        <f t="shared" ref="H51" ca="1" si="23">LamChanHangNgan(H47+H48+H50)</f>
        <v>#VALUE!</v>
      </c>
      <c r="I51" s="7" t="e">
        <f t="shared" ref="I51" ca="1" si="24">LamChanHangNgan(I47+I48+I50)</f>
        <v>#VALUE!</v>
      </c>
    </row>
    <row r="52" spans="1:9" x14ac:dyDescent="0.25">
      <c r="C52" t="s">
        <v>224</v>
      </c>
      <c r="E52" s="7" t="e">
        <f ca="1">LamChanHangNgan(E47+E48+E49+E50)</f>
        <v>#VALUE!</v>
      </c>
      <c r="F52" s="7" t="e">
        <f t="shared" ref="F52:I52" ca="1" si="25">LamChanHangNgan(F47+F48+F49+F50)</f>
        <v>#VALUE!</v>
      </c>
      <c r="G52" s="7" t="e">
        <f t="shared" ca="1" si="25"/>
        <v>#VALUE!</v>
      </c>
      <c r="H52" s="7" t="e">
        <f t="shared" ca="1" si="25"/>
        <v>#VALUE!</v>
      </c>
      <c r="I52" s="7" t="e">
        <f t="shared" ca="1" si="25"/>
        <v>#VALUE!</v>
      </c>
    </row>
    <row r="53" spans="1:9" x14ac:dyDescent="0.25">
      <c r="A53">
        <v>20</v>
      </c>
      <c r="B53">
        <f>$A53*E$24</f>
        <v>200</v>
      </c>
      <c r="C53" t="s">
        <v>226</v>
      </c>
      <c r="E53">
        <f>($A53*E$24/2)/$D$16</f>
        <v>50</v>
      </c>
      <c r="F53">
        <f t="shared" ref="F53:I53" si="26">($A53*F$24/2)/$D$16</f>
        <v>100</v>
      </c>
      <c r="G53">
        <f t="shared" si="26"/>
        <v>150</v>
      </c>
      <c r="H53">
        <f t="shared" si="26"/>
        <v>200</v>
      </c>
      <c r="I53">
        <f t="shared" si="26"/>
        <v>250</v>
      </c>
    </row>
    <row r="54" spans="1:9" x14ac:dyDescent="0.25">
      <c r="C54" t="s">
        <v>200</v>
      </c>
      <c r="E54" t="e">
        <f ca="1">PhiInKM4M_BHR70(E53*$E$16*2)*(1+$D$17)</f>
        <v>#NAME?</v>
      </c>
      <c r="F54" t="e">
        <f ca="1">PhiInKM4M_BHR70(F53*$E$16*2)*(1+$D$17)</f>
        <v>#NAME?</v>
      </c>
      <c r="G54" t="e">
        <f ca="1">PhiInKM4M_BHR70(G53*$E$16*2)*(1+$D$17)</f>
        <v>#NAME?</v>
      </c>
      <c r="H54" t="e">
        <f ca="1">PhiInKM4M_BHR70(H53*$E$16*2)*(1+$D$17)</f>
        <v>#NAME?</v>
      </c>
      <c r="I54" t="e">
        <f ca="1">PhiInKM4M_BHR70(I53*$E$16*2)*(1+$D$17)</f>
        <v>#NAME?</v>
      </c>
    </row>
    <row r="55" spans="1:9" x14ac:dyDescent="0.25">
      <c r="C55" t="s">
        <v>227</v>
      </c>
      <c r="E55">
        <f>E53*$D$19*(1+$D$17)</f>
        <v>111300</v>
      </c>
      <c r="F55">
        <f t="shared" ref="F55:I55" si="27">F53*$D$19*(1+$D$17)</f>
        <v>222600</v>
      </c>
      <c r="G55">
        <f t="shared" si="27"/>
        <v>333900</v>
      </c>
      <c r="H55">
        <f t="shared" si="27"/>
        <v>445200</v>
      </c>
      <c r="I55">
        <f t="shared" si="27"/>
        <v>556500</v>
      </c>
    </row>
    <row r="56" spans="1:9" x14ac:dyDescent="0.25">
      <c r="C56" t="s">
        <v>204</v>
      </c>
      <c r="E56">
        <f>(PhiMayCanMang(E53*2,$C$15/100,$D$15/100) + PhiMangCan(E53*2,$C$15/100,$D$15/100,$D$21))*(1+$D$17)</f>
        <v>117038.901875</v>
      </c>
      <c r="F56">
        <f>(PhiMayCanMang(F53*2,$C$15/100,$D$15/100) + PhiMangCan(F53*2,$C$15/100,$D$15/100,$D$21))*(1+$D$17)</f>
        <v>169911.137025</v>
      </c>
      <c r="G56">
        <f>(PhiMayCanMang(G53*2,$C$15/100,$D$15/100) + PhiMangCan(G53*2,$C$15/100,$D$15/100,$D$21))*(1+$D$17)</f>
        <v>222783.37007499998</v>
      </c>
      <c r="H56">
        <f>(PhiMayCanMang(H53*2,$C$15/100,$D$15/100) + PhiMangCan(H53*2,$C$15/100,$D$15/100,$D$21))*(1+$D$17)</f>
        <v>275655.60732499999</v>
      </c>
      <c r="I56">
        <f>(PhiMayCanMang(I53*2,$C$15/100,$D$15/100) + PhiMangCan(I53*2,$C$15/100,$D$15/100,$D$21))*(1+$D$17)</f>
        <v>328527.83652499999</v>
      </c>
    </row>
    <row r="57" spans="1:9" x14ac:dyDescent="0.25">
      <c r="C57" t="s">
        <v>228</v>
      </c>
      <c r="E57">
        <f>PhiMayCanGap(E53*$D$16)*(1+$D$17)</f>
        <v>118854.166725</v>
      </c>
      <c r="F57">
        <f t="shared" ref="F57:I57" si="28">PhiMayCanGap(F53*$D$16)*(1+$D$17)</f>
        <v>129791.666725</v>
      </c>
      <c r="G57">
        <f t="shared" si="28"/>
        <v>140729.16672500002</v>
      </c>
      <c r="H57">
        <f t="shared" si="28"/>
        <v>151666.66672500002</v>
      </c>
      <c r="I57">
        <f t="shared" si="28"/>
        <v>162604.16672500002</v>
      </c>
    </row>
    <row r="58" spans="1:9" x14ac:dyDescent="0.25">
      <c r="C58" t="s">
        <v>223</v>
      </c>
      <c r="E58" s="7" t="e">
        <f ca="1">LamChanHangNgan(E54+E55+E57)</f>
        <v>#VALUE!</v>
      </c>
      <c r="F58" s="7" t="e">
        <f t="shared" ref="F58" ca="1" si="29">LamChanHangNgan(F54+F55+F57)</f>
        <v>#VALUE!</v>
      </c>
      <c r="G58" s="7" t="e">
        <f t="shared" ref="G58" ca="1" si="30">LamChanHangNgan(G54+G55+G57)</f>
        <v>#VALUE!</v>
      </c>
      <c r="H58" s="7" t="e">
        <f t="shared" ref="H58" ca="1" si="31">LamChanHangNgan(H54+H55+H57)</f>
        <v>#VALUE!</v>
      </c>
      <c r="I58" s="7" t="e">
        <f t="shared" ref="I58" ca="1" si="32">LamChanHangNgan(I54+I55+I57)</f>
        <v>#VALUE!</v>
      </c>
    </row>
    <row r="59" spans="1:9" ht="14.25" customHeight="1" x14ac:dyDescent="0.25">
      <c r="C59" t="s">
        <v>224</v>
      </c>
      <c r="E59" s="7" t="e">
        <f ca="1">LamChanHangNgan(E54+E55+E56+E57)</f>
        <v>#VALUE!</v>
      </c>
      <c r="F59" s="7" t="e">
        <f t="shared" ref="F59:I59" ca="1" si="33">LamChanHangNgan(F54+F55+F56+F57)</f>
        <v>#VALUE!</v>
      </c>
      <c r="G59" s="7" t="e">
        <f t="shared" ca="1" si="33"/>
        <v>#VALUE!</v>
      </c>
      <c r="H59" s="7" t="e">
        <f t="shared" ca="1" si="33"/>
        <v>#VALUE!</v>
      </c>
      <c r="I59" s="7" t="e">
        <f t="shared" ca="1" si="33"/>
        <v>#VALUE!</v>
      </c>
    </row>
    <row r="60" spans="1:9" x14ac:dyDescent="0.25">
      <c r="A60">
        <v>22</v>
      </c>
      <c r="B60">
        <f>$A60*E$24</f>
        <v>220</v>
      </c>
      <c r="C60" t="s">
        <v>226</v>
      </c>
      <c r="E60">
        <f>($A60*E$24/2)/$D$16</f>
        <v>55</v>
      </c>
      <c r="F60">
        <f t="shared" ref="F60:I60" si="34">($A60*F$24/2)/$D$16</f>
        <v>110</v>
      </c>
      <c r="G60">
        <f t="shared" si="34"/>
        <v>165</v>
      </c>
      <c r="H60">
        <f t="shared" si="34"/>
        <v>220</v>
      </c>
      <c r="I60">
        <f t="shared" si="34"/>
        <v>275</v>
      </c>
    </row>
    <row r="61" spans="1:9" x14ac:dyDescent="0.25">
      <c r="C61" t="s">
        <v>200</v>
      </c>
      <c r="E61" t="e">
        <f ca="1">PhiInKM4M_BHR70(E60*$E$16*2)*(1+$D$17)</f>
        <v>#NAME?</v>
      </c>
      <c r="F61" t="e">
        <f ca="1">PhiInKM4M_BHR70(F60*$E$16*2)*(1+$D$17)</f>
        <v>#NAME?</v>
      </c>
      <c r="G61" t="e">
        <f ca="1">PhiInKM4M_BHR70(G60*$E$16*2)*(1+$D$17)</f>
        <v>#NAME?</v>
      </c>
      <c r="H61" t="e">
        <f ca="1">PhiInKM4M_BHR70(H60*$E$16*2)*(1+$D$17)</f>
        <v>#NAME?</v>
      </c>
      <c r="I61" t="e">
        <f ca="1">PhiInKM4M_BHR70(I60*$E$16*2)*(1+$D$17)</f>
        <v>#NAME?</v>
      </c>
    </row>
    <row r="62" spans="1:9" x14ac:dyDescent="0.25">
      <c r="C62" t="s">
        <v>227</v>
      </c>
      <c r="E62">
        <f>E60*$D$19*(1+$D$17)</f>
        <v>122430</v>
      </c>
      <c r="F62">
        <f t="shared" ref="F62:I62" si="35">F60*$D$19*(1+$D$17)</f>
        <v>244860</v>
      </c>
      <c r="G62">
        <f t="shared" si="35"/>
        <v>367290</v>
      </c>
      <c r="H62">
        <f t="shared" si="35"/>
        <v>489720</v>
      </c>
      <c r="I62">
        <f t="shared" si="35"/>
        <v>612150</v>
      </c>
    </row>
    <row r="63" spans="1:9" x14ac:dyDescent="0.25">
      <c r="C63" t="s">
        <v>204</v>
      </c>
      <c r="E63">
        <f>(PhiMayCanMang(E60*2,$C$15/100,$D$15/100) + PhiMangCan(E60*2,$C$15/100,$D$15/100,$D$21))*(1+$D$17)</f>
        <v>122462.00505000001</v>
      </c>
      <c r="F63">
        <f>(PhiMayCanMang(F60*2,$C$15/100,$D$15/100) + PhiMangCan(F60*2,$C$15/100,$D$15/100,$D$21))*(1+$D$17)</f>
        <v>180304.40224999998</v>
      </c>
      <c r="G63">
        <f>(PhiMayCanMang(G60*2,$C$15/100,$D$15/100) + PhiMangCan(G60*2,$C$15/100,$D$15/100,$D$21))*(1+$D$17)</f>
        <v>238599.74897499999</v>
      </c>
      <c r="H63">
        <f>(PhiMayCanMang(H60*2,$C$15/100,$D$15/100) + PhiMangCan(H60*2,$C$15/100,$D$15/100,$D$21))*(1+$D$17)</f>
        <v>296895.07925000001</v>
      </c>
      <c r="I63">
        <f>(PhiMayCanMang(I60*2,$C$15/100,$D$15/100) + PhiMangCan(I60*2,$C$15/100,$D$15/100,$D$21))*(1+$D$17)</f>
        <v>354737.49272500002</v>
      </c>
    </row>
    <row r="64" spans="1:9" x14ac:dyDescent="0.25">
      <c r="C64" t="s">
        <v>228</v>
      </c>
      <c r="E64">
        <f>PhiMayCanGap(E60*$D$16)*(1+$D$17)</f>
        <v>119947.916725</v>
      </c>
      <c r="F64">
        <f t="shared" ref="F64:I64" si="36">PhiMayCanGap(F60*$D$16)*(1+$D$17)</f>
        <v>131979.16672500002</v>
      </c>
      <c r="G64">
        <f t="shared" si="36"/>
        <v>144010.41672500002</v>
      </c>
      <c r="H64">
        <f t="shared" si="36"/>
        <v>156041.66672500002</v>
      </c>
      <c r="I64">
        <f t="shared" si="36"/>
        <v>168072.91672500002</v>
      </c>
    </row>
    <row r="65" spans="1:9" x14ac:dyDescent="0.25">
      <c r="C65" t="s">
        <v>223</v>
      </c>
      <c r="E65" s="7" t="e">
        <f ca="1">LamChanHangNgan(E61+E62+E64)</f>
        <v>#VALUE!</v>
      </c>
      <c r="F65" s="7" t="e">
        <f t="shared" ref="F65" ca="1" si="37">LamChanHangNgan(F61+F62+F64)</f>
        <v>#VALUE!</v>
      </c>
      <c r="G65" s="7" t="e">
        <f t="shared" ref="G65" ca="1" si="38">LamChanHangNgan(G61+G62+G64)</f>
        <v>#VALUE!</v>
      </c>
      <c r="H65" s="7" t="e">
        <f t="shared" ref="H65" ca="1" si="39">LamChanHangNgan(H61+H62+H64)</f>
        <v>#VALUE!</v>
      </c>
      <c r="I65" s="7" t="e">
        <f t="shared" ref="I65" ca="1" si="40">LamChanHangNgan(I61+I62+I64)</f>
        <v>#VALUE!</v>
      </c>
    </row>
    <row r="66" spans="1:9" x14ac:dyDescent="0.25">
      <c r="C66" t="s">
        <v>224</v>
      </c>
      <c r="E66" s="7" t="e">
        <f ca="1">LamChanHangNgan(E61+E62+E63+E64)</f>
        <v>#VALUE!</v>
      </c>
      <c r="F66" s="7" t="e">
        <f t="shared" ref="F66:I66" ca="1" si="41">LamChanHangNgan(F61+F62+F63+F64)</f>
        <v>#VALUE!</v>
      </c>
      <c r="G66" s="7" t="e">
        <f t="shared" ca="1" si="41"/>
        <v>#VALUE!</v>
      </c>
      <c r="H66" s="7" t="e">
        <f t="shared" ca="1" si="41"/>
        <v>#VALUE!</v>
      </c>
      <c r="I66" s="7" t="e">
        <f t="shared" ca="1" si="41"/>
        <v>#VALUE!</v>
      </c>
    </row>
    <row r="67" spans="1:9" x14ac:dyDescent="0.25">
      <c r="A67">
        <v>24</v>
      </c>
      <c r="B67">
        <f>$A67*E$24</f>
        <v>240</v>
      </c>
      <c r="C67" t="s">
        <v>226</v>
      </c>
      <c r="E67">
        <f>($A67*E$24/2)/$D$16</f>
        <v>60</v>
      </c>
      <c r="F67">
        <f t="shared" ref="F67:I67" si="42">($A67*F$24/2)/$D$16</f>
        <v>120</v>
      </c>
      <c r="G67">
        <f t="shared" si="42"/>
        <v>180</v>
      </c>
      <c r="H67">
        <f t="shared" si="42"/>
        <v>240</v>
      </c>
      <c r="I67">
        <f t="shared" si="42"/>
        <v>300</v>
      </c>
    </row>
    <row r="68" spans="1:9" x14ac:dyDescent="0.25">
      <c r="C68" t="s">
        <v>200</v>
      </c>
      <c r="E68" t="e">
        <f ca="1">PhiInKM4M_BHR70(E67*$E$16*2)*(1+$D$17)</f>
        <v>#NAME?</v>
      </c>
      <c r="F68" t="e">
        <f ca="1">PhiInKM4M_BHR70(F67*$E$16*2)*(1+$D$17)</f>
        <v>#NAME?</v>
      </c>
      <c r="G68" t="e">
        <f ca="1">PhiInKM4M_BHR70(G67*$E$16*2)*(1+$D$17)</f>
        <v>#NAME?</v>
      </c>
      <c r="H68" t="e">
        <f ca="1">PhiInKM4M_BHR70(H67*$E$16*2)*(1+$D$17)</f>
        <v>#NAME?</v>
      </c>
      <c r="I68" t="e">
        <f ca="1">PhiInKM4M_BHR70(I67*$E$16*2)*(1+$D$17)</f>
        <v>#NAME?</v>
      </c>
    </row>
    <row r="69" spans="1:9" x14ac:dyDescent="0.25">
      <c r="C69" t="s">
        <v>227</v>
      </c>
      <c r="E69">
        <f>E67*$D$19*(1+$D$17)</f>
        <v>133560</v>
      </c>
      <c r="F69">
        <f t="shared" ref="F69:I69" si="43">F67*$D$19*(1+$D$17)</f>
        <v>267120</v>
      </c>
      <c r="G69">
        <f t="shared" si="43"/>
        <v>400680</v>
      </c>
      <c r="H69">
        <f t="shared" si="43"/>
        <v>534240</v>
      </c>
      <c r="I69">
        <f t="shared" si="43"/>
        <v>667800</v>
      </c>
    </row>
    <row r="70" spans="1:9" x14ac:dyDescent="0.25">
      <c r="C70" t="s">
        <v>204</v>
      </c>
      <c r="E70">
        <f>(PhiMayCanMang(E67*2,$C$15/100,$D$15/100) + PhiMangCan(E67*2,$C$15/100,$D$15/100,$D$21))*(1+$D$17)</f>
        <v>127432.17305000001</v>
      </c>
      <c r="F70">
        <f>(PhiMayCanMang(F67*2,$C$15/100,$D$15/100) + PhiMangCan(F67*2,$C$15/100,$D$15/100,$D$21))*(1+$D$17)</f>
        <v>191150.62084999998</v>
      </c>
      <c r="G70">
        <f>(PhiMayCanMang(G67*2,$C$15/100,$D$15/100) + PhiMangCan(G67*2,$C$15/100,$D$15/100,$D$21))*(1+$D$17)</f>
        <v>254416.11947500001</v>
      </c>
      <c r="H70">
        <f>(PhiMayCanMang(H67*2,$C$15/100,$D$15/100) + PhiMangCan(H67*2,$C$15/100,$D$15/100,$D$21))*(1+$D$17)</f>
        <v>318134.57514999993</v>
      </c>
      <c r="I70">
        <f>(PhiMayCanMang(I67*2,$C$15/100,$D$15/100) + PhiMangCan(I67*2,$C$15/100,$D$15/100,$D$21))*(1+$D$17)</f>
        <v>381400.073775</v>
      </c>
    </row>
    <row r="71" spans="1:9" x14ac:dyDescent="0.25">
      <c r="C71" t="s">
        <v>228</v>
      </c>
      <c r="E71">
        <f>PhiMayCanGap(E67*$D$16)*(1+$D$17)</f>
        <v>121041.666725</v>
      </c>
      <c r="F71">
        <f t="shared" ref="F71:I71" si="44">PhiMayCanGap(F67*$D$16)*(1+$D$17)</f>
        <v>134166.66672500002</v>
      </c>
      <c r="G71">
        <f t="shared" si="44"/>
        <v>147291.66672500002</v>
      </c>
      <c r="H71">
        <f t="shared" si="44"/>
        <v>160416.66672500002</v>
      </c>
      <c r="I71">
        <f t="shared" si="44"/>
        <v>173541.66672500002</v>
      </c>
    </row>
    <row r="72" spans="1:9" x14ac:dyDescent="0.25">
      <c r="C72" t="s">
        <v>223</v>
      </c>
      <c r="E72" s="7" t="e">
        <f ca="1">LamChanHangNgan(E68+E69+E71)</f>
        <v>#VALUE!</v>
      </c>
      <c r="F72" s="7" t="e">
        <f t="shared" ref="F72" ca="1" si="45">LamChanHangNgan(F68+F69+F71)</f>
        <v>#VALUE!</v>
      </c>
      <c r="G72" s="7" t="e">
        <f t="shared" ref="G72" ca="1" si="46">LamChanHangNgan(G68+G69+G71)</f>
        <v>#VALUE!</v>
      </c>
      <c r="H72" s="7" t="e">
        <f t="shared" ref="H72" ca="1" si="47">LamChanHangNgan(H68+H69+H71)</f>
        <v>#VALUE!</v>
      </c>
      <c r="I72" s="7" t="e">
        <f t="shared" ref="I72" ca="1" si="48">LamChanHangNgan(I68+I69+I71)</f>
        <v>#VALUE!</v>
      </c>
    </row>
    <row r="73" spans="1:9" x14ac:dyDescent="0.25">
      <c r="C73" t="s">
        <v>224</v>
      </c>
      <c r="E73" s="7" t="e">
        <f ca="1">LamChanHangNgan(E68+E69+E70+E71)</f>
        <v>#VALUE!</v>
      </c>
      <c r="F73" s="7" t="e">
        <f t="shared" ref="F73:I73" ca="1" si="49">LamChanHangNgan(F68+F69+F70+F71)</f>
        <v>#VALUE!</v>
      </c>
      <c r="G73" s="7" t="e">
        <f t="shared" ca="1" si="49"/>
        <v>#VALUE!</v>
      </c>
      <c r="H73" s="7" t="e">
        <f t="shared" ca="1" si="49"/>
        <v>#VALUE!</v>
      </c>
      <c r="I73" s="7" t="e">
        <f t="shared" ca="1" si="49"/>
        <v>#VALUE!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19" xr:uid="{05A0C76E-6BE4-4F44-813B-C12B50AAD01C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79D27939-64AA-4C7A-9AEF-1450E536A1F9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4B529BED-D1DA-4967-B143-8EDF47FF3D05}">
      <formula1>OFFSET(GIA_MANG,1,0,,1)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57A01-165E-4A2B-B25A-F1764CDBDCC5}">
  <sheetPr codeName="Trang_tính7"/>
  <dimension ref="A1:M37"/>
  <sheetViews>
    <sheetView workbookViewId="0">
      <selection sqref="A1:M19"/>
    </sheetView>
  </sheetViews>
  <sheetFormatPr defaultRowHeight="15" x14ac:dyDescent="0.25"/>
  <cols>
    <col min="1" max="1" width="24.7109375" bestFit="1" customWidth="1"/>
    <col min="2" max="2" width="22.7109375" customWidth="1"/>
    <col min="3" max="3" width="14.28515625" customWidth="1"/>
    <col min="4" max="4" width="15.85546875" bestFit="1" customWidth="1"/>
    <col min="5" max="5" width="18.28515625" bestFit="1" customWidth="1"/>
    <col min="6" max="6" width="13.42578125" bestFit="1" customWidth="1"/>
    <col min="7" max="8" width="15" bestFit="1" customWidth="1"/>
    <col min="9" max="9" width="13.42578125" bestFit="1" customWidth="1"/>
  </cols>
  <sheetData>
    <row r="1" spans="1:13" x14ac:dyDescent="0.25">
      <c r="A1" t="s">
        <v>229</v>
      </c>
    </row>
    <row r="2" spans="1:13" x14ac:dyDescent="0.25">
      <c r="A2" t="s">
        <v>179</v>
      </c>
      <c r="B2" t="s">
        <v>230</v>
      </c>
    </row>
    <row r="3" spans="1:13" x14ac:dyDescent="0.25">
      <c r="A3" t="s">
        <v>231</v>
      </c>
    </row>
    <row r="9" spans="1:13" x14ac:dyDescent="0.25">
      <c r="A9" s="1" t="s">
        <v>181</v>
      </c>
      <c r="B9" t="s">
        <v>196</v>
      </c>
    </row>
    <row r="10" spans="1:13" x14ac:dyDescent="0.25">
      <c r="A10" t="s">
        <v>127</v>
      </c>
      <c r="B10" s="12">
        <v>43609</v>
      </c>
    </row>
    <row r="11" spans="1:13" x14ac:dyDescent="0.25">
      <c r="B11" t="s">
        <v>53</v>
      </c>
      <c r="C11" t="s">
        <v>54</v>
      </c>
      <c r="E11" t="s">
        <v>220</v>
      </c>
      <c r="F11" s="1" t="s">
        <v>221</v>
      </c>
      <c r="G11" s="1" t="s">
        <v>222</v>
      </c>
      <c r="H11" t="s">
        <v>236</v>
      </c>
    </row>
    <row r="12" spans="1:13" x14ac:dyDescent="0.25">
      <c r="A12" t="s">
        <v>233</v>
      </c>
      <c r="D12" t="s">
        <v>194</v>
      </c>
      <c r="I12" t="s">
        <v>234</v>
      </c>
      <c r="J12" t="s">
        <v>235</v>
      </c>
      <c r="L12" t="s">
        <v>249</v>
      </c>
      <c r="M12" t="e">
        <f ca="1">INDIRECT("GIA_DECAL_GIAY_VUONG")</f>
        <v>#REF!</v>
      </c>
    </row>
    <row r="13" spans="1:13" x14ac:dyDescent="0.25">
      <c r="A13" t="s">
        <v>219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  <c r="I13">
        <f>F$13+0.4+4</f>
        <v>27.5</v>
      </c>
      <c r="J13">
        <f>G$13+0.4*2</f>
        <v>29.400000000000002</v>
      </c>
    </row>
    <row r="15" spans="1:13" ht="30" x14ac:dyDescent="0.25">
      <c r="A15" t="s">
        <v>239</v>
      </c>
      <c r="B15" s="1" t="s">
        <v>31</v>
      </c>
      <c r="C15">
        <v>32</v>
      </c>
      <c r="D15">
        <v>47</v>
      </c>
      <c r="E15" s="2" t="s">
        <v>130</v>
      </c>
    </row>
    <row r="16" spans="1:13" x14ac:dyDescent="0.25">
      <c r="A16" t="s">
        <v>240</v>
      </c>
      <c r="D16" s="1">
        <v>1</v>
      </c>
      <c r="E16">
        <v>2</v>
      </c>
    </row>
    <row r="17" spans="1:9" x14ac:dyDescent="0.25">
      <c r="A17" t="s">
        <v>51</v>
      </c>
      <c r="D17" s="14">
        <v>0.75</v>
      </c>
      <c r="E17" s="15" t="s">
        <v>131</v>
      </c>
    </row>
    <row r="18" spans="1:9" x14ac:dyDescent="0.25">
      <c r="B18" t="s">
        <v>122</v>
      </c>
      <c r="C18" t="s">
        <v>123</v>
      </c>
      <c r="D18" t="s">
        <v>125</v>
      </c>
      <c r="E18" t="s">
        <v>124</v>
      </c>
    </row>
    <row r="19" spans="1:9" x14ac:dyDescent="0.25">
      <c r="A19" t="s">
        <v>195</v>
      </c>
      <c r="B19" t="s">
        <v>67</v>
      </c>
      <c r="C19" t="s">
        <v>60</v>
      </c>
      <c r="D19">
        <v>1272</v>
      </c>
      <c r="E19" s="3">
        <f>D19*(1+D17)</f>
        <v>2226</v>
      </c>
    </row>
    <row r="21" spans="1:9" x14ac:dyDescent="0.25">
      <c r="A21" t="s">
        <v>225</v>
      </c>
      <c r="B21" t="s">
        <v>49</v>
      </c>
      <c r="C21" t="s">
        <v>50</v>
      </c>
      <c r="D21">
        <v>1200</v>
      </c>
    </row>
    <row r="22" spans="1:9" x14ac:dyDescent="0.25">
      <c r="A22" t="s">
        <v>237</v>
      </c>
      <c r="C22" t="s">
        <v>238</v>
      </c>
      <c r="D22">
        <v>1200</v>
      </c>
    </row>
    <row r="24" spans="1:9" x14ac:dyDescent="0.25">
      <c r="A24" t="s">
        <v>232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C25" t="s">
        <v>241</v>
      </c>
      <c r="E25">
        <f>(E$24)/$D$16</f>
        <v>10</v>
      </c>
      <c r="F25">
        <f t="shared" ref="F25:I25" si="0">(F$24)/$D$16</f>
        <v>20</v>
      </c>
      <c r="G25">
        <f t="shared" si="0"/>
        <v>30</v>
      </c>
      <c r="H25">
        <f t="shared" si="0"/>
        <v>40</v>
      </c>
      <c r="I25">
        <f t="shared" si="0"/>
        <v>50</v>
      </c>
    </row>
    <row r="26" spans="1:9" x14ac:dyDescent="0.25">
      <c r="C26" t="s">
        <v>242</v>
      </c>
      <c r="E26" s="3" t="e">
        <f ca="1">PhiInKM4M_BHR70(E$25*$E$16)*(1+$D$17)</f>
        <v>#NAME?</v>
      </c>
      <c r="F26" s="3" t="e">
        <f ca="1">PhiInKM4M_BHR70(F$25*$E$16)*(1+$D$17)</f>
        <v>#NAME?</v>
      </c>
      <c r="G26" s="3" t="e">
        <f ca="1">PhiInKM4M_BHR70(G$25*$E$16)*(1+$D$17)</f>
        <v>#NAME?</v>
      </c>
      <c r="H26" s="3" t="e">
        <f ca="1">PhiInKM4M_BHR70(H$25*$E$16)*(1+$D$17)</f>
        <v>#NAME?</v>
      </c>
      <c r="I26" s="3" t="e">
        <f ca="1">PhiInKM4M_BHR70(I$25*$E$16)*(1+$D$17)</f>
        <v>#NAME?</v>
      </c>
    </row>
    <row r="27" spans="1:9" x14ac:dyDescent="0.25">
      <c r="C27" t="s">
        <v>227</v>
      </c>
      <c r="E27" s="3">
        <f>E$25*$D$19*(1+$D$17)</f>
        <v>22260</v>
      </c>
      <c r="F27" s="3">
        <f>F$25*$D$19*(1+$D$17)</f>
        <v>44520</v>
      </c>
      <c r="G27" s="3">
        <f t="shared" ref="G27:I27" si="1">G$25*$D$19*(1+$D$17)</f>
        <v>66780</v>
      </c>
      <c r="H27" s="3">
        <f t="shared" si="1"/>
        <v>89040</v>
      </c>
      <c r="I27" s="3">
        <f t="shared" si="1"/>
        <v>111300</v>
      </c>
    </row>
    <row r="28" spans="1:9" x14ac:dyDescent="0.25">
      <c r="C28" t="s">
        <v>204</v>
      </c>
      <c r="E28" s="3">
        <f>(PhiMayCanMang(E$25*2,$C$15/100,$D$15/100) + PhiMangCan(E$25*2,$C$15/100,$D$15/100,$D$21))*(1+$D$17)</f>
        <v>74559.937024999992</v>
      </c>
      <c r="F28" s="3">
        <f>(PhiMayCanMang(F$25*2,$C$15/100,$D$15/100) + PhiMangCan(F$25*2,$C$15/100,$D$15/100,$D$21))*(1+$D$17)</f>
        <v>85406.148625000002</v>
      </c>
      <c r="G28" s="3">
        <f>(PhiMayCanMang(G$25*2,$C$15/100,$D$15/100) + PhiMangCan(G$25*2,$C$15/100,$D$15/100,$D$21))*(1+$D$17)</f>
        <v>95799.419800000003</v>
      </c>
      <c r="H28" s="3">
        <f>(PhiMayCanMang(H$25*2,$C$15/100,$D$15/100) + PhiMangCan(H$25*2,$C$15/100,$D$15/100,$D$21))*(1+$D$17)</f>
        <v>106645.63035000001</v>
      </c>
      <c r="I28" s="3">
        <f>(PhiMayCanMang(I$25*2,$C$15/100,$D$15/100) + PhiMangCan(I$25*2,$C$15/100,$D$15/100,$D$21))*(1+$D$17)</f>
        <v>117038.901875</v>
      </c>
    </row>
    <row r="29" spans="1:9" x14ac:dyDescent="0.25">
      <c r="C29" t="s">
        <v>245</v>
      </c>
      <c r="E29" s="3" t="e">
        <f ca="1">SUM(E26:E28)</f>
        <v>#NAME?</v>
      </c>
      <c r="F29" s="3" t="e">
        <f t="shared" ref="F29:I29" ca="1" si="2">SUM(F26:F28)</f>
        <v>#NAME?</v>
      </c>
      <c r="G29" s="3" t="e">
        <f t="shared" ca="1" si="2"/>
        <v>#NAME?</v>
      </c>
      <c r="H29" s="3" t="e">
        <f t="shared" ca="1" si="2"/>
        <v>#NAME?</v>
      </c>
      <c r="I29" s="3" t="e">
        <f t="shared" ca="1" si="2"/>
        <v>#NAME?</v>
      </c>
    </row>
    <row r="30" spans="1:9" x14ac:dyDescent="0.25">
      <c r="C30" t="s">
        <v>243</v>
      </c>
      <c r="E30" s="3">
        <f>E24*2*$D$22</f>
        <v>24000</v>
      </c>
      <c r="F30" s="3">
        <f t="shared" ref="F30:I30" si="3">F24*2*$D$22</f>
        <v>48000</v>
      </c>
      <c r="G30" s="3">
        <f t="shared" si="3"/>
        <v>72000</v>
      </c>
      <c r="H30" s="3">
        <f t="shared" si="3"/>
        <v>96000</v>
      </c>
      <c r="I30" s="3">
        <f t="shared" si="3"/>
        <v>120000</v>
      </c>
    </row>
    <row r="31" spans="1:9" x14ac:dyDescent="0.25">
      <c r="C31" t="s">
        <v>244</v>
      </c>
      <c r="E31" s="3">
        <f>(PhiLamBiaCungMayY(E24)+E30)*(1+$D$17)</f>
        <v>286149.30539999995</v>
      </c>
      <c r="F31" s="3">
        <f t="shared" ref="F31:I31" si="4">(PhiLamBiaCungMayY(F24)+F30)*(1+$D$17)</f>
        <v>333131.94425</v>
      </c>
      <c r="G31" s="3">
        <f t="shared" si="4"/>
        <v>380114.58327499998</v>
      </c>
      <c r="H31" s="3">
        <f t="shared" si="4"/>
        <v>427097.22212499997</v>
      </c>
      <c r="I31" s="3">
        <f t="shared" si="4"/>
        <v>474079.86097499996</v>
      </c>
    </row>
    <row r="32" spans="1:9" x14ac:dyDescent="0.25">
      <c r="C32" t="s">
        <v>246</v>
      </c>
      <c r="E32" s="24" t="e">
        <f ca="1">E29+E31</f>
        <v>#NAME?</v>
      </c>
      <c r="F32" s="24" t="e">
        <f t="shared" ref="F32:I32" ca="1" si="5">F29+F31</f>
        <v>#NAME?</v>
      </c>
      <c r="G32" s="24" t="e">
        <f t="shared" ca="1" si="5"/>
        <v>#NAME?</v>
      </c>
      <c r="H32" s="24" t="e">
        <f t="shared" ca="1" si="5"/>
        <v>#NAME?</v>
      </c>
      <c r="I32" s="24" t="e">
        <f t="shared" ca="1" si="5"/>
        <v>#NAME?</v>
      </c>
    </row>
    <row r="33" spans="3:9" x14ac:dyDescent="0.25">
      <c r="E33" s="24"/>
      <c r="F33" s="24"/>
      <c r="G33" s="24"/>
      <c r="H33" s="24"/>
      <c r="I33" s="24"/>
    </row>
    <row r="34" spans="3:9" x14ac:dyDescent="0.25">
      <c r="C34" t="s">
        <v>247</v>
      </c>
      <c r="E34" s="13">
        <f>PhiLDPT_VoCuonBatVit(E24) * (1+$D$17)</f>
        <v>25277.777875</v>
      </c>
      <c r="F34" s="13">
        <f t="shared" ref="F34:I34" si="6">PhiLDPT_VoCuonBatVit(F24) * (1+$D$17)</f>
        <v>27805.555574999998</v>
      </c>
      <c r="G34" s="13">
        <f t="shared" si="6"/>
        <v>30333.333624999999</v>
      </c>
      <c r="H34" s="13">
        <f t="shared" si="6"/>
        <v>32861.111149999997</v>
      </c>
      <c r="I34" s="13">
        <f t="shared" si="6"/>
        <v>35388.88955</v>
      </c>
    </row>
    <row r="35" spans="3:9" x14ac:dyDescent="0.25">
      <c r="C35" t="s">
        <v>248</v>
      </c>
      <c r="E35" s="7" t="e">
        <f ca="1">LamChanHangNgan(E32+E34)</f>
        <v>#VALUE!</v>
      </c>
      <c r="F35" s="7" t="e">
        <f t="shared" ref="F35:I35" ca="1" si="7">LamChanHangNgan(F32+F34)</f>
        <v>#VALUE!</v>
      </c>
      <c r="G35" s="7" t="e">
        <f t="shared" ca="1" si="7"/>
        <v>#VALUE!</v>
      </c>
      <c r="H35" s="7" t="e">
        <f t="shared" ca="1" si="7"/>
        <v>#VALUE!</v>
      </c>
      <c r="I35" s="7" t="e">
        <f t="shared" ca="1" si="7"/>
        <v>#VALUE!</v>
      </c>
    </row>
    <row r="37" spans="3:9" x14ac:dyDescent="0.25">
      <c r="D37" t="s">
        <v>250</v>
      </c>
      <c r="E37" s="3" t="e">
        <f ca="1">LamChanHangNgan(E35/E24)</f>
        <v>#VALUE!</v>
      </c>
      <c r="F37" s="3" t="e">
        <f t="shared" ref="F37:I37" ca="1" si="8">LamChanHangNgan(F35/F24)</f>
        <v>#VALUE!</v>
      </c>
      <c r="G37" s="3" t="e">
        <f t="shared" ca="1" si="8"/>
        <v>#VALUE!</v>
      </c>
      <c r="H37" s="3" t="e">
        <f t="shared" ca="1" si="8"/>
        <v>#VALUE!</v>
      </c>
      <c r="I37" s="3" t="e">
        <f t="shared" ca="1" si="8"/>
        <v>#VALUE!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3EEAD395-2BC2-4E4E-B93F-8F1C4A321C73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0B9D4F52-673E-418D-A198-B96265CE4E54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7224F471-3B90-4779-A4B5-DE0AEFA61447}">
      <formula1>OFFSET(GIA_GIAY_CO_BAN,1,0,,1)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E69A2-EABB-4A4B-9460-8B58E88684C5}">
  <sheetPr codeName="Trang_tính8"/>
  <dimension ref="A1:I80"/>
  <sheetViews>
    <sheetView topLeftCell="A49" workbookViewId="0">
      <selection activeCell="K69" sqref="K69"/>
    </sheetView>
  </sheetViews>
  <sheetFormatPr defaultRowHeight="15" x14ac:dyDescent="0.25"/>
  <cols>
    <col min="1" max="1" width="20" bestFit="1" customWidth="1"/>
    <col min="2" max="2" width="18.5703125" customWidth="1"/>
    <col min="3" max="3" width="19" customWidth="1"/>
    <col min="4" max="4" width="15.85546875" bestFit="1" customWidth="1"/>
    <col min="5" max="5" width="18.5703125" bestFit="1" customWidth="1"/>
    <col min="6" max="6" width="15" bestFit="1" customWidth="1"/>
    <col min="7" max="7" width="15.140625" bestFit="1" customWidth="1"/>
    <col min="8" max="9" width="15.85546875" bestFit="1" customWidth="1"/>
  </cols>
  <sheetData>
    <row r="1" spans="1:7" x14ac:dyDescent="0.25">
      <c r="A1" t="s">
        <v>251</v>
      </c>
    </row>
    <row r="2" spans="1:7" x14ac:dyDescent="0.25">
      <c r="A2" t="s">
        <v>179</v>
      </c>
      <c r="B2" t="s">
        <v>183</v>
      </c>
    </row>
    <row r="3" spans="1:7" x14ac:dyDescent="0.25">
      <c r="A3" t="s">
        <v>184</v>
      </c>
      <c r="B3" t="s">
        <v>32</v>
      </c>
    </row>
    <row r="4" spans="1:7" x14ac:dyDescent="0.25">
      <c r="A4" t="s">
        <v>121</v>
      </c>
      <c r="B4" t="s">
        <v>252</v>
      </c>
    </row>
    <row r="5" spans="1:7" x14ac:dyDescent="0.25">
      <c r="A5" t="s">
        <v>180</v>
      </c>
      <c r="B5" t="s">
        <v>186</v>
      </c>
    </row>
    <row r="6" spans="1:7" x14ac:dyDescent="0.25">
      <c r="A6" t="s">
        <v>187</v>
      </c>
      <c r="B6" t="s">
        <v>188</v>
      </c>
    </row>
    <row r="9" spans="1:7" x14ac:dyDescent="0.25">
      <c r="A9" s="1" t="s">
        <v>181</v>
      </c>
      <c r="B9" t="s">
        <v>196</v>
      </c>
    </row>
    <row r="10" spans="1:7" x14ac:dyDescent="0.25">
      <c r="A10" t="s">
        <v>127</v>
      </c>
      <c r="B10" s="12">
        <v>43609</v>
      </c>
    </row>
    <row r="11" spans="1:7" x14ac:dyDescent="0.25">
      <c r="B11" t="s">
        <v>53</v>
      </c>
      <c r="C11" t="s">
        <v>54</v>
      </c>
      <c r="E11" t="s">
        <v>220</v>
      </c>
      <c r="F11" s="1" t="s">
        <v>221</v>
      </c>
      <c r="G11" s="1" t="s">
        <v>222</v>
      </c>
    </row>
    <row r="12" spans="1:7" x14ac:dyDescent="0.25">
      <c r="A12" t="s">
        <v>119</v>
      </c>
      <c r="D12" t="s">
        <v>194</v>
      </c>
    </row>
    <row r="13" spans="1:7" x14ac:dyDescent="0.25">
      <c r="A13" t="s">
        <v>219</v>
      </c>
      <c r="B13">
        <v>40</v>
      </c>
      <c r="C13">
        <v>28</v>
      </c>
      <c r="D13">
        <v>0.3</v>
      </c>
      <c r="E13">
        <v>2.5</v>
      </c>
      <c r="F13">
        <f>$B13+$E13+$D13*2</f>
        <v>43.1</v>
      </c>
      <c r="G13">
        <f>$C13+$D13*2</f>
        <v>28.6</v>
      </c>
    </row>
    <row r="15" spans="1:7" ht="30" x14ac:dyDescent="0.25">
      <c r="A15" t="s">
        <v>117</v>
      </c>
      <c r="B15" s="1" t="s">
        <v>31</v>
      </c>
      <c r="C15">
        <v>32</v>
      </c>
      <c r="D15">
        <v>47</v>
      </c>
      <c r="E15" s="2" t="s">
        <v>130</v>
      </c>
    </row>
    <row r="16" spans="1:7" x14ac:dyDescent="0.25">
      <c r="A16" t="s">
        <v>126</v>
      </c>
      <c r="D16" s="1">
        <f>SoConTrenToLon($C$15,$D$15,$B$13+$D$13,$C$13+$D$13)</f>
        <v>1</v>
      </c>
      <c r="E16">
        <v>2</v>
      </c>
    </row>
    <row r="17" spans="1:9" x14ac:dyDescent="0.25">
      <c r="A17" t="s">
        <v>51</v>
      </c>
      <c r="D17" s="14">
        <v>0.75</v>
      </c>
      <c r="E17" s="15" t="s">
        <v>131</v>
      </c>
    </row>
    <row r="18" spans="1:9" x14ac:dyDescent="0.25">
      <c r="B18" t="s">
        <v>122</v>
      </c>
      <c r="C18" t="s">
        <v>123</v>
      </c>
      <c r="D18" t="s">
        <v>125</v>
      </c>
      <c r="E18" t="s">
        <v>124</v>
      </c>
    </row>
    <row r="19" spans="1:9" x14ac:dyDescent="0.25">
      <c r="A19" t="s">
        <v>195</v>
      </c>
      <c r="B19" t="s">
        <v>66</v>
      </c>
      <c r="C19" t="s">
        <v>59</v>
      </c>
      <c r="D19">
        <v>1056</v>
      </c>
      <c r="E19" s="3">
        <f>D19*(1+D17)</f>
        <v>1848</v>
      </c>
    </row>
    <row r="21" spans="1:9" x14ac:dyDescent="0.25">
      <c r="A21" t="s">
        <v>225</v>
      </c>
      <c r="B21" t="s">
        <v>49</v>
      </c>
      <c r="C21" t="s">
        <v>50</v>
      </c>
      <c r="D21">
        <v>1200</v>
      </c>
    </row>
    <row r="23" spans="1:9" x14ac:dyDescent="0.25">
      <c r="A23" t="s">
        <v>199</v>
      </c>
    </row>
    <row r="24" spans="1:9" x14ac:dyDescent="0.25">
      <c r="A24" t="s">
        <v>157</v>
      </c>
      <c r="B24" t="s">
        <v>156</v>
      </c>
      <c r="E24" s="1">
        <v>10</v>
      </c>
      <c r="F24" s="1">
        <v>20</v>
      </c>
      <c r="G24" s="1">
        <v>30</v>
      </c>
      <c r="H24" s="1">
        <v>40</v>
      </c>
      <c r="I24" s="1">
        <v>50</v>
      </c>
    </row>
    <row r="25" spans="1:9" x14ac:dyDescent="0.25">
      <c r="A25">
        <v>12</v>
      </c>
      <c r="B25">
        <f>$A25*E$24</f>
        <v>120</v>
      </c>
      <c r="C25" t="s">
        <v>226</v>
      </c>
      <c r="E25">
        <f>($A25*E$24/2)/$D$16</f>
        <v>60</v>
      </c>
      <c r="F25">
        <f t="shared" ref="F25:I25" si="0">($A25*F$24/2)/$D$16</f>
        <v>120</v>
      </c>
      <c r="G25">
        <f t="shared" si="0"/>
        <v>180</v>
      </c>
      <c r="H25">
        <f t="shared" si="0"/>
        <v>240</v>
      </c>
      <c r="I25">
        <f t="shared" si="0"/>
        <v>300</v>
      </c>
    </row>
    <row r="26" spans="1:9" x14ac:dyDescent="0.25">
      <c r="C26" t="s">
        <v>200</v>
      </c>
      <c r="E26" s="3" t="e">
        <f ca="1">PhiInKM4M_BHR70(E$25*$E$16*2)*(1+$D$17)</f>
        <v>#NAME?</v>
      </c>
      <c r="F26" s="3" t="e">
        <f ca="1">PhiInKM4M_BHR70(F$25*$E$16*2)*(1+$D$17)</f>
        <v>#NAME?</v>
      </c>
      <c r="G26" s="3" t="e">
        <f ca="1">PhiInKM4M_BHR70(G$25*$E$16*2)*(1+$D$17)</f>
        <v>#NAME?</v>
      </c>
      <c r="H26" s="3" t="e">
        <f ca="1">PhiInKM4M_BHR70(H$25*$E$16*2)*(1+$D$17)</f>
        <v>#NAME?</v>
      </c>
      <c r="I26" s="3" t="e">
        <f ca="1">PhiInKM4M_BHR70(I$25*$E$16*2)*(1+$D$17)</f>
        <v>#NAME?</v>
      </c>
    </row>
    <row r="27" spans="1:9" x14ac:dyDescent="0.25">
      <c r="C27" t="s">
        <v>227</v>
      </c>
      <c r="E27" s="3">
        <f>E$25*$D$19*(1+$D$17)</f>
        <v>110880</v>
      </c>
      <c r="F27" s="3">
        <f>F$25*$D$19*(1+$D$17)</f>
        <v>221760</v>
      </c>
      <c r="G27" s="3">
        <f t="shared" ref="G27:I27" si="1">G$25*$D$19*(1+$D$17)</f>
        <v>332640</v>
      </c>
      <c r="H27" s="3">
        <f t="shared" si="1"/>
        <v>443520</v>
      </c>
      <c r="I27" s="3">
        <f t="shared" si="1"/>
        <v>554400</v>
      </c>
    </row>
    <row r="28" spans="1:9" x14ac:dyDescent="0.25">
      <c r="C28" t="s">
        <v>204</v>
      </c>
      <c r="E28" s="3">
        <f>(PhiMayCanMang(E$25*2,$C$15/100,$D$15/100) + PhiMangCan(E$25*2,$C$15/100,$D$15/100,$D$21))*(1+$D$17)</f>
        <v>127432.17305000001</v>
      </c>
      <c r="F28" s="3">
        <f>(PhiMayCanMang(F$25*2,$C$15/100,$D$15/100) + PhiMangCan(F$25*2,$C$15/100,$D$15/100,$D$21))*(1+$D$17)</f>
        <v>191150.62084999998</v>
      </c>
      <c r="G28" s="3">
        <f>(PhiMayCanMang(G$25*2,$C$15/100,$D$15/100) + PhiMangCan(G$25*2,$C$15/100,$D$15/100,$D$21))*(1+$D$17)</f>
        <v>254416.11947500001</v>
      </c>
      <c r="H28" s="3">
        <f>(PhiMayCanMang(H$25*2,$C$15/100,$D$15/100) + PhiMangCan(H$25*2,$C$15/100,$D$15/100,$D$21))*(1+$D$17)</f>
        <v>318134.57514999993</v>
      </c>
      <c r="I28" s="3">
        <f>(PhiMayCanMang(I$25*2,$C$15/100,$D$15/100) + PhiMangCan(I$25*2,$C$15/100,$D$15/100,$D$21))*(1+$D$17)</f>
        <v>381400.073775</v>
      </c>
    </row>
    <row r="29" spans="1:9" x14ac:dyDescent="0.25">
      <c r="C29" t="s">
        <v>228</v>
      </c>
      <c r="E29" s="3">
        <f>PhiMayCanGap(E$25*$D$16)*(1+$D$17)</f>
        <v>114479.166725</v>
      </c>
      <c r="F29" s="3">
        <f t="shared" ref="F29:I29" si="2">PhiMayCanGap(F$25*$D$16)*(1+$D$17)</f>
        <v>121041.666725</v>
      </c>
      <c r="G29" s="3">
        <f t="shared" si="2"/>
        <v>127604.166725</v>
      </c>
      <c r="H29" s="3">
        <f t="shared" si="2"/>
        <v>134166.66672500002</v>
      </c>
      <c r="I29" s="3">
        <f t="shared" si="2"/>
        <v>140729.16672500002</v>
      </c>
    </row>
    <row r="30" spans="1:9" x14ac:dyDescent="0.25">
      <c r="C30" t="s">
        <v>253</v>
      </c>
      <c r="E30" s="3">
        <f>PhiLamRuotCuonMP_Tay(E$24, E25/E$24)*(1+$D$17)</f>
        <v>238350</v>
      </c>
      <c r="F30" s="3">
        <f t="shared" ref="F30:I30" si="3">PhiLamRuotCuonMP_Tay(F$24, F25/F$24)*(1+$D$17)</f>
        <v>448350</v>
      </c>
      <c r="G30" s="3">
        <f t="shared" si="3"/>
        <v>658350</v>
      </c>
      <c r="H30" s="3">
        <f t="shared" si="3"/>
        <v>868350</v>
      </c>
      <c r="I30" s="3">
        <f t="shared" si="3"/>
        <v>1078350</v>
      </c>
    </row>
    <row r="31" spans="1:9" x14ac:dyDescent="0.25">
      <c r="C31" t="s">
        <v>223</v>
      </c>
      <c r="E31" s="7" t="e">
        <f ca="1">LamChanHangNgan(E$26+E$27+E$29+E30)</f>
        <v>#VALUE!</v>
      </c>
      <c r="F31" s="7" t="e">
        <f t="shared" ref="F31:I31" ca="1" si="4">LamChanHangNgan(F$26+F$27+F$29+F30)</f>
        <v>#VALUE!</v>
      </c>
      <c r="G31" s="7" t="e">
        <f t="shared" ca="1" si="4"/>
        <v>#VALUE!</v>
      </c>
      <c r="H31" s="7" t="e">
        <f t="shared" ca="1" si="4"/>
        <v>#VALUE!</v>
      </c>
      <c r="I31" s="7" t="e">
        <f t="shared" ca="1" si="4"/>
        <v>#VALUE!</v>
      </c>
    </row>
    <row r="32" spans="1:9" x14ac:dyDescent="0.25">
      <c r="C32" t="s">
        <v>224</v>
      </c>
      <c r="E32" s="7" t="e">
        <f ca="1">LamChanHangNgan(E$26+E$27+E$28+E$29+E30)</f>
        <v>#VALUE!</v>
      </c>
      <c r="F32" s="7" t="e">
        <f t="shared" ref="F32:I32" ca="1" si="5">LamChanHangNgan(F$26+F$27+F$28+F$29+F30)</f>
        <v>#VALUE!</v>
      </c>
      <c r="G32" s="7" t="e">
        <f t="shared" ca="1" si="5"/>
        <v>#VALUE!</v>
      </c>
      <c r="H32" s="7" t="e">
        <f t="shared" ca="1" si="5"/>
        <v>#VALUE!</v>
      </c>
      <c r="I32" s="7" t="e">
        <f t="shared" ca="1" si="5"/>
        <v>#VALUE!</v>
      </c>
    </row>
    <row r="33" spans="1:9" x14ac:dyDescent="0.25">
      <c r="A33">
        <v>14</v>
      </c>
      <c r="B33">
        <f>$A33*E$24</f>
        <v>140</v>
      </c>
      <c r="C33" t="s">
        <v>226</v>
      </c>
      <c r="E33">
        <f>($A33*E$24/2)/$D$16</f>
        <v>70</v>
      </c>
      <c r="F33">
        <f t="shared" ref="F33:I33" si="6">($A33*F$24/2)/$D$16</f>
        <v>140</v>
      </c>
      <c r="G33">
        <f t="shared" si="6"/>
        <v>210</v>
      </c>
      <c r="H33">
        <f t="shared" si="6"/>
        <v>280</v>
      </c>
      <c r="I33">
        <f t="shared" si="6"/>
        <v>350</v>
      </c>
    </row>
    <row r="34" spans="1:9" x14ac:dyDescent="0.25">
      <c r="C34" t="s">
        <v>200</v>
      </c>
      <c r="E34" s="8" t="e">
        <f ca="1">PhiInKM4M_BHR70(E33*$E$16*2)*(1+$D$17)</f>
        <v>#NAME?</v>
      </c>
      <c r="F34" s="8" t="e">
        <f ca="1">PhiInKM4M_BHR70(F33*$E$16*2)*(1+$D$17)</f>
        <v>#NAME?</v>
      </c>
      <c r="G34" s="8" t="e">
        <f ca="1">PhiInKM4M_BHR70(G33*$E$16*2)*(1+$D$17)</f>
        <v>#NAME?</v>
      </c>
      <c r="H34" s="8" t="e">
        <f ca="1">PhiInKM4M_BHR70(H33*$E$16*2)*(1+$D$17)</f>
        <v>#NAME?</v>
      </c>
      <c r="I34" s="8" t="e">
        <f ca="1">PhiInKM4M_BHR70(I33*$E$16*2)*(1+$D$17)</f>
        <v>#NAME?</v>
      </c>
    </row>
    <row r="35" spans="1:9" x14ac:dyDescent="0.25">
      <c r="C35" t="s">
        <v>227</v>
      </c>
      <c r="E35" s="8">
        <f>E33*$D$19*(1+$D$17)</f>
        <v>129360</v>
      </c>
      <c r="F35" s="8">
        <f t="shared" ref="F35:I35" si="7">F33*$D$19*(1+$D$17)</f>
        <v>258720</v>
      </c>
      <c r="G35" s="8">
        <f t="shared" si="7"/>
        <v>388080</v>
      </c>
      <c r="H35" s="8">
        <f t="shared" si="7"/>
        <v>517440</v>
      </c>
      <c r="I35" s="8">
        <f t="shared" si="7"/>
        <v>646800</v>
      </c>
    </row>
    <row r="36" spans="1:9" x14ac:dyDescent="0.25">
      <c r="C36" t="s">
        <v>204</v>
      </c>
      <c r="E36" s="8">
        <f>(PhiMayCanMang(E33*2,$C$15/100,$D$15/100) + PhiMangCan(E33*2,$C$15/100,$D$15/100,$D$21))*(1+$D$17)</f>
        <v>138278.3836</v>
      </c>
      <c r="F36" s="8">
        <f>(PhiMayCanMang(F33*2,$C$15/100,$D$15/100) + PhiMangCan(F33*2,$C$15/100,$D$15/100,$D$21))*(1+$D$17)</f>
        <v>212390.10082499997</v>
      </c>
      <c r="G36" s="8">
        <f>(PhiMayCanMang(G33*2,$C$15/100,$D$15/100) + PhiMangCan(G33*2,$C$15/100,$D$15/100,$D$21))*(1+$D$17)</f>
        <v>286048.87675</v>
      </c>
      <c r="H36" s="8">
        <f>(PhiMayCanMang(H33*2,$C$15/100,$D$15/100) + PhiMangCan(H33*2,$C$15/100,$D$15/100,$D$21))*(1+$D$17)</f>
        <v>360160.59379999997</v>
      </c>
      <c r="I36" s="8">
        <f>(PhiMayCanMang(I33*2,$C$15/100,$D$15/100) + PhiMangCan(I33*2,$C$15/100,$D$15/100,$D$21))*(1+$D$17)</f>
        <v>434272.31102499994</v>
      </c>
    </row>
    <row r="37" spans="1:9" x14ac:dyDescent="0.25">
      <c r="C37" t="s">
        <v>228</v>
      </c>
      <c r="E37" s="8">
        <f>PhiMayCanGap(E33*$D$16)*(1+$D$17)</f>
        <v>115572.916725</v>
      </c>
      <c r="F37" s="8">
        <f t="shared" ref="F37:I37" si="8">PhiMayCanGap(F33*$D$16)*(1+$D$17)</f>
        <v>123229.166725</v>
      </c>
      <c r="G37" s="8">
        <f t="shared" si="8"/>
        <v>130885.416725</v>
      </c>
      <c r="H37" s="8">
        <f t="shared" si="8"/>
        <v>138541.66672500002</v>
      </c>
      <c r="I37" s="8">
        <f t="shared" si="8"/>
        <v>146197.91672500002</v>
      </c>
    </row>
    <row r="38" spans="1:9" x14ac:dyDescent="0.25">
      <c r="C38" t="s">
        <v>253</v>
      </c>
      <c r="E38" s="8">
        <f>PhiLamRuotCuonMP_Tay(E$24, E33/E$24)*(1+$D$17)</f>
        <v>260575</v>
      </c>
      <c r="F38" s="8">
        <f t="shared" ref="F38:I38" si="9">PhiLamRuotCuonMP_Tay(F$24, F33/F$24)*(1+$D$17)</f>
        <v>492450</v>
      </c>
      <c r="G38" s="8">
        <f t="shared" si="9"/>
        <v>724325</v>
      </c>
      <c r="H38" s="8">
        <f t="shared" si="9"/>
        <v>956200</v>
      </c>
      <c r="I38" s="8">
        <f t="shared" si="9"/>
        <v>1188075</v>
      </c>
    </row>
    <row r="39" spans="1:9" x14ac:dyDescent="0.25">
      <c r="C39" t="s">
        <v>223</v>
      </c>
      <c r="E39" s="23" t="e">
        <f ca="1">LamChanHangNgan(E34+E35+E37+E38)</f>
        <v>#VALUE!</v>
      </c>
      <c r="F39" s="23" t="e">
        <f t="shared" ref="F39:I39" ca="1" si="10">LamChanHangNgan(F34+F35+F37+F38)</f>
        <v>#VALUE!</v>
      </c>
      <c r="G39" s="23" t="e">
        <f t="shared" ca="1" si="10"/>
        <v>#VALUE!</v>
      </c>
      <c r="H39" s="23" t="e">
        <f t="shared" ca="1" si="10"/>
        <v>#VALUE!</v>
      </c>
      <c r="I39" s="23" t="e">
        <f t="shared" ca="1" si="10"/>
        <v>#VALUE!</v>
      </c>
    </row>
    <row r="40" spans="1:9" x14ac:dyDescent="0.25">
      <c r="C40" t="s">
        <v>224</v>
      </c>
      <c r="E40" s="23" t="e">
        <f ca="1">LamChanHangNgan(E34+E35+E36+E37+E38)</f>
        <v>#VALUE!</v>
      </c>
      <c r="F40" s="23" t="e">
        <f t="shared" ref="F40:I40" ca="1" si="11">LamChanHangNgan(F34+F35+F36+F37+F38)</f>
        <v>#VALUE!</v>
      </c>
      <c r="G40" s="23" t="e">
        <f t="shared" ca="1" si="11"/>
        <v>#VALUE!</v>
      </c>
      <c r="H40" s="23" t="e">
        <f t="shared" ca="1" si="11"/>
        <v>#VALUE!</v>
      </c>
      <c r="I40" s="23" t="e">
        <f t="shared" ca="1" si="11"/>
        <v>#VALUE!</v>
      </c>
    </row>
    <row r="41" spans="1:9" x14ac:dyDescent="0.25">
      <c r="A41">
        <v>16</v>
      </c>
      <c r="B41">
        <f>$A41*E$24</f>
        <v>160</v>
      </c>
      <c r="C41" t="s">
        <v>226</v>
      </c>
      <c r="E41">
        <f>($A41*E$24/2)/$D$16</f>
        <v>80</v>
      </c>
      <c r="F41">
        <f t="shared" ref="F41:I41" si="12">($A41*F$24/2)/$D$16</f>
        <v>160</v>
      </c>
      <c r="G41">
        <f t="shared" si="12"/>
        <v>240</v>
      </c>
      <c r="H41">
        <f t="shared" si="12"/>
        <v>320</v>
      </c>
      <c r="I41">
        <f t="shared" si="12"/>
        <v>400</v>
      </c>
    </row>
    <row r="42" spans="1:9" x14ac:dyDescent="0.25">
      <c r="C42" t="s">
        <v>200</v>
      </c>
      <c r="E42" t="e">
        <f ca="1">PhiInKM4M_BHR70(E41*$E$16*2)*(1+$D$17)</f>
        <v>#NAME?</v>
      </c>
      <c r="F42" t="e">
        <f ca="1">PhiInKM4M_BHR70(F41*$E$16*2)*(1+$D$17)</f>
        <v>#NAME?</v>
      </c>
      <c r="G42" t="e">
        <f ca="1">PhiInKM4M_BHR70(G41*$E$16*2)*(1+$D$17)</f>
        <v>#NAME?</v>
      </c>
      <c r="H42" t="e">
        <f ca="1">PhiInKM4M_BHR70(H41*$E$16*2)*(1+$D$17)</f>
        <v>#NAME?</v>
      </c>
      <c r="I42" t="e">
        <f ca="1">PhiInKM4M_BHR70(I41*$E$16*2)*(1+$D$17)</f>
        <v>#NAME?</v>
      </c>
    </row>
    <row r="43" spans="1:9" x14ac:dyDescent="0.25">
      <c r="C43" t="s">
        <v>227</v>
      </c>
      <c r="E43">
        <f>E41*$D$19*(1+$D$17)</f>
        <v>147840</v>
      </c>
      <c r="F43">
        <f t="shared" ref="F43:I43" si="13">F41*$D$19*(1+$D$17)</f>
        <v>295680</v>
      </c>
      <c r="G43">
        <f t="shared" si="13"/>
        <v>443520</v>
      </c>
      <c r="H43">
        <f t="shared" si="13"/>
        <v>591360</v>
      </c>
      <c r="I43">
        <f t="shared" si="13"/>
        <v>739200</v>
      </c>
    </row>
    <row r="44" spans="1:9" x14ac:dyDescent="0.25">
      <c r="C44" t="s">
        <v>204</v>
      </c>
      <c r="E44">
        <f>(PhiMayCanMang(E41*2,$C$15/100,$D$15/100) + PhiMangCan(E41*2,$C$15/100,$D$15/100,$D$21))*(1+$D$17)</f>
        <v>148671.65302500001</v>
      </c>
      <c r="F44">
        <f>(PhiMayCanMang(F41*2,$C$15/100,$D$15/100) + PhiMangCan(F41*2,$C$15/100,$D$15/100,$D$21))*(1+$D$17)</f>
        <v>233176.63949999999</v>
      </c>
      <c r="G44">
        <f>(PhiMayCanMang(G41*2,$C$15/100,$D$15/100) + PhiMangCan(G41*2,$C$15/100,$D$15/100,$D$21))*(1+$D$17)</f>
        <v>318134.57514999993</v>
      </c>
      <c r="H44">
        <f>(PhiMayCanMang(H41*2,$C$15/100,$D$15/100) + PhiMangCan(H41*2,$C$15/100,$D$15/100,$D$21))*(1+$D$17)</f>
        <v>402639.55374999996</v>
      </c>
      <c r="I44">
        <f>(PhiMayCanMang(I41*2,$C$15/100,$D$15/100) + PhiMangCan(I41*2,$C$15/100,$D$15/100,$D$21))*(1+$D$17)</f>
        <v>487144.54827500007</v>
      </c>
    </row>
    <row r="45" spans="1:9" x14ac:dyDescent="0.25">
      <c r="C45" t="s">
        <v>228</v>
      </c>
      <c r="E45">
        <f>PhiMayCanGap(E41*$D$16)*(1+$D$17)</f>
        <v>116666.666725</v>
      </c>
      <c r="F45">
        <f t="shared" ref="F45:I45" si="14">PhiMayCanGap(F41*$D$16)*(1+$D$17)</f>
        <v>125416.666725</v>
      </c>
      <c r="G45">
        <f t="shared" si="14"/>
        <v>134166.66672500002</v>
      </c>
      <c r="H45">
        <f t="shared" si="14"/>
        <v>142916.66672500002</v>
      </c>
      <c r="I45">
        <f t="shared" si="14"/>
        <v>151666.66672500002</v>
      </c>
    </row>
    <row r="46" spans="1:9" x14ac:dyDescent="0.25">
      <c r="C46" t="s">
        <v>253</v>
      </c>
      <c r="E46" s="8">
        <f>PhiLamRuotCuonMP_Tay(E$24, E41/E$24)*(1+$D$17)</f>
        <v>282800</v>
      </c>
      <c r="F46" s="8">
        <f t="shared" ref="F46:I46" si="15">PhiLamRuotCuonMP_Tay(F$24, F41/F$24)*(1+$D$17)</f>
        <v>536550</v>
      </c>
      <c r="G46" s="8">
        <f t="shared" si="15"/>
        <v>790300</v>
      </c>
      <c r="H46" s="8">
        <f t="shared" si="15"/>
        <v>1044050</v>
      </c>
      <c r="I46" s="8">
        <f t="shared" si="15"/>
        <v>1297800</v>
      </c>
    </row>
    <row r="47" spans="1:9" x14ac:dyDescent="0.25">
      <c r="C47" t="s">
        <v>223</v>
      </c>
      <c r="E47" s="23" t="e">
        <f ca="1">LamChanHangNgan(E42+E43+E45+E46)</f>
        <v>#VALUE!</v>
      </c>
      <c r="F47" s="23" t="e">
        <f t="shared" ref="F47" ca="1" si="16">LamChanHangNgan(F42+F43+F45+F46)</f>
        <v>#VALUE!</v>
      </c>
      <c r="G47" s="23" t="e">
        <f t="shared" ref="G47" ca="1" si="17">LamChanHangNgan(G42+G43+G45+G46)</f>
        <v>#VALUE!</v>
      </c>
      <c r="H47" s="23" t="e">
        <f t="shared" ref="H47" ca="1" si="18">LamChanHangNgan(H42+H43+H45+H46)</f>
        <v>#VALUE!</v>
      </c>
      <c r="I47" s="23" t="e">
        <f t="shared" ref="I47" ca="1" si="19">LamChanHangNgan(I42+I43+I45+I46)</f>
        <v>#VALUE!</v>
      </c>
    </row>
    <row r="48" spans="1:9" x14ac:dyDescent="0.25">
      <c r="C48" t="s">
        <v>224</v>
      </c>
      <c r="E48" s="23" t="e">
        <f ca="1">LamChanHangNgan(E42+E43+E44+E45+E46)</f>
        <v>#VALUE!</v>
      </c>
      <c r="F48" s="23" t="e">
        <f t="shared" ref="F48:I48" ca="1" si="20">LamChanHangNgan(F42+F43+F44+F45+F46)</f>
        <v>#VALUE!</v>
      </c>
      <c r="G48" s="23" t="e">
        <f t="shared" ca="1" si="20"/>
        <v>#VALUE!</v>
      </c>
      <c r="H48" s="23" t="e">
        <f t="shared" ca="1" si="20"/>
        <v>#VALUE!</v>
      </c>
      <c r="I48" s="23" t="e">
        <f t="shared" ca="1" si="20"/>
        <v>#VALUE!</v>
      </c>
    </row>
    <row r="49" spans="1:9" x14ac:dyDescent="0.25">
      <c r="A49">
        <v>18</v>
      </c>
      <c r="B49">
        <f>$A49*E$24</f>
        <v>180</v>
      </c>
      <c r="C49" t="s">
        <v>226</v>
      </c>
      <c r="E49">
        <f>($A49*E$24/2)/$D$16</f>
        <v>90</v>
      </c>
      <c r="F49">
        <f t="shared" ref="F49:I49" si="21">($A49*F$24/2)/$D$16</f>
        <v>180</v>
      </c>
      <c r="G49">
        <f t="shared" si="21"/>
        <v>270</v>
      </c>
      <c r="H49">
        <f t="shared" si="21"/>
        <v>360</v>
      </c>
      <c r="I49">
        <f t="shared" si="21"/>
        <v>450</v>
      </c>
    </row>
    <row r="50" spans="1:9" x14ac:dyDescent="0.25">
      <c r="C50" t="s">
        <v>200</v>
      </c>
      <c r="E50" t="e">
        <f ca="1">PhiInKM4M_BHR70(E49*$E$16*2)*(1+$D$17)</f>
        <v>#NAME?</v>
      </c>
      <c r="F50" t="e">
        <f ca="1">PhiInKM4M_BHR70(F49*$E$16*2)*(1+$D$17)</f>
        <v>#NAME?</v>
      </c>
      <c r="G50" t="e">
        <f ca="1">PhiInKM4M_BHR70(G49*$E$16*2)*(1+$D$17)</f>
        <v>#NAME?</v>
      </c>
      <c r="H50" t="e">
        <f ca="1">PhiInKM4M_BHR70(H49*$E$16*2)*(1+$D$17)</f>
        <v>#NAME?</v>
      </c>
      <c r="I50" t="e">
        <f ca="1">PhiInKM4M_BHR70(I49*$E$16*2)*(1+$D$17)</f>
        <v>#NAME?</v>
      </c>
    </row>
    <row r="51" spans="1:9" x14ac:dyDescent="0.25">
      <c r="C51" t="s">
        <v>227</v>
      </c>
      <c r="E51">
        <f>E49*$D$19*(1+$D$17)</f>
        <v>166320</v>
      </c>
      <c r="F51">
        <f t="shared" ref="F51:I51" si="22">F49*$D$19*(1+$D$17)</f>
        <v>332640</v>
      </c>
      <c r="G51">
        <f t="shared" si="22"/>
        <v>498960</v>
      </c>
      <c r="H51">
        <f t="shared" si="22"/>
        <v>665280</v>
      </c>
      <c r="I51">
        <f t="shared" si="22"/>
        <v>831600</v>
      </c>
    </row>
    <row r="52" spans="1:9" x14ac:dyDescent="0.25">
      <c r="C52" t="s">
        <v>204</v>
      </c>
      <c r="E52">
        <f>(PhiMayCanMang(E49*2,$C$15/100,$D$15/100) + PhiMangCan(E49*2,$C$15/100,$D$15/100,$D$21))*(1+$D$17)</f>
        <v>159517.863575</v>
      </c>
      <c r="F52">
        <f>(PhiMayCanMang(F49*2,$C$15/100,$D$15/100) + PhiMangCan(F49*2,$C$15/100,$D$15/100,$D$21))*(1+$D$17)</f>
        <v>254416.11947500001</v>
      </c>
      <c r="G52">
        <f>(PhiMayCanMang(G49*2,$C$15/100,$D$15/100) + PhiMangCan(G49*2,$C$15/100,$D$15/100,$D$21))*(1+$D$17)</f>
        <v>349767.31650000002</v>
      </c>
      <c r="H52">
        <f>(PhiMayCanMang(H49*2,$C$15/100,$D$15/100) + PhiMangCan(H49*2,$C$15/100,$D$15/100,$D$21))*(1+$D$17)</f>
        <v>444665.5724</v>
      </c>
      <c r="I52">
        <f>(PhiMayCanMang(I49*2,$C$15/100,$D$15/100) + PhiMangCan(I49*2,$C$15/100,$D$15/100,$D$21))*(1+$D$17)</f>
        <v>540016.78535000002</v>
      </c>
    </row>
    <row r="53" spans="1:9" x14ac:dyDescent="0.25">
      <c r="C53" t="s">
        <v>228</v>
      </c>
      <c r="E53">
        <f>PhiMayCanGap(E49*$D$16)*(1+$D$17)</f>
        <v>117760.416725</v>
      </c>
      <c r="F53">
        <f t="shared" ref="F53:I53" si="23">PhiMayCanGap(F49*$D$16)*(1+$D$17)</f>
        <v>127604.166725</v>
      </c>
      <c r="G53">
        <f t="shared" si="23"/>
        <v>137447.91672500002</v>
      </c>
      <c r="H53">
        <f t="shared" si="23"/>
        <v>147291.66672500002</v>
      </c>
      <c r="I53">
        <f t="shared" si="23"/>
        <v>157135.41672500002</v>
      </c>
    </row>
    <row r="54" spans="1:9" x14ac:dyDescent="0.25">
      <c r="C54" t="s">
        <v>253</v>
      </c>
      <c r="E54" s="8">
        <f>PhiLamRuotCuonMP_Tay(E$24, E49/E$24)*(1+$D$17)</f>
        <v>305025</v>
      </c>
      <c r="F54" s="8">
        <f t="shared" ref="F54:I54" si="24">PhiLamRuotCuonMP_Tay(F$24, F49/F$24)*(1+$D$17)</f>
        <v>580650</v>
      </c>
      <c r="G54" s="8">
        <f t="shared" si="24"/>
        <v>856275</v>
      </c>
      <c r="H54" s="8">
        <f t="shared" si="24"/>
        <v>1131900</v>
      </c>
      <c r="I54" s="8">
        <f t="shared" si="24"/>
        <v>1407525</v>
      </c>
    </row>
    <row r="55" spans="1:9" x14ac:dyDescent="0.25">
      <c r="C55" t="s">
        <v>223</v>
      </c>
      <c r="E55" s="23" t="e">
        <f ca="1">LamChanHangNgan(E50+E51+E53+E54)</f>
        <v>#VALUE!</v>
      </c>
      <c r="F55" s="23" t="e">
        <f t="shared" ref="F55" ca="1" si="25">LamChanHangNgan(F50+F51+F53+F54)</f>
        <v>#VALUE!</v>
      </c>
      <c r="G55" s="23" t="e">
        <f t="shared" ref="G55" ca="1" si="26">LamChanHangNgan(G50+G51+G53+G54)</f>
        <v>#VALUE!</v>
      </c>
      <c r="H55" s="23" t="e">
        <f t="shared" ref="H55" ca="1" si="27">LamChanHangNgan(H50+H51+H53+H54)</f>
        <v>#VALUE!</v>
      </c>
      <c r="I55" s="23" t="e">
        <f t="shared" ref="I55" ca="1" si="28">LamChanHangNgan(I50+I51+I53+I54)</f>
        <v>#VALUE!</v>
      </c>
    </row>
    <row r="56" spans="1:9" x14ac:dyDescent="0.25">
      <c r="C56" t="s">
        <v>224</v>
      </c>
      <c r="E56" s="23" t="e">
        <f ca="1">LamChanHangNgan(E50+E51+E52+E53+E54)</f>
        <v>#VALUE!</v>
      </c>
      <c r="F56" s="23" t="e">
        <f t="shared" ref="F56:I56" ca="1" si="29">LamChanHangNgan(F50+F51+F52+F53+F54)</f>
        <v>#VALUE!</v>
      </c>
      <c r="G56" s="23" t="e">
        <f t="shared" ca="1" si="29"/>
        <v>#VALUE!</v>
      </c>
      <c r="H56" s="23" t="e">
        <f t="shared" ca="1" si="29"/>
        <v>#VALUE!</v>
      </c>
      <c r="I56" s="23" t="e">
        <f t="shared" ca="1" si="29"/>
        <v>#VALUE!</v>
      </c>
    </row>
    <row r="57" spans="1:9" x14ac:dyDescent="0.25">
      <c r="A57">
        <v>20</v>
      </c>
      <c r="B57">
        <f>$A57*E$24</f>
        <v>200</v>
      </c>
      <c r="C57" t="s">
        <v>226</v>
      </c>
      <c r="E57">
        <f>($A57*E$24/2)/$D$16</f>
        <v>100</v>
      </c>
      <c r="F57">
        <f t="shared" ref="F57:I57" si="30">($A57*F$24/2)/$D$16</f>
        <v>200</v>
      </c>
      <c r="G57">
        <f t="shared" si="30"/>
        <v>300</v>
      </c>
      <c r="H57">
        <f t="shared" si="30"/>
        <v>400</v>
      </c>
      <c r="I57">
        <f t="shared" si="30"/>
        <v>500</v>
      </c>
    </row>
    <row r="58" spans="1:9" x14ac:dyDescent="0.25">
      <c r="C58" t="s">
        <v>200</v>
      </c>
      <c r="E58" t="e">
        <f ca="1">PhiInKM4M_BHR70(E57*$E$16*2)*(1+$D$17)</f>
        <v>#NAME?</v>
      </c>
      <c r="F58" t="e">
        <f ca="1">PhiInKM4M_BHR70(F57*$E$16*2)*(1+$D$17)</f>
        <v>#NAME?</v>
      </c>
      <c r="G58" t="e">
        <f ca="1">PhiInKM4M_BHR70(G57*$E$16*2)*(1+$D$17)</f>
        <v>#NAME?</v>
      </c>
      <c r="H58" t="e">
        <f ca="1">PhiInKM4M_BHR70(H57*$E$16*2)*(1+$D$17)</f>
        <v>#NAME?</v>
      </c>
      <c r="I58" t="e">
        <f ca="1">PhiInKM4M_BHR70(I57*$E$16*2)*(1+$D$17)</f>
        <v>#NAME?</v>
      </c>
    </row>
    <row r="59" spans="1:9" x14ac:dyDescent="0.25">
      <c r="C59" t="s">
        <v>227</v>
      </c>
      <c r="E59">
        <f>E57*$D$19*(1+$D$17)</f>
        <v>184800</v>
      </c>
      <c r="F59">
        <f t="shared" ref="F59:I59" si="31">F57*$D$19*(1+$D$17)</f>
        <v>369600</v>
      </c>
      <c r="G59">
        <f t="shared" si="31"/>
        <v>554400</v>
      </c>
      <c r="H59">
        <f t="shared" si="31"/>
        <v>739200</v>
      </c>
      <c r="I59">
        <f t="shared" si="31"/>
        <v>924000</v>
      </c>
    </row>
    <row r="60" spans="1:9" x14ac:dyDescent="0.25">
      <c r="C60" t="s">
        <v>204</v>
      </c>
      <c r="E60">
        <f>(PhiMayCanMang(E57*2,$C$15/100,$D$15/100) + PhiMangCan(E57*2,$C$15/100,$D$15/100,$D$21))*(1+$D$17)</f>
        <v>169911.137025</v>
      </c>
      <c r="F60">
        <f>(PhiMayCanMang(F57*2,$C$15/100,$D$15/100) + PhiMangCan(F57*2,$C$15/100,$D$15/100,$D$21))*(1+$D$17)</f>
        <v>275655.60732499999</v>
      </c>
      <c r="G60">
        <f>(PhiMayCanMang(G57*2,$C$15/100,$D$15/100) + PhiMangCan(G57*2,$C$15/100,$D$15/100,$D$21))*(1+$D$17)</f>
        <v>381400.073775</v>
      </c>
      <c r="H60">
        <f>(PhiMayCanMang(H57*2,$C$15/100,$D$15/100) + PhiMangCan(H57*2,$C$15/100,$D$15/100,$D$21))*(1+$D$17)</f>
        <v>487144.54827500007</v>
      </c>
      <c r="I60">
        <f>(PhiMayCanMang(I57*2,$C$15/100,$D$15/100) + PhiMangCan(I57*2,$C$15/100,$D$15/100,$D$21))*(1+$D$17)</f>
        <v>592889.00667499995</v>
      </c>
    </row>
    <row r="61" spans="1:9" x14ac:dyDescent="0.25">
      <c r="C61" t="s">
        <v>228</v>
      </c>
      <c r="E61">
        <f>PhiMayCanGap(E57*$D$16)*(1+$D$17)</f>
        <v>118854.166725</v>
      </c>
      <c r="F61">
        <f t="shared" ref="F61:I61" si="32">PhiMayCanGap(F57*$D$16)*(1+$D$17)</f>
        <v>129791.666725</v>
      </c>
      <c r="G61">
        <f t="shared" si="32"/>
        <v>140729.16672500002</v>
      </c>
      <c r="H61">
        <f t="shared" si="32"/>
        <v>151666.66672500002</v>
      </c>
      <c r="I61">
        <f t="shared" si="32"/>
        <v>162604.16672500002</v>
      </c>
    </row>
    <row r="62" spans="1:9" x14ac:dyDescent="0.25">
      <c r="C62" t="s">
        <v>253</v>
      </c>
      <c r="E62" s="8">
        <f>PhiLamRuotCuonMP_Tay(E$24, E57/E$24)*(1+$D$17)</f>
        <v>327250</v>
      </c>
      <c r="F62" s="8">
        <f t="shared" ref="F62:I62" si="33">PhiLamRuotCuonMP_Tay(F$24, F57/F$24)*(1+$D$17)</f>
        <v>624750</v>
      </c>
      <c r="G62" s="8">
        <f t="shared" si="33"/>
        <v>922250</v>
      </c>
      <c r="H62" s="8">
        <f t="shared" si="33"/>
        <v>1219750</v>
      </c>
      <c r="I62" s="8">
        <f t="shared" si="33"/>
        <v>1517250</v>
      </c>
    </row>
    <row r="63" spans="1:9" x14ac:dyDescent="0.25">
      <c r="C63" t="s">
        <v>223</v>
      </c>
      <c r="E63" s="23" t="e">
        <f ca="1">LamChanHangNgan(E58+E59+E61+E62)</f>
        <v>#VALUE!</v>
      </c>
      <c r="F63" s="23" t="e">
        <f t="shared" ref="F63" ca="1" si="34">LamChanHangNgan(F58+F59+F61+F62)</f>
        <v>#VALUE!</v>
      </c>
      <c r="G63" s="23" t="e">
        <f t="shared" ref="G63" ca="1" si="35">LamChanHangNgan(G58+G59+G61+G62)</f>
        <v>#VALUE!</v>
      </c>
      <c r="H63" s="23" t="e">
        <f t="shared" ref="H63" ca="1" si="36">LamChanHangNgan(H58+H59+H61+H62)</f>
        <v>#VALUE!</v>
      </c>
      <c r="I63" s="23" t="e">
        <f t="shared" ref="I63" ca="1" si="37">LamChanHangNgan(I58+I59+I61+I62)</f>
        <v>#VALUE!</v>
      </c>
    </row>
    <row r="64" spans="1:9" ht="14.25" customHeight="1" x14ac:dyDescent="0.25">
      <c r="C64" t="s">
        <v>224</v>
      </c>
      <c r="E64" s="23" t="e">
        <f ca="1">LamChanHangNgan(E58+E59+E60+E61+E62)</f>
        <v>#VALUE!</v>
      </c>
      <c r="F64" s="23" t="e">
        <f t="shared" ref="F64:I64" ca="1" si="38">LamChanHangNgan(F58+F59+F60+F61+F62)</f>
        <v>#VALUE!</v>
      </c>
      <c r="G64" s="23" t="e">
        <f t="shared" ca="1" si="38"/>
        <v>#VALUE!</v>
      </c>
      <c r="H64" s="23" t="e">
        <f t="shared" ca="1" si="38"/>
        <v>#VALUE!</v>
      </c>
      <c r="I64" s="23" t="e">
        <f t="shared" ca="1" si="38"/>
        <v>#VALUE!</v>
      </c>
    </row>
    <row r="65" spans="1:9" x14ac:dyDescent="0.25">
      <c r="A65">
        <v>22</v>
      </c>
      <c r="B65">
        <f>$A65*E$24</f>
        <v>220</v>
      </c>
      <c r="C65" t="s">
        <v>226</v>
      </c>
      <c r="E65">
        <f>($A65*E$24/2)/$D$16</f>
        <v>110</v>
      </c>
      <c r="F65">
        <f t="shared" ref="F65:I65" si="39">($A65*F$24/2)/$D$16</f>
        <v>220</v>
      </c>
      <c r="G65">
        <f t="shared" si="39"/>
        <v>330</v>
      </c>
      <c r="H65">
        <f t="shared" si="39"/>
        <v>440</v>
      </c>
      <c r="I65">
        <f t="shared" si="39"/>
        <v>550</v>
      </c>
    </row>
    <row r="66" spans="1:9" x14ac:dyDescent="0.25">
      <c r="C66" t="s">
        <v>200</v>
      </c>
      <c r="E66" t="e">
        <f ca="1">PhiInKM4M_BHR70(E65*$E$16*2)*(1+$D$17)</f>
        <v>#NAME?</v>
      </c>
      <c r="F66" t="e">
        <f ca="1">PhiInKM4M_BHR70(F65*$E$16*2)*(1+$D$17)</f>
        <v>#NAME?</v>
      </c>
      <c r="G66" t="e">
        <f ca="1">PhiInKM4M_BHR70(G65*$E$16*2)*(1+$D$17)</f>
        <v>#NAME?</v>
      </c>
      <c r="H66" t="e">
        <f ca="1">PhiInKM4M_BHR70(H65*$E$16*2)*(1+$D$17)</f>
        <v>#NAME?</v>
      </c>
      <c r="I66" t="e">
        <f ca="1">PhiInKM4M_BHR70(I65*$E$16*2)*(1+$D$17)</f>
        <v>#NAME?</v>
      </c>
    </row>
    <row r="67" spans="1:9" x14ac:dyDescent="0.25">
      <c r="C67" t="s">
        <v>227</v>
      </c>
      <c r="E67">
        <f>E65*$D$19*(1+$D$17)</f>
        <v>203280</v>
      </c>
      <c r="F67">
        <f t="shared" ref="F67:I67" si="40">F65*$D$19*(1+$D$17)</f>
        <v>406560</v>
      </c>
      <c r="G67">
        <f t="shared" si="40"/>
        <v>609840</v>
      </c>
      <c r="H67">
        <f t="shared" si="40"/>
        <v>813120</v>
      </c>
      <c r="I67">
        <f t="shared" si="40"/>
        <v>1016400</v>
      </c>
    </row>
    <row r="68" spans="1:9" x14ac:dyDescent="0.25">
      <c r="C68" t="s">
        <v>204</v>
      </c>
      <c r="E68">
        <f>(PhiMayCanMang(E65*2,$C$15/100,$D$15/100) + PhiMangCan(E65*2,$C$15/100,$D$15/100,$D$21))*(1+$D$17)</f>
        <v>180304.40224999998</v>
      </c>
      <c r="F68">
        <f>(PhiMayCanMang(F65*2,$C$15/100,$D$15/100) + PhiMangCan(F65*2,$C$15/100,$D$15/100,$D$21))*(1+$D$17)</f>
        <v>296895.07925000001</v>
      </c>
      <c r="G68">
        <f>(PhiMayCanMang(G65*2,$C$15/100,$D$15/100) + PhiMangCan(G65*2,$C$15/100,$D$15/100,$D$21))*(1+$D$17)</f>
        <v>413032.83104999998</v>
      </c>
      <c r="H68">
        <f>(PhiMayCanMang(H65*2,$C$15/100,$D$15/100) + PhiMangCan(H65*2,$C$15/100,$D$15/100,$D$21))*(1+$D$17)</f>
        <v>529623.49212499987</v>
      </c>
      <c r="I68">
        <f>(PhiMayCanMang(I65*2,$C$15/100,$D$15/100) + PhiMangCan(I65*2,$C$15/100,$D$15/100,$D$21))*(1+$D$17)</f>
        <v>645761.25985000003</v>
      </c>
    </row>
    <row r="69" spans="1:9" x14ac:dyDescent="0.25">
      <c r="C69" t="s">
        <v>228</v>
      </c>
      <c r="E69">
        <f>PhiMayCanGap(E65*$D$16)*(1+$D$17)</f>
        <v>119947.916725</v>
      </c>
      <c r="F69">
        <f t="shared" ref="F69:I69" si="41">PhiMayCanGap(F65*$D$16)*(1+$D$17)</f>
        <v>131979.16672500002</v>
      </c>
      <c r="G69">
        <f t="shared" si="41"/>
        <v>144010.41672500002</v>
      </c>
      <c r="H69">
        <f t="shared" si="41"/>
        <v>156041.66672500002</v>
      </c>
      <c r="I69">
        <f t="shared" si="41"/>
        <v>168072.91672500002</v>
      </c>
    </row>
    <row r="70" spans="1:9" x14ac:dyDescent="0.25">
      <c r="C70" t="s">
        <v>253</v>
      </c>
      <c r="E70" s="8">
        <f>PhiLamRuotCuonMP_Tay(E$24, E65/E$24)*(1+$D$17)</f>
        <v>349475</v>
      </c>
      <c r="F70" s="8">
        <f t="shared" ref="F70:I70" si="42">PhiLamRuotCuonMP_Tay(F$24, F65/F$24)*(1+$D$17)</f>
        <v>668850</v>
      </c>
      <c r="G70" s="8">
        <f t="shared" si="42"/>
        <v>988225</v>
      </c>
      <c r="H70" s="8">
        <f t="shared" si="42"/>
        <v>1307600</v>
      </c>
      <c r="I70" s="8">
        <f t="shared" si="42"/>
        <v>1626975</v>
      </c>
    </row>
    <row r="71" spans="1:9" x14ac:dyDescent="0.25">
      <c r="C71" t="s">
        <v>223</v>
      </c>
      <c r="E71" s="23" t="e">
        <f ca="1">LamChanHangNgan(E66+E67+E69+E70)</f>
        <v>#VALUE!</v>
      </c>
      <c r="F71" s="23" t="e">
        <f t="shared" ref="F71" ca="1" si="43">LamChanHangNgan(F66+F67+F69+F70)</f>
        <v>#VALUE!</v>
      </c>
      <c r="G71" s="23" t="e">
        <f t="shared" ref="G71" ca="1" si="44">LamChanHangNgan(G66+G67+G69+G70)</f>
        <v>#VALUE!</v>
      </c>
      <c r="H71" s="23" t="e">
        <f t="shared" ref="H71" ca="1" si="45">LamChanHangNgan(H66+H67+H69+H70)</f>
        <v>#VALUE!</v>
      </c>
      <c r="I71" s="23" t="e">
        <f t="shared" ref="I71" ca="1" si="46">LamChanHangNgan(I66+I67+I69+I70)</f>
        <v>#VALUE!</v>
      </c>
    </row>
    <row r="72" spans="1:9" x14ac:dyDescent="0.25">
      <c r="C72" t="s">
        <v>224</v>
      </c>
      <c r="E72" s="23" t="e">
        <f ca="1">LamChanHangNgan(E66+E67+E68+E69+E70)</f>
        <v>#VALUE!</v>
      </c>
      <c r="F72" s="23" t="e">
        <f t="shared" ref="F72:I72" ca="1" si="47">LamChanHangNgan(F66+F67+F68+F69+F70)</f>
        <v>#VALUE!</v>
      </c>
      <c r="G72" s="23" t="e">
        <f t="shared" ca="1" si="47"/>
        <v>#VALUE!</v>
      </c>
      <c r="H72" s="23" t="e">
        <f t="shared" ca="1" si="47"/>
        <v>#VALUE!</v>
      </c>
      <c r="I72" s="23" t="e">
        <f t="shared" ca="1" si="47"/>
        <v>#VALUE!</v>
      </c>
    </row>
    <row r="73" spans="1:9" x14ac:dyDescent="0.25">
      <c r="A73">
        <v>24</v>
      </c>
      <c r="B73">
        <f>$A73*E$24</f>
        <v>240</v>
      </c>
      <c r="C73" t="s">
        <v>226</v>
      </c>
      <c r="E73">
        <f>($A73*E$24/2)/$D$16</f>
        <v>120</v>
      </c>
      <c r="F73">
        <f t="shared" ref="F73:I73" si="48">($A73*F$24/2)/$D$16</f>
        <v>240</v>
      </c>
      <c r="G73">
        <f t="shared" si="48"/>
        <v>360</v>
      </c>
      <c r="H73">
        <f t="shared" si="48"/>
        <v>480</v>
      </c>
      <c r="I73">
        <f t="shared" si="48"/>
        <v>600</v>
      </c>
    </row>
    <row r="74" spans="1:9" x14ac:dyDescent="0.25">
      <c r="C74" t="s">
        <v>200</v>
      </c>
      <c r="E74" t="e">
        <f ca="1">PhiInKM4M_BHR70(E73*$E$16*2)*(1+$D$17)</f>
        <v>#NAME?</v>
      </c>
      <c r="F74" t="e">
        <f ca="1">PhiInKM4M_BHR70(F73*$E$16*2)*(1+$D$17)</f>
        <v>#NAME?</v>
      </c>
      <c r="G74" t="e">
        <f ca="1">PhiInKM4M_BHR70(G73*$E$16*2)*(1+$D$17)</f>
        <v>#NAME?</v>
      </c>
      <c r="H74" t="e">
        <f ca="1">PhiInKM4M_BHR70(H73*$E$16*2)*(1+$D$17)</f>
        <v>#NAME?</v>
      </c>
      <c r="I74" t="e">
        <f ca="1">PhiInKM4M_BHR70(I73*$E$16*2)*(1+$D$17)</f>
        <v>#NAME?</v>
      </c>
    </row>
    <row r="75" spans="1:9" x14ac:dyDescent="0.25">
      <c r="C75" t="s">
        <v>227</v>
      </c>
      <c r="E75">
        <f>E73*$D$19*(1+$D$17)</f>
        <v>221760</v>
      </c>
      <c r="F75">
        <f t="shared" ref="F75:I75" si="49">F73*$D$19*(1+$D$17)</f>
        <v>443520</v>
      </c>
      <c r="G75">
        <f t="shared" si="49"/>
        <v>665280</v>
      </c>
      <c r="H75">
        <f t="shared" si="49"/>
        <v>887040</v>
      </c>
      <c r="I75">
        <f t="shared" si="49"/>
        <v>1108800</v>
      </c>
    </row>
    <row r="76" spans="1:9" x14ac:dyDescent="0.25">
      <c r="C76" t="s">
        <v>204</v>
      </c>
      <c r="E76">
        <f>(PhiMayCanMang(E73*2,$C$15/100,$D$15/100) + PhiMangCan(E73*2,$C$15/100,$D$15/100,$D$21))*(1+$D$17)</f>
        <v>191150.62084999998</v>
      </c>
      <c r="F76">
        <f>(PhiMayCanMang(F73*2,$C$15/100,$D$15/100) + PhiMangCan(F73*2,$C$15/100,$D$15/100,$D$21))*(1+$D$17)</f>
        <v>318134.57514999993</v>
      </c>
      <c r="G76">
        <f>(PhiMayCanMang(G73*2,$C$15/100,$D$15/100) + PhiMangCan(G73*2,$C$15/100,$D$15/100,$D$21))*(1+$D$17)</f>
        <v>444665.5724</v>
      </c>
      <c r="H76">
        <f>(PhiMayCanMang(H73*2,$C$15/100,$D$15/100) + PhiMangCan(H73*2,$C$15/100,$D$15/100,$D$21))*(1+$D$17)</f>
        <v>571649.54279999994</v>
      </c>
      <c r="I76">
        <f>(PhiMayCanMang(I73*2,$C$15/100,$D$15/100) + PhiMangCan(I73*2,$C$15/100,$D$15/100,$D$21))*(1+$D$17)</f>
        <v>698633.48117499996</v>
      </c>
    </row>
    <row r="77" spans="1:9" x14ac:dyDescent="0.25">
      <c r="C77" t="s">
        <v>228</v>
      </c>
      <c r="E77">
        <f>PhiMayCanGap(E73*$D$16)*(1+$D$17)</f>
        <v>121041.666725</v>
      </c>
      <c r="F77">
        <f t="shared" ref="F77:I77" si="50">PhiMayCanGap(F73*$D$16)*(1+$D$17)</f>
        <v>134166.66672500002</v>
      </c>
      <c r="G77">
        <f t="shared" si="50"/>
        <v>147291.66672500002</v>
      </c>
      <c r="H77">
        <f t="shared" si="50"/>
        <v>160416.66672500002</v>
      </c>
      <c r="I77">
        <f t="shared" si="50"/>
        <v>173541.66672500002</v>
      </c>
    </row>
    <row r="78" spans="1:9" x14ac:dyDescent="0.25">
      <c r="C78" t="s">
        <v>253</v>
      </c>
      <c r="E78" s="8">
        <f>PhiLamRuotCuonMP_Tay(E$24, E73/E$24)*(1+$D$17)</f>
        <v>371700</v>
      </c>
      <c r="F78" s="8">
        <f t="shared" ref="F78:I78" si="51">PhiLamRuotCuonMP_Tay(F$24, F73/F$24)*(1+$D$17)</f>
        <v>712950</v>
      </c>
      <c r="G78" s="8">
        <f t="shared" si="51"/>
        <v>1054200</v>
      </c>
      <c r="H78" s="8">
        <f t="shared" si="51"/>
        <v>1395450</v>
      </c>
      <c r="I78" s="8">
        <f t="shared" si="51"/>
        <v>1736700</v>
      </c>
    </row>
    <row r="79" spans="1:9" x14ac:dyDescent="0.25">
      <c r="C79" t="s">
        <v>223</v>
      </c>
      <c r="E79" s="23" t="e">
        <f ca="1">LamChanHangNgan(E74+E75+E77+E78)</f>
        <v>#VALUE!</v>
      </c>
      <c r="F79" s="23" t="e">
        <f t="shared" ref="F79" ca="1" si="52">LamChanHangNgan(F74+F75+F77+F78)</f>
        <v>#VALUE!</v>
      </c>
      <c r="G79" s="23" t="e">
        <f t="shared" ref="G79" ca="1" si="53">LamChanHangNgan(G74+G75+G77+G78)</f>
        <v>#VALUE!</v>
      </c>
      <c r="H79" s="23" t="e">
        <f t="shared" ref="H79" ca="1" si="54">LamChanHangNgan(H74+H75+H77+H78)</f>
        <v>#VALUE!</v>
      </c>
      <c r="I79" s="23" t="e">
        <f t="shared" ref="I79" ca="1" si="55">LamChanHangNgan(I74+I75+I77+I78)</f>
        <v>#VALUE!</v>
      </c>
    </row>
    <row r="80" spans="1:9" x14ac:dyDescent="0.25">
      <c r="C80" t="s">
        <v>224</v>
      </c>
      <c r="E80" s="23" t="e">
        <f ca="1">LamChanHangNgan(E74+E75+E76+E77+E78)</f>
        <v>#VALUE!</v>
      </c>
      <c r="F80" s="23" t="e">
        <f t="shared" ref="F80:I80" ca="1" si="56">LamChanHangNgan(F74+F75+F76+F77+F78)</f>
        <v>#VALUE!</v>
      </c>
      <c r="G80" s="23" t="e">
        <f t="shared" ca="1" si="56"/>
        <v>#VALUE!</v>
      </c>
      <c r="H80" s="23" t="e">
        <f t="shared" ca="1" si="56"/>
        <v>#VALUE!</v>
      </c>
      <c r="I80" s="23" t="e">
        <f t="shared" ca="1" si="56"/>
        <v>#VALUE!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F09DCDDD-11DE-40EA-8259-DCB686C3978D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A687D00A-2DB4-4BB8-A33E-CBF9253AC8C9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C2B8C956-5679-4A16-B350-BDEB257B21E3}">
      <formula1>OFFSET(GIA_GIAY_CO_BAN,1,0,,1)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A2B13-9B56-40DD-9A16-8093F94A634E}">
  <sheetPr codeName="Trang_tính9"/>
  <dimension ref="A1:M36"/>
  <sheetViews>
    <sheetView topLeftCell="A4" workbookViewId="0">
      <selection activeCell="M12" sqref="M12"/>
    </sheetView>
  </sheetViews>
  <sheetFormatPr defaultRowHeight="15" x14ac:dyDescent="0.25"/>
  <cols>
    <col min="1" max="1" width="24.7109375" bestFit="1" customWidth="1"/>
    <col min="2" max="2" width="22.7109375" customWidth="1"/>
    <col min="3" max="3" width="14.28515625" customWidth="1"/>
    <col min="4" max="4" width="15.85546875" bestFit="1" customWidth="1"/>
    <col min="5" max="5" width="18.28515625" bestFit="1" customWidth="1"/>
    <col min="6" max="9" width="15" bestFit="1" customWidth="1"/>
  </cols>
  <sheetData>
    <row r="1" spans="1:13" x14ac:dyDescent="0.25">
      <c r="A1" t="s">
        <v>229</v>
      </c>
    </row>
    <row r="2" spans="1:13" x14ac:dyDescent="0.25">
      <c r="A2" t="s">
        <v>179</v>
      </c>
      <c r="B2" t="s">
        <v>230</v>
      </c>
    </row>
    <row r="3" spans="1:13" x14ac:dyDescent="0.25">
      <c r="A3" t="s">
        <v>231</v>
      </c>
    </row>
    <row r="9" spans="1:13" x14ac:dyDescent="0.25">
      <c r="A9" s="1" t="s">
        <v>181</v>
      </c>
      <c r="B9" t="s">
        <v>196</v>
      </c>
    </row>
    <row r="10" spans="1:13" x14ac:dyDescent="0.25">
      <c r="A10" t="s">
        <v>127</v>
      </c>
      <c r="B10" s="12">
        <v>43609</v>
      </c>
    </row>
    <row r="11" spans="1:13" x14ac:dyDescent="0.25">
      <c r="B11" t="s">
        <v>53</v>
      </c>
      <c r="C11" t="s">
        <v>54</v>
      </c>
      <c r="E11" t="s">
        <v>220</v>
      </c>
      <c r="F11" s="1" t="s">
        <v>221</v>
      </c>
      <c r="G11" s="1" t="s">
        <v>222</v>
      </c>
      <c r="H11" t="s">
        <v>236</v>
      </c>
    </row>
    <row r="12" spans="1:13" x14ac:dyDescent="0.25">
      <c r="A12" t="s">
        <v>233</v>
      </c>
      <c r="D12" t="s">
        <v>194</v>
      </c>
      <c r="I12" t="s">
        <v>234</v>
      </c>
      <c r="J12" t="s">
        <v>235</v>
      </c>
      <c r="L12" t="s">
        <v>249</v>
      </c>
      <c r="M12" t="e">
        <f ca="1">INDIRECT("GIA_DECAL_GIAY_VUONG")</f>
        <v>#REF!</v>
      </c>
    </row>
    <row r="13" spans="1:13" x14ac:dyDescent="0.25">
      <c r="A13" t="s">
        <v>219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  <c r="I13">
        <f>F$13+0.4+4</f>
        <v>27.5</v>
      </c>
      <c r="J13">
        <f>G$13+0.4*2</f>
        <v>29.400000000000002</v>
      </c>
    </row>
    <row r="15" spans="1:13" ht="30" x14ac:dyDescent="0.25">
      <c r="A15" t="s">
        <v>239</v>
      </c>
      <c r="B15" s="1" t="s">
        <v>31</v>
      </c>
      <c r="C15">
        <v>32</v>
      </c>
      <c r="D15">
        <v>47</v>
      </c>
      <c r="E15" s="2" t="s">
        <v>130</v>
      </c>
    </row>
    <row r="16" spans="1:13" x14ac:dyDescent="0.25">
      <c r="A16" t="s">
        <v>240</v>
      </c>
      <c r="D16" s="1">
        <v>1</v>
      </c>
      <c r="E16">
        <v>2</v>
      </c>
    </row>
    <row r="17" spans="1:9" x14ac:dyDescent="0.25">
      <c r="A17" t="s">
        <v>51</v>
      </c>
      <c r="D17" s="14">
        <v>0.75</v>
      </c>
      <c r="E17" s="15" t="s">
        <v>131</v>
      </c>
    </row>
    <row r="18" spans="1:9" x14ac:dyDescent="0.25">
      <c r="B18" t="s">
        <v>122</v>
      </c>
      <c r="C18" t="s">
        <v>123</v>
      </c>
      <c r="D18" t="s">
        <v>125</v>
      </c>
      <c r="E18" t="s">
        <v>124</v>
      </c>
    </row>
    <row r="19" spans="1:9" x14ac:dyDescent="0.25">
      <c r="A19" t="s">
        <v>255</v>
      </c>
      <c r="B19" t="s">
        <v>64</v>
      </c>
      <c r="C19" t="s">
        <v>57</v>
      </c>
      <c r="D19">
        <v>628</v>
      </c>
      <c r="E19" s="3">
        <f>D19*(1+D17)</f>
        <v>1099</v>
      </c>
    </row>
    <row r="21" spans="1:9" x14ac:dyDescent="0.25">
      <c r="A21" t="s">
        <v>225</v>
      </c>
      <c r="B21" t="s">
        <v>49</v>
      </c>
      <c r="C21" t="s">
        <v>50</v>
      </c>
      <c r="D21">
        <v>1200</v>
      </c>
    </row>
    <row r="22" spans="1:9" x14ac:dyDescent="0.25">
      <c r="A22" t="s">
        <v>237</v>
      </c>
      <c r="C22" t="s">
        <v>238</v>
      </c>
      <c r="D22">
        <v>1200</v>
      </c>
    </row>
    <row r="24" spans="1:9" x14ac:dyDescent="0.25">
      <c r="A24" t="s">
        <v>232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C25" t="s">
        <v>241</v>
      </c>
      <c r="E25">
        <f>(E$24)/$D$16</f>
        <v>10</v>
      </c>
      <c r="F25">
        <f t="shared" ref="F25:I25" si="0">(F$24)/$D$16</f>
        <v>20</v>
      </c>
      <c r="G25">
        <f t="shared" si="0"/>
        <v>30</v>
      </c>
      <c r="H25">
        <f t="shared" si="0"/>
        <v>40</v>
      </c>
      <c r="I25">
        <f t="shared" si="0"/>
        <v>50</v>
      </c>
    </row>
    <row r="26" spans="1:9" x14ac:dyDescent="0.25">
      <c r="C26" t="s">
        <v>242</v>
      </c>
      <c r="E26" s="3" t="e">
        <f ca="1">PhiInKM4M_BHR70(E$25*$E$16)*(1+$D$17)</f>
        <v>#NAME?</v>
      </c>
      <c r="F26" s="3" t="e">
        <f ca="1">PhiInKM4M_BHR70(F$25*$E$16)*(1+$D$17)</f>
        <v>#NAME?</v>
      </c>
      <c r="G26" s="3" t="e">
        <f ca="1">PhiInKM4M_BHR70(G$25*$E$16)*(1+$D$17)</f>
        <v>#NAME?</v>
      </c>
      <c r="H26" s="3" t="e">
        <f ca="1">PhiInKM4M_BHR70(H$25*$E$16)*(1+$D$17)</f>
        <v>#NAME?</v>
      </c>
      <c r="I26" s="3" t="e">
        <f ca="1">PhiInKM4M_BHR70(I$25*$E$16)*(1+$D$17)</f>
        <v>#NAME?</v>
      </c>
    </row>
    <row r="27" spans="1:9" x14ac:dyDescent="0.25">
      <c r="C27" t="s">
        <v>227</v>
      </c>
      <c r="E27" s="3">
        <f>E$25*$D$19*(1+$D$17)</f>
        <v>10990</v>
      </c>
      <c r="F27" s="3">
        <f>F$25*$D$19*(1+$D$17)</f>
        <v>21980</v>
      </c>
      <c r="G27" s="3">
        <f t="shared" ref="G27:I27" si="1">G$25*$D$19*(1+$D$17)</f>
        <v>32970</v>
      </c>
      <c r="H27" s="3">
        <f t="shared" si="1"/>
        <v>43960</v>
      </c>
      <c r="I27" s="3">
        <f t="shared" si="1"/>
        <v>54950</v>
      </c>
    </row>
    <row r="28" spans="1:9" x14ac:dyDescent="0.25">
      <c r="C28" t="s">
        <v>204</v>
      </c>
      <c r="E28" s="3">
        <f>(PhiMayCanMang(E$25*2,$C$15/100,$D$15/100) + PhiMangCan(E$25*2,$C$15/100,$D$15/100,$D$21))*(1+$D$17)</f>
        <v>74559.937024999992</v>
      </c>
      <c r="F28" s="3">
        <f>(PhiMayCanMang(F$25*2,$C$15/100,$D$15/100) + PhiMangCan(F$25*2,$C$15/100,$D$15/100,$D$21))*(1+$D$17)</f>
        <v>85406.148625000002</v>
      </c>
      <c r="G28" s="3">
        <f>(PhiMayCanMang(G$25*2,$C$15/100,$D$15/100) + PhiMangCan(G$25*2,$C$15/100,$D$15/100,$D$21))*(1+$D$17)</f>
        <v>95799.419800000003</v>
      </c>
      <c r="H28" s="3">
        <f>(PhiMayCanMang(H$25*2,$C$15/100,$D$15/100) + PhiMangCan(H$25*2,$C$15/100,$D$15/100,$D$21))*(1+$D$17)</f>
        <v>106645.63035000001</v>
      </c>
      <c r="I28" s="3">
        <f>(PhiMayCanMang(I$25*2,$C$15/100,$D$15/100) + PhiMangCan(I$25*2,$C$15/100,$D$15/100,$D$21))*(1+$D$17)</f>
        <v>117038.901875</v>
      </c>
    </row>
    <row r="29" spans="1:9" x14ac:dyDescent="0.25">
      <c r="C29" t="s">
        <v>245</v>
      </c>
      <c r="E29" s="3" t="e">
        <f ca="1">SUM(E26:E28)</f>
        <v>#NAME?</v>
      </c>
      <c r="F29" s="3" t="e">
        <f t="shared" ref="F29:I29" ca="1" si="2">SUM(F26:F28)</f>
        <v>#NAME?</v>
      </c>
      <c r="G29" s="3" t="e">
        <f t="shared" ca="1" si="2"/>
        <v>#NAME?</v>
      </c>
      <c r="H29" s="3" t="e">
        <f t="shared" ca="1" si="2"/>
        <v>#NAME?</v>
      </c>
      <c r="I29" s="3" t="e">
        <f t="shared" ca="1" si="2"/>
        <v>#NAME?</v>
      </c>
    </row>
    <row r="30" spans="1:9" x14ac:dyDescent="0.25">
      <c r="C30" t="s">
        <v>243</v>
      </c>
      <c r="E30" s="3">
        <f>E24*2*$D$22</f>
        <v>24000</v>
      </c>
      <c r="F30" s="3">
        <f t="shared" ref="F30:I30" si="3">F24*2*$D$22</f>
        <v>48000</v>
      </c>
      <c r="G30" s="3">
        <f t="shared" si="3"/>
        <v>72000</v>
      </c>
      <c r="H30" s="3">
        <f t="shared" si="3"/>
        <v>96000</v>
      </c>
      <c r="I30" s="3">
        <f t="shared" si="3"/>
        <v>120000</v>
      </c>
    </row>
    <row r="31" spans="1:9" x14ac:dyDescent="0.25">
      <c r="C31" t="s">
        <v>244</v>
      </c>
      <c r="E31" s="3">
        <f>(PhiLamBiaCungMayY(E24)+E30)*(1+$D$17)</f>
        <v>286149.30539999995</v>
      </c>
      <c r="F31" s="3">
        <f t="shared" ref="F31:I31" si="4">(PhiLamBiaCungMayY(F24)+F30)*(1+$D$17)</f>
        <v>333131.94425</v>
      </c>
      <c r="G31" s="3">
        <f t="shared" si="4"/>
        <v>380114.58327499998</v>
      </c>
      <c r="H31" s="3">
        <f t="shared" si="4"/>
        <v>427097.22212499997</v>
      </c>
      <c r="I31" s="3">
        <f t="shared" si="4"/>
        <v>474079.86097499996</v>
      </c>
    </row>
    <row r="32" spans="1:9" x14ac:dyDescent="0.25">
      <c r="C32" t="s">
        <v>246</v>
      </c>
      <c r="E32" s="24" t="e">
        <f ca="1">E29+E31</f>
        <v>#NAME?</v>
      </c>
      <c r="F32" s="24" t="e">
        <f t="shared" ref="F32:I32" ca="1" si="5">F29+F31</f>
        <v>#NAME?</v>
      </c>
      <c r="G32" s="24" t="e">
        <f t="shared" ca="1" si="5"/>
        <v>#NAME?</v>
      </c>
      <c r="H32" s="24" t="e">
        <f t="shared" ca="1" si="5"/>
        <v>#NAME?</v>
      </c>
      <c r="I32" s="24" t="e">
        <f t="shared" ca="1" si="5"/>
        <v>#NAME?</v>
      </c>
    </row>
    <row r="33" spans="3:9" x14ac:dyDescent="0.25">
      <c r="C33" t="s">
        <v>247</v>
      </c>
      <c r="E33" s="13">
        <f>PhiLDPT_VoCuonBatVit(E23) * (1+$D$17)</f>
        <v>22750</v>
      </c>
      <c r="F33" s="13">
        <f t="shared" ref="F33:I33" si="6">PhiLDPT_VoCuonBatVit(F23) * (1+$D$17)</f>
        <v>22750</v>
      </c>
      <c r="G33" s="13">
        <f t="shared" si="6"/>
        <v>22750</v>
      </c>
      <c r="H33" s="13">
        <f t="shared" si="6"/>
        <v>22750</v>
      </c>
      <c r="I33" s="13">
        <f t="shared" si="6"/>
        <v>22750</v>
      </c>
    </row>
    <row r="34" spans="3:9" x14ac:dyDescent="0.25">
      <c r="C34" t="s">
        <v>254</v>
      </c>
      <c r="E34" s="7" t="e">
        <f ca="1">LamChanHangNgan(E32+E33)</f>
        <v>#VALUE!</v>
      </c>
      <c r="F34" s="7" t="e">
        <f ca="1">LamChanHangNgan(F32+F33)</f>
        <v>#VALUE!</v>
      </c>
      <c r="G34" s="7" t="e">
        <f ca="1">LamChanHangNgan(G32+G33)</f>
        <v>#VALUE!</v>
      </c>
      <c r="H34" s="7" t="e">
        <f ca="1">LamChanHangNgan(H32+H33)</f>
        <v>#VALUE!</v>
      </c>
      <c r="I34" s="7" t="e">
        <f ca="1">LamChanHangNgan(I32+I33)</f>
        <v>#VALUE!</v>
      </c>
    </row>
    <row r="36" spans="3:9" x14ac:dyDescent="0.25">
      <c r="D36" t="s">
        <v>250</v>
      </c>
      <c r="E36" s="3" t="e">
        <f ca="1">LamChanHangNgan(E34/E24)</f>
        <v>#VALUE!</v>
      </c>
      <c r="F36" s="3" t="e">
        <f ca="1">LamChanHangNgan(F34/F24)</f>
        <v>#VALUE!</v>
      </c>
      <c r="G36" s="3" t="e">
        <f ca="1">LamChanHangNgan(G34/G24)</f>
        <v>#VALUE!</v>
      </c>
      <c r="H36" s="3" t="e">
        <f ca="1">LamChanHangNgan(H34/H24)</f>
        <v>#VALUE!</v>
      </c>
      <c r="I36" s="3" t="e">
        <f ca="1">LamChanHangNgan(I34/I24)</f>
        <v>#VALUE!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A13" xr:uid="{F111C6F3-C0D2-41F0-AF02-8EB1414706BF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C6E81686-CB9A-4CE6-99C7-263660EEF9BC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6B2A2547-7B00-437F-80A1-2A3887DCFD29}">
      <formula1>OFFSET(GIA_GIAY_CO_BAN,1,0,,1)</formula1>
    </dataValidation>
  </dataValidation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R19"/>
  <sheetViews>
    <sheetView workbookViewId="0">
      <selection activeCell="O14" sqref="O14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8" x14ac:dyDescent="0.25">
      <c r="C1" t="s">
        <v>0</v>
      </c>
    </row>
    <row r="2" spans="1:18" x14ac:dyDescent="0.25">
      <c r="A2" s="1" t="s">
        <v>1</v>
      </c>
      <c r="B2" s="4"/>
      <c r="E2" t="s">
        <v>2</v>
      </c>
      <c r="H2" t="s">
        <v>3</v>
      </c>
      <c r="O2" t="s">
        <v>189</v>
      </c>
    </row>
    <row r="3" spans="1:18" x14ac:dyDescent="0.25">
      <c r="A3" t="s">
        <v>4</v>
      </c>
      <c r="B3" t="s">
        <v>5</v>
      </c>
      <c r="C3" t="s">
        <v>6</v>
      </c>
      <c r="D3" t="s">
        <v>7</v>
      </c>
      <c r="E3" t="s">
        <v>8</v>
      </c>
      <c r="G3" t="s">
        <v>9</v>
      </c>
      <c r="H3" t="s">
        <v>10</v>
      </c>
      <c r="I3" t="s">
        <v>11</v>
      </c>
      <c r="J3" t="s">
        <v>12</v>
      </c>
      <c r="K3" t="s">
        <v>13</v>
      </c>
      <c r="L3" t="s">
        <v>14</v>
      </c>
      <c r="O3" t="s">
        <v>9</v>
      </c>
      <c r="P3" t="s">
        <v>190</v>
      </c>
      <c r="Q3" t="s">
        <v>191</v>
      </c>
      <c r="R3" t="s">
        <v>192</v>
      </c>
    </row>
    <row r="4" spans="1:18" x14ac:dyDescent="0.25">
      <c r="A4" t="s">
        <v>15</v>
      </c>
      <c r="B4" t="s">
        <v>16</v>
      </c>
      <c r="C4" s="3">
        <v>450000</v>
      </c>
      <c r="D4" s="5">
        <f>5/60</f>
        <v>8.3333333333333329E-2</v>
      </c>
      <c r="G4" t="str">
        <f>I4&amp;"-"&amp;H4</f>
        <v>MI01-30x21</v>
      </c>
      <c r="H4" t="s">
        <v>17</v>
      </c>
      <c r="I4" t="s">
        <v>15</v>
      </c>
      <c r="J4" t="s">
        <v>18</v>
      </c>
      <c r="K4">
        <v>4000</v>
      </c>
      <c r="L4">
        <v>4</v>
      </c>
      <c r="O4" t="str">
        <f>P4&amp;"x"&amp;Q4&amp;"cm"</f>
        <v>10x19cm</v>
      </c>
      <c r="P4">
        <v>10</v>
      </c>
      <c r="Q4">
        <v>19</v>
      </c>
      <c r="R4">
        <v>0.3</v>
      </c>
    </row>
    <row r="5" spans="1:18" x14ac:dyDescent="0.25">
      <c r="A5" t="s">
        <v>19</v>
      </c>
      <c r="B5" t="s">
        <v>20</v>
      </c>
      <c r="C5" s="3">
        <v>500000</v>
      </c>
      <c r="D5" s="5">
        <f>5/60</f>
        <v>8.3333333333333329E-2</v>
      </c>
      <c r="G5" t="str">
        <f t="shared" ref="G5:G11" si="0">I5&amp;"-"&amp;H5</f>
        <v>MI01-32x23</v>
      </c>
      <c r="H5" t="s">
        <v>21</v>
      </c>
      <c r="I5" t="s">
        <v>15</v>
      </c>
      <c r="J5" t="s">
        <v>22</v>
      </c>
      <c r="K5">
        <v>3000</v>
      </c>
      <c r="L5">
        <v>5</v>
      </c>
      <c r="O5" t="str">
        <f t="shared" ref="O5:O7" si="1">P5&amp;"x"&amp;Q5&amp;"cm"</f>
        <v>15x19cm</v>
      </c>
      <c r="P5">
        <v>15</v>
      </c>
      <c r="Q5">
        <v>19</v>
      </c>
      <c r="R5">
        <v>0.3</v>
      </c>
    </row>
    <row r="6" spans="1:18" x14ac:dyDescent="0.25">
      <c r="A6" t="s">
        <v>23</v>
      </c>
      <c r="B6" t="s">
        <v>24</v>
      </c>
      <c r="C6" s="3">
        <v>600000</v>
      </c>
      <c r="D6" s="5">
        <f>5/60</f>
        <v>8.3333333333333329E-2</v>
      </c>
      <c r="G6" t="str">
        <f t="shared" si="0"/>
        <v>MI01-32x26</v>
      </c>
      <c r="H6" t="s">
        <v>25</v>
      </c>
      <c r="I6" t="s">
        <v>15</v>
      </c>
      <c r="J6" t="s">
        <v>26</v>
      </c>
      <c r="K6">
        <v>2000</v>
      </c>
      <c r="L6">
        <v>6</v>
      </c>
      <c r="O6" t="str">
        <f t="shared" si="1"/>
        <v>15x34cm</v>
      </c>
      <c r="P6">
        <v>15</v>
      </c>
      <c r="Q6">
        <v>34</v>
      </c>
      <c r="R6">
        <v>0.3</v>
      </c>
    </row>
    <row r="7" spans="1:18" x14ac:dyDescent="0.25">
      <c r="G7" t="str">
        <f t="shared" si="0"/>
        <v>MI01-32x39</v>
      </c>
      <c r="H7" t="s">
        <v>27</v>
      </c>
      <c r="I7" t="s">
        <v>15</v>
      </c>
      <c r="J7" t="s">
        <v>28</v>
      </c>
      <c r="K7">
        <v>5000</v>
      </c>
      <c r="L7">
        <v>7</v>
      </c>
      <c r="O7" t="str">
        <f t="shared" si="1"/>
        <v>19x30cm</v>
      </c>
      <c r="P7">
        <v>19</v>
      </c>
      <c r="Q7">
        <v>30</v>
      </c>
      <c r="R7">
        <v>0.3</v>
      </c>
    </row>
    <row r="8" spans="1:18" x14ac:dyDescent="0.25">
      <c r="G8" t="str">
        <f t="shared" si="0"/>
        <v>MI01-32x44</v>
      </c>
      <c r="H8" t="s">
        <v>29</v>
      </c>
      <c r="I8" t="s">
        <v>15</v>
      </c>
      <c r="J8" t="s">
        <v>30</v>
      </c>
      <c r="K8">
        <v>6000</v>
      </c>
      <c r="L8">
        <v>1</v>
      </c>
      <c r="R8">
        <v>0.3</v>
      </c>
    </row>
    <row r="9" spans="1:18" x14ac:dyDescent="0.25">
      <c r="G9" t="str">
        <f t="shared" si="0"/>
        <v>MI01-32x47</v>
      </c>
      <c r="H9" t="s">
        <v>31</v>
      </c>
      <c r="I9" t="s">
        <v>15</v>
      </c>
      <c r="J9" t="s">
        <v>32</v>
      </c>
      <c r="K9">
        <v>7000</v>
      </c>
      <c r="L9">
        <v>3</v>
      </c>
      <c r="R9">
        <v>0.3</v>
      </c>
    </row>
    <row r="10" spans="1:18" x14ac:dyDescent="0.25">
      <c r="G10" t="str">
        <f t="shared" si="0"/>
        <v>MI01-32x48.5</v>
      </c>
      <c r="H10" t="s">
        <v>33</v>
      </c>
      <c r="I10" t="s">
        <v>15</v>
      </c>
      <c r="J10" t="s">
        <v>34</v>
      </c>
      <c r="K10">
        <v>8000</v>
      </c>
      <c r="L10">
        <v>2</v>
      </c>
      <c r="R10">
        <v>0.3</v>
      </c>
    </row>
    <row r="11" spans="1:18" x14ac:dyDescent="0.25">
      <c r="G11" t="str">
        <f t="shared" si="0"/>
        <v>MI01-32x65</v>
      </c>
      <c r="H11" t="s">
        <v>35</v>
      </c>
      <c r="I11" t="s">
        <v>15</v>
      </c>
      <c r="J11" t="s">
        <v>36</v>
      </c>
      <c r="K11">
        <v>3000</v>
      </c>
      <c r="L11">
        <v>8</v>
      </c>
      <c r="R11">
        <v>0.3</v>
      </c>
    </row>
    <row r="12" spans="1:18" x14ac:dyDescent="0.25">
      <c r="G12" t="str">
        <f>I12&amp;"-"&amp;H12</f>
        <v>MI02-30x21</v>
      </c>
      <c r="H12" t="s">
        <v>17</v>
      </c>
      <c r="I12" t="s">
        <v>19</v>
      </c>
      <c r="J12" t="s">
        <v>18</v>
      </c>
      <c r="K12">
        <v>4000</v>
      </c>
      <c r="L12">
        <v>4</v>
      </c>
      <c r="R12">
        <v>0.3</v>
      </c>
    </row>
    <row r="13" spans="1:18" x14ac:dyDescent="0.25">
      <c r="G13" t="str">
        <f t="shared" ref="G13:G19" si="2">I13&amp;"-"&amp;H13</f>
        <v>MI02-32x23</v>
      </c>
      <c r="H13" t="s">
        <v>21</v>
      </c>
      <c r="I13" t="s">
        <v>19</v>
      </c>
      <c r="J13" t="s">
        <v>22</v>
      </c>
      <c r="K13">
        <v>3000</v>
      </c>
      <c r="L13">
        <v>5</v>
      </c>
      <c r="R13">
        <v>0.3</v>
      </c>
    </row>
    <row r="14" spans="1:18" x14ac:dyDescent="0.25">
      <c r="G14" t="str">
        <f t="shared" si="2"/>
        <v>MI02-32x26</v>
      </c>
      <c r="H14" t="s">
        <v>25</v>
      </c>
      <c r="I14" t="s">
        <v>19</v>
      </c>
      <c r="J14" t="s">
        <v>26</v>
      </c>
      <c r="K14">
        <v>2000</v>
      </c>
      <c r="L14">
        <v>6</v>
      </c>
      <c r="R14">
        <v>0.3</v>
      </c>
    </row>
    <row r="15" spans="1:18" x14ac:dyDescent="0.25">
      <c r="G15" t="str">
        <f t="shared" si="2"/>
        <v>MI02-32x39</v>
      </c>
      <c r="H15" t="s">
        <v>27</v>
      </c>
      <c r="I15" t="s">
        <v>19</v>
      </c>
      <c r="J15" t="s">
        <v>28</v>
      </c>
      <c r="K15">
        <v>5000</v>
      </c>
      <c r="L15">
        <v>7</v>
      </c>
    </row>
    <row r="16" spans="1:18" x14ac:dyDescent="0.25">
      <c r="G16" t="str">
        <f t="shared" si="2"/>
        <v>MI02-32x44</v>
      </c>
      <c r="H16" t="s">
        <v>29</v>
      </c>
      <c r="I16" t="s">
        <v>19</v>
      </c>
      <c r="J16" t="s">
        <v>30</v>
      </c>
      <c r="K16">
        <v>6000</v>
      </c>
      <c r="L16">
        <v>1</v>
      </c>
    </row>
    <row r="17" spans="7:12" x14ac:dyDescent="0.25">
      <c r="G17" t="str">
        <f t="shared" si="2"/>
        <v>MI02-32x47</v>
      </c>
      <c r="H17" t="s">
        <v>31</v>
      </c>
      <c r="I17" t="s">
        <v>19</v>
      </c>
      <c r="J17" t="s">
        <v>32</v>
      </c>
      <c r="K17">
        <v>7000</v>
      </c>
      <c r="L17">
        <v>3</v>
      </c>
    </row>
    <row r="18" spans="7:12" x14ac:dyDescent="0.25">
      <c r="G18" t="str">
        <f t="shared" si="2"/>
        <v>MI02-32x48.5</v>
      </c>
      <c r="H18" t="s">
        <v>33</v>
      </c>
      <c r="I18" t="s">
        <v>19</v>
      </c>
      <c r="J18" t="s">
        <v>34</v>
      </c>
      <c r="K18">
        <v>8000</v>
      </c>
      <c r="L18">
        <v>2</v>
      </c>
    </row>
    <row r="19" spans="7:12" x14ac:dyDescent="0.25">
      <c r="G19" t="str">
        <f t="shared" si="2"/>
        <v>MI02-32x65</v>
      </c>
      <c r="H19" t="s">
        <v>35</v>
      </c>
      <c r="I19" t="s">
        <v>19</v>
      </c>
      <c r="J19" t="s">
        <v>36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43"/>
  <sheetViews>
    <sheetView topLeftCell="A16" workbookViewId="0">
      <selection activeCell="A2" sqref="A2:C3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7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38</v>
      </c>
      <c r="F1" s="1" t="s">
        <v>40</v>
      </c>
      <c r="K1" s="1" t="s">
        <v>41</v>
      </c>
      <c r="P1" s="1" t="s">
        <v>55</v>
      </c>
    </row>
    <row r="2" spans="1:18" x14ac:dyDescent="0.25">
      <c r="A2" t="s">
        <v>4</v>
      </c>
      <c r="B2" t="s">
        <v>12</v>
      </c>
      <c r="C2" t="s">
        <v>39</v>
      </c>
      <c r="F2" t="s">
        <v>4</v>
      </c>
      <c r="G2" t="s">
        <v>12</v>
      </c>
      <c r="H2" t="s">
        <v>42</v>
      </c>
      <c r="K2" t="s">
        <v>4</v>
      </c>
      <c r="L2" t="s">
        <v>12</v>
      </c>
      <c r="M2" t="s">
        <v>42</v>
      </c>
      <c r="P2" t="s">
        <v>4</v>
      </c>
      <c r="Q2" t="s">
        <v>12</v>
      </c>
      <c r="R2" t="s">
        <v>56</v>
      </c>
    </row>
    <row r="3" spans="1:18" x14ac:dyDescent="0.25">
      <c r="A3" t="s">
        <v>49</v>
      </c>
      <c r="B3" t="s">
        <v>50</v>
      </c>
      <c r="C3">
        <v>1200</v>
      </c>
      <c r="F3" t="s">
        <v>47</v>
      </c>
      <c r="G3" t="s">
        <v>48</v>
      </c>
      <c r="H3">
        <v>850</v>
      </c>
      <c r="K3" t="s">
        <v>43</v>
      </c>
      <c r="L3" t="s">
        <v>44</v>
      </c>
      <c r="M3">
        <f>3400/10000</f>
        <v>0.34</v>
      </c>
      <c r="P3" t="s">
        <v>87</v>
      </c>
      <c r="Q3" t="s">
        <v>110</v>
      </c>
      <c r="R3">
        <v>345</v>
      </c>
    </row>
    <row r="4" spans="1:18" x14ac:dyDescent="0.25">
      <c r="K4" t="s">
        <v>45</v>
      </c>
      <c r="L4" t="s">
        <v>46</v>
      </c>
      <c r="M4">
        <f>5500/10000</f>
        <v>0.55000000000000004</v>
      </c>
      <c r="P4" t="s">
        <v>85</v>
      </c>
      <c r="Q4" t="s">
        <v>91</v>
      </c>
      <c r="R4">
        <v>324</v>
      </c>
    </row>
    <row r="5" spans="1:18" x14ac:dyDescent="0.25">
      <c r="P5" t="s">
        <v>86</v>
      </c>
      <c r="Q5" t="s">
        <v>93</v>
      </c>
      <c r="R5">
        <v>488</v>
      </c>
    </row>
    <row r="6" spans="1:18" x14ac:dyDescent="0.25">
      <c r="P6" t="s">
        <v>88</v>
      </c>
      <c r="Q6" t="s">
        <v>94</v>
      </c>
      <c r="R6">
        <v>355</v>
      </c>
    </row>
    <row r="7" spans="1:18" x14ac:dyDescent="0.25">
      <c r="P7" t="s">
        <v>89</v>
      </c>
      <c r="Q7" t="s">
        <v>92</v>
      </c>
      <c r="R7">
        <v>500</v>
      </c>
    </row>
    <row r="8" spans="1:18" x14ac:dyDescent="0.25">
      <c r="P8" t="s">
        <v>90</v>
      </c>
      <c r="Q8" t="s">
        <v>95</v>
      </c>
      <c r="R8">
        <v>515</v>
      </c>
    </row>
    <row r="9" spans="1:18" x14ac:dyDescent="0.25">
      <c r="P9" t="s">
        <v>64</v>
      </c>
      <c r="Q9" t="s">
        <v>57</v>
      </c>
      <c r="R9">
        <v>628</v>
      </c>
    </row>
    <row r="10" spans="1:18" x14ac:dyDescent="0.25">
      <c r="P10" t="s">
        <v>111</v>
      </c>
      <c r="Q10" t="s">
        <v>112</v>
      </c>
      <c r="R10">
        <v>700</v>
      </c>
    </row>
    <row r="11" spans="1:18" x14ac:dyDescent="0.25">
      <c r="P11" t="s">
        <v>65</v>
      </c>
      <c r="Q11" t="s">
        <v>58</v>
      </c>
      <c r="R11">
        <v>860</v>
      </c>
    </row>
    <row r="12" spans="1:18" x14ac:dyDescent="0.25">
      <c r="P12" t="s">
        <v>66</v>
      </c>
      <c r="Q12" t="s">
        <v>59</v>
      </c>
      <c r="R12">
        <v>1056</v>
      </c>
    </row>
    <row r="13" spans="1:18" x14ac:dyDescent="0.25">
      <c r="P13" t="s">
        <v>113</v>
      </c>
      <c r="Q13" t="s">
        <v>114</v>
      </c>
      <c r="R13">
        <v>785</v>
      </c>
    </row>
    <row r="14" spans="1:18" x14ac:dyDescent="0.25">
      <c r="P14" t="s">
        <v>132</v>
      </c>
      <c r="Q14" t="s">
        <v>135</v>
      </c>
      <c r="R14">
        <v>1600</v>
      </c>
    </row>
    <row r="15" spans="1:18" x14ac:dyDescent="0.25">
      <c r="P15" t="s">
        <v>115</v>
      </c>
      <c r="Q15" t="s">
        <v>116</v>
      </c>
      <c r="R15">
        <v>1030</v>
      </c>
    </row>
    <row r="16" spans="1:18" x14ac:dyDescent="0.25">
      <c r="P16" t="s">
        <v>140</v>
      </c>
      <c r="Q16" t="s">
        <v>141</v>
      </c>
      <c r="R16">
        <v>1060</v>
      </c>
    </row>
    <row r="17" spans="16:18" x14ac:dyDescent="0.25">
      <c r="P17" t="s">
        <v>67</v>
      </c>
      <c r="Q17" t="s">
        <v>60</v>
      </c>
      <c r="R17">
        <v>1272</v>
      </c>
    </row>
    <row r="18" spans="16:18" x14ac:dyDescent="0.25">
      <c r="P18" t="s">
        <v>133</v>
      </c>
      <c r="Q18" t="s">
        <v>134</v>
      </c>
      <c r="R18">
        <v>2060</v>
      </c>
    </row>
    <row r="19" spans="16:18" x14ac:dyDescent="0.25">
      <c r="P19" t="s">
        <v>68</v>
      </c>
      <c r="Q19" t="s">
        <v>61</v>
      </c>
      <c r="R19">
        <v>1200</v>
      </c>
    </row>
    <row r="20" spans="16:18" x14ac:dyDescent="0.25">
      <c r="P20" t="s">
        <v>69</v>
      </c>
      <c r="Q20" t="s">
        <v>62</v>
      </c>
      <c r="R20">
        <v>1456</v>
      </c>
    </row>
    <row r="21" spans="16:18" x14ac:dyDescent="0.25">
      <c r="P21" t="s">
        <v>70</v>
      </c>
      <c r="Q21" t="s">
        <v>63</v>
      </c>
      <c r="R21">
        <v>1704</v>
      </c>
    </row>
    <row r="22" spans="16:18" x14ac:dyDescent="0.25">
      <c r="P22" t="s">
        <v>75</v>
      </c>
      <c r="Q22" t="s">
        <v>96</v>
      </c>
      <c r="R22">
        <v>488</v>
      </c>
    </row>
    <row r="23" spans="16:18" x14ac:dyDescent="0.25">
      <c r="P23" t="s">
        <v>76</v>
      </c>
      <c r="Q23" t="s">
        <v>97</v>
      </c>
      <c r="R23">
        <v>584</v>
      </c>
    </row>
    <row r="24" spans="16:18" x14ac:dyDescent="0.25">
      <c r="P24" t="s">
        <v>145</v>
      </c>
      <c r="Q24" t="s">
        <v>146</v>
      </c>
      <c r="R24">
        <v>2920</v>
      </c>
    </row>
    <row r="25" spans="16:18" x14ac:dyDescent="0.25">
      <c r="P25" t="s">
        <v>73</v>
      </c>
      <c r="Q25" t="s">
        <v>98</v>
      </c>
      <c r="R25">
        <v>700</v>
      </c>
    </row>
    <row r="26" spans="16:18" x14ac:dyDescent="0.25">
      <c r="P26" t="s">
        <v>147</v>
      </c>
      <c r="Q26" t="s">
        <v>98</v>
      </c>
      <c r="R26">
        <v>3500</v>
      </c>
    </row>
    <row r="27" spans="16:18" x14ac:dyDescent="0.25">
      <c r="P27" t="s">
        <v>72</v>
      </c>
      <c r="Q27" t="s">
        <v>99</v>
      </c>
      <c r="R27">
        <v>900</v>
      </c>
    </row>
    <row r="28" spans="16:18" x14ac:dyDescent="0.25">
      <c r="P28" t="s">
        <v>71</v>
      </c>
      <c r="Q28" t="s">
        <v>100</v>
      </c>
      <c r="R28">
        <v>740</v>
      </c>
    </row>
    <row r="29" spans="16:18" x14ac:dyDescent="0.25">
      <c r="P29" t="s">
        <v>74</v>
      </c>
      <c r="Q29" t="s">
        <v>101</v>
      </c>
      <c r="R29">
        <v>1232</v>
      </c>
    </row>
    <row r="30" spans="16:18" x14ac:dyDescent="0.25">
      <c r="P30" t="s">
        <v>78</v>
      </c>
      <c r="Q30" t="s">
        <v>102</v>
      </c>
    </row>
    <row r="31" spans="16:18" x14ac:dyDescent="0.25">
      <c r="P31" t="s">
        <v>77</v>
      </c>
      <c r="Q31" t="s">
        <v>104</v>
      </c>
    </row>
    <row r="32" spans="16:18" x14ac:dyDescent="0.25">
      <c r="P32" t="s">
        <v>79</v>
      </c>
      <c r="Q32" t="s">
        <v>103</v>
      </c>
    </row>
    <row r="33" spans="16:18" x14ac:dyDescent="0.25">
      <c r="P33" t="s">
        <v>80</v>
      </c>
      <c r="Q33" t="s">
        <v>105</v>
      </c>
    </row>
    <row r="34" spans="16:18" x14ac:dyDescent="0.25">
      <c r="P34" t="s">
        <v>84</v>
      </c>
      <c r="Q34" t="s">
        <v>106</v>
      </c>
    </row>
    <row r="35" spans="16:18" x14ac:dyDescent="0.25">
      <c r="P35" t="s">
        <v>83</v>
      </c>
      <c r="Q35" t="s">
        <v>107</v>
      </c>
    </row>
    <row r="36" spans="16:18" x14ac:dyDescent="0.25">
      <c r="P36" t="s">
        <v>82</v>
      </c>
      <c r="Q36" t="s">
        <v>108</v>
      </c>
    </row>
    <row r="37" spans="16:18" x14ac:dyDescent="0.25">
      <c r="P37" t="s">
        <v>81</v>
      </c>
      <c r="Q37" t="s">
        <v>109</v>
      </c>
    </row>
    <row r="38" spans="16:18" x14ac:dyDescent="0.25">
      <c r="P38" t="s">
        <v>136</v>
      </c>
      <c r="Q38" t="s">
        <v>137</v>
      </c>
      <c r="R38">
        <v>4200</v>
      </c>
    </row>
    <row r="39" spans="16:18" x14ac:dyDescent="0.25">
      <c r="P39" t="s">
        <v>138</v>
      </c>
      <c r="Q39" t="s">
        <v>139</v>
      </c>
      <c r="R39">
        <v>3500</v>
      </c>
    </row>
    <row r="40" spans="16:18" x14ac:dyDescent="0.25">
      <c r="P40" t="s">
        <v>143</v>
      </c>
      <c r="Q40" t="s">
        <v>144</v>
      </c>
      <c r="R40">
        <v>1250</v>
      </c>
    </row>
    <row r="41" spans="16:18" x14ac:dyDescent="0.25">
      <c r="P41" t="s">
        <v>171</v>
      </c>
      <c r="Q41" t="s">
        <v>172</v>
      </c>
      <c r="R41">
        <v>1650</v>
      </c>
    </row>
    <row r="42" spans="16:18" x14ac:dyDescent="0.25">
      <c r="P42" t="s">
        <v>173</v>
      </c>
      <c r="Q42" t="s">
        <v>174</v>
      </c>
      <c r="R42">
        <v>810</v>
      </c>
    </row>
    <row r="43" spans="16:18" x14ac:dyDescent="0.25">
      <c r="P43" t="s">
        <v>175</v>
      </c>
      <c r="Q43" t="s">
        <v>176</v>
      </c>
      <c r="R43">
        <v>1250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I22" sqref="I22"/>
    </sheetView>
  </sheetViews>
  <sheetFormatPr defaultRowHeight="15" x14ac:dyDescent="0.25"/>
  <cols>
    <col min="3" max="3" width="7.140625" bestFit="1" customWidth="1"/>
  </cols>
  <sheetData>
    <row r="2" spans="2:3" x14ac:dyDescent="0.25">
      <c r="B2" s="9" t="s">
        <v>51</v>
      </c>
      <c r="C2" s="9" t="s">
        <v>52</v>
      </c>
    </row>
    <row r="3" spans="2:3" x14ac:dyDescent="0.25">
      <c r="B3" s="10">
        <v>0.15</v>
      </c>
      <c r="C3" s="10">
        <v>0.13</v>
      </c>
    </row>
    <row r="4" spans="2:3" x14ac:dyDescent="0.25">
      <c r="B4" s="10">
        <v>0.2</v>
      </c>
      <c r="C4" s="11">
        <v>0.16700000000000001</v>
      </c>
    </row>
    <row r="5" spans="2:3" x14ac:dyDescent="0.25">
      <c r="B5" s="10">
        <v>0.25</v>
      </c>
      <c r="C5" s="10">
        <v>0.2</v>
      </c>
    </row>
    <row r="6" spans="2:3" x14ac:dyDescent="0.25">
      <c r="B6" s="10">
        <v>0.3</v>
      </c>
      <c r="C6" s="10">
        <v>0.23</v>
      </c>
    </row>
    <row r="7" spans="2:3" x14ac:dyDescent="0.25">
      <c r="B7" s="11">
        <v>0.33300000000000002</v>
      </c>
      <c r="C7" s="10">
        <v>0.25</v>
      </c>
    </row>
    <row r="8" spans="2:3" x14ac:dyDescent="0.25">
      <c r="B8" s="10">
        <v>0.4</v>
      </c>
      <c r="C8" s="11">
        <v>0.28599999999999998</v>
      </c>
    </row>
    <row r="9" spans="2:3" x14ac:dyDescent="0.25">
      <c r="B9" s="10">
        <v>0.43</v>
      </c>
      <c r="C9" s="10">
        <v>0.3</v>
      </c>
    </row>
    <row r="10" spans="2:3" x14ac:dyDescent="0.25">
      <c r="B10" s="10">
        <v>0.5</v>
      </c>
      <c r="C10" s="10">
        <v>0.33</v>
      </c>
    </row>
    <row r="11" spans="2:3" x14ac:dyDescent="0.25">
      <c r="B11" s="10">
        <v>0.75</v>
      </c>
      <c r="C11" s="11">
        <v>0.42899999999999999</v>
      </c>
    </row>
    <row r="12" spans="2:3" x14ac:dyDescent="0.25">
      <c r="B12" s="10">
        <v>1</v>
      </c>
      <c r="C12" s="10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20</vt:i4>
      </vt:variant>
      <vt:variant>
        <vt:lpstr>Phạm vi Có tên</vt:lpstr>
      </vt:variant>
      <vt:variant>
        <vt:i4>8</vt:i4>
      </vt:variant>
    </vt:vector>
  </HeadingPairs>
  <TitlesOfParts>
    <vt:vector size="28" baseType="lpstr">
      <vt:lpstr>NguyenLieu</vt:lpstr>
      <vt:lpstr>KD-ABCD-30x30</vt:lpstr>
      <vt:lpstr>SP-Cata-A4-Kim</vt:lpstr>
      <vt:lpstr>SP-Cata-A4-Keo</vt:lpstr>
      <vt:lpstr>Menu-LXo-10x19</vt:lpstr>
      <vt:lpstr>Menu-LX-15x19</vt:lpstr>
      <vt:lpstr>Menu-LX-19x30</vt:lpstr>
      <vt:lpstr>Menu-LX-15x34</vt:lpstr>
      <vt:lpstr>Menu-LX-10x19-v2</vt:lpstr>
      <vt:lpstr>Menu-LX-DongCuon</vt:lpstr>
      <vt:lpstr>Menu-LX-15x19-v2</vt:lpstr>
      <vt:lpstr>Menu-LX-19x30_v2</vt:lpstr>
      <vt:lpstr>Menu-LX-15x34_v2</vt:lpstr>
      <vt:lpstr>Menu-BiaCungVit-Ruot</vt:lpstr>
      <vt:lpstr>Menu-BiaCungVit-Bia</vt:lpstr>
      <vt:lpstr>Menu-MoPhang-Ruot</vt:lpstr>
      <vt:lpstr>Menu-MoPhang-Bia</vt:lpstr>
      <vt:lpstr>Base-MayIn</vt:lpstr>
      <vt:lpstr>NguyenVatLieu</vt:lpstr>
      <vt:lpstr>Base-Margin</vt:lpstr>
      <vt:lpstr>GIA_GIAY_CO_BAN</vt:lpstr>
      <vt:lpstr>GIA_KHUON_EP_KIM</vt:lpstr>
      <vt:lpstr>GIA_MANG</vt:lpstr>
      <vt:lpstr>GIA_NHU_EP_KIM</vt:lpstr>
      <vt:lpstr>KHO_CAT_SAN_PHAM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2019-09-21T08:27:11Z</dcterms:modified>
</cp:coreProperties>
</file>