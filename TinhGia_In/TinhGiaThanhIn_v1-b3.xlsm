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A70EC5A3-0057-4DE1-9D69-24203C8D38C0}" xr6:coauthVersionLast="44" xr6:coauthVersionMax="44" xr10:uidLastSave="{00000000-0000-0000-0000-000000000000}"/>
  <bookViews>
    <workbookView xWindow="0" yWindow="0" windowWidth="28800" windowHeight="15750" firstSheet="17" activeTab="18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W-Menu-BCung-Zen-20x28-Ruot" sheetId="61" r:id="rId18"/>
    <sheet name="W-Menu-BiaCungVit-Bia" sheetId="62" r:id="rId19"/>
    <sheet name="Menu-BiaCungVit-Bia" sheetId="50" r:id="rId20"/>
    <sheet name="Menu-BatVit-Zen-TheoNhuCau" sheetId="59" r:id="rId21"/>
    <sheet name="Menu-BatVit-LamBiaCung-TheoNhuC" sheetId="60" r:id="rId22"/>
    <sheet name="Menu-MoPhang-Ruot" sheetId="51" r:id="rId23"/>
    <sheet name="Menu-MoPhang-Bia" sheetId="52" r:id="rId24"/>
    <sheet name="Base-MayIn" sheetId="10" r:id="rId25"/>
    <sheet name="NguyenVatLieu" sheetId="13" r:id="rId26"/>
    <sheet name="Base-Margin" sheetId="15" r:id="rId27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23" hidden="1">'Menu-MoPhang-Bia'!$B$19:$D$19</definedName>
    <definedName name="atools_list_filter_1" localSheetId="22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" localSheetId="18" hidden="1">'W-Menu-BiaCungVit-Bia'!$B$19:$D$19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23" hidden="1">";;"</definedName>
    <definedName name="atools_list_filter_1_colinvisibles_ext" localSheetId="22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invisibles_ext" localSheetId="18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23" hidden="1">"1;2;3"</definedName>
    <definedName name="atools_list_filter_1_colsrcidxs_ext" localSheetId="22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srcidxs_ext" localSheetId="18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23" hidden="1">"88;96;84"</definedName>
    <definedName name="atools_list_filter_1_colwidths_ext" localSheetId="22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colwidths_ext" localSheetId="18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23" hidden="1">"='Menu-MoPhang-Bia'!$B$19:$D$19"</definedName>
    <definedName name="atools_list_filter_1_onrangeaddr" localSheetId="22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onrangeaddr" localSheetId="18" hidden="1">"='W-Menu-BiaCungVit-Bia'!$B$19:$D$19"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23" hidden="1">"0;1;2"</definedName>
    <definedName name="atools_list_filter_1_pos_ext" localSheetId="22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os_ext" localSheetId="18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23" hidden="1">"1|1|0|0|0|||322|133||0|,||1||0||0|18|185|2.0|1|1|1|0"</definedName>
    <definedName name="atools_list_filter_1_proper" localSheetId="22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proper" localSheetId="18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23" hidden="1">GIA_GIAY_CO_BAN</definedName>
    <definedName name="atools_list_filter_1_source" localSheetId="22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" localSheetId="18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23" hidden="1">"=GIA_GIAY_CO_BAN"</definedName>
    <definedName name="atools_list_filter_1_sourceaddr" localSheetId="22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1_sourceaddr" localSheetId="18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7" i="61" l="1"/>
  <c r="I57" i="61"/>
  <c r="H57" i="61"/>
  <c r="G57" i="61"/>
  <c r="F57" i="61"/>
  <c r="I55" i="61"/>
  <c r="J54" i="61"/>
  <c r="J55" i="61" s="1"/>
  <c r="I54" i="61"/>
  <c r="H54" i="61"/>
  <c r="H55" i="61" s="1"/>
  <c r="G54" i="61"/>
  <c r="G55" i="61" s="1"/>
  <c r="F54" i="61"/>
  <c r="F55" i="61" s="1"/>
  <c r="E57" i="61"/>
  <c r="E54" i="61"/>
  <c r="E55" i="61" s="1"/>
  <c r="J25" i="62"/>
  <c r="J27" i="62" s="1"/>
  <c r="J81" i="61"/>
  <c r="J82" i="61" s="1"/>
  <c r="J72" i="61"/>
  <c r="J73" i="61" s="1"/>
  <c r="J63" i="61"/>
  <c r="J64" i="61" s="1"/>
  <c r="J45" i="61"/>
  <c r="J46" i="61" s="1"/>
  <c r="J36" i="61"/>
  <c r="J37" i="61" s="1"/>
  <c r="J27" i="61"/>
  <c r="J28" i="61" s="1"/>
  <c r="J25" i="61"/>
  <c r="I75" i="61"/>
  <c r="H75" i="61"/>
  <c r="G75" i="61"/>
  <c r="F75" i="61"/>
  <c r="I72" i="61"/>
  <c r="I73" i="61" s="1"/>
  <c r="H72" i="61"/>
  <c r="H73" i="61" s="1"/>
  <c r="G72" i="61"/>
  <c r="G73" i="61" s="1"/>
  <c r="F72" i="61"/>
  <c r="F73" i="61" s="1"/>
  <c r="H59" i="61"/>
  <c r="G59" i="61"/>
  <c r="J59" i="61"/>
  <c r="F59" i="61"/>
  <c r="I59" i="61"/>
  <c r="I58" i="61"/>
  <c r="E59" i="61"/>
  <c r="J31" i="62"/>
  <c r="J29" i="62"/>
  <c r="J28" i="62"/>
  <c r="J26" i="62"/>
  <c r="J50" i="61"/>
  <c r="J32" i="61"/>
  <c r="J41" i="61"/>
  <c r="J86" i="61"/>
  <c r="J77" i="61"/>
  <c r="J68" i="61"/>
  <c r="J26" i="61"/>
  <c r="I77" i="61"/>
  <c r="F77" i="61"/>
  <c r="H77" i="61"/>
  <c r="G77" i="61"/>
  <c r="J30" i="62" l="1"/>
  <c r="J32" i="62" s="1"/>
  <c r="J84" i="61"/>
  <c r="J75" i="61"/>
  <c r="J66" i="61"/>
  <c r="J30" i="61"/>
  <c r="J48" i="61"/>
  <c r="J39" i="61"/>
  <c r="F32" i="62"/>
  <c r="I81" i="61"/>
  <c r="H81" i="61"/>
  <c r="G81" i="61"/>
  <c r="F81" i="61"/>
  <c r="I63" i="61"/>
  <c r="H63" i="61"/>
  <c r="G63" i="61"/>
  <c r="F63" i="61"/>
  <c r="I45" i="61"/>
  <c r="H45" i="61"/>
  <c r="G45" i="61"/>
  <c r="F45" i="61"/>
  <c r="I36" i="61"/>
  <c r="H36" i="61"/>
  <c r="G36" i="61"/>
  <c r="F36" i="61"/>
  <c r="E81" i="61"/>
  <c r="E72" i="61"/>
  <c r="E63" i="61"/>
  <c r="E45" i="61"/>
  <c r="E36" i="61"/>
  <c r="I27" i="61"/>
  <c r="H27" i="61"/>
  <c r="G27" i="61"/>
  <c r="F27" i="61"/>
  <c r="E27" i="61"/>
  <c r="F27" i="62"/>
  <c r="I25" i="62"/>
  <c r="I27" i="62" s="1"/>
  <c r="H25" i="62"/>
  <c r="H27" i="62" s="1"/>
  <c r="G25" i="62"/>
  <c r="G27" i="62" s="1"/>
  <c r="F25" i="62"/>
  <c r="E25" i="62"/>
  <c r="E27" i="62" s="1"/>
  <c r="G13" i="62"/>
  <c r="J13" i="62" s="1"/>
  <c r="F13" i="62"/>
  <c r="I13" i="62" s="1"/>
  <c r="G8" i="11" a="1"/>
  <c r="B2" i="11" a="1"/>
  <c r="E29" i="62"/>
  <c r="E31" i="62"/>
  <c r="I31" i="62"/>
  <c r="H31" i="62"/>
  <c r="G31" i="62"/>
  <c r="F31" i="62"/>
  <c r="I28" i="62"/>
  <c r="H28" i="62"/>
  <c r="G28" i="62"/>
  <c r="F28" i="62"/>
  <c r="E28" i="62"/>
  <c r="I86" i="61"/>
  <c r="F86" i="61"/>
  <c r="H86" i="61"/>
  <c r="G86" i="61"/>
  <c r="I68" i="61"/>
  <c r="H68" i="61"/>
  <c r="F68" i="61"/>
  <c r="G68" i="61"/>
  <c r="I50" i="61"/>
  <c r="H50" i="61"/>
  <c r="F50" i="61"/>
  <c r="G50" i="61"/>
  <c r="G41" i="61"/>
  <c r="F41" i="61"/>
  <c r="I41" i="61"/>
  <c r="H41" i="61"/>
  <c r="E50" i="61"/>
  <c r="E41" i="61"/>
  <c r="E86" i="61"/>
  <c r="E77" i="61"/>
  <c r="E68" i="61"/>
  <c r="I32" i="61"/>
  <c r="H32" i="61"/>
  <c r="G32" i="61"/>
  <c r="F32" i="61"/>
  <c r="E32" i="61"/>
  <c r="I29" i="62"/>
  <c r="I26" i="62"/>
  <c r="G29" i="62"/>
  <c r="F26" i="62"/>
  <c r="H29" i="62"/>
  <c r="H26" i="62"/>
  <c r="G26" i="62"/>
  <c r="F29" i="62"/>
  <c r="E26" i="62"/>
  <c r="I26" i="61"/>
  <c r="H26" i="61"/>
  <c r="F26" i="61"/>
  <c r="G26" i="61"/>
  <c r="G56" i="61"/>
  <c r="F56" i="61"/>
  <c r="I56" i="61"/>
  <c r="G58" i="61"/>
  <c r="F58" i="61"/>
  <c r="H58" i="61"/>
  <c r="J56" i="61"/>
  <c r="H56" i="61"/>
  <c r="J58" i="61"/>
  <c r="E58" i="61"/>
  <c r="E56" i="61"/>
  <c r="J35" i="62"/>
  <c r="J29" i="61"/>
  <c r="J38" i="61"/>
  <c r="J83" i="61"/>
  <c r="J85" i="61"/>
  <c r="J76" i="61"/>
  <c r="J47" i="61"/>
  <c r="J74" i="61"/>
  <c r="J67" i="61"/>
  <c r="J31" i="61"/>
  <c r="J40" i="61"/>
  <c r="J65" i="61"/>
  <c r="J49" i="61"/>
  <c r="G76" i="61"/>
  <c r="F76" i="61"/>
  <c r="F74" i="61"/>
  <c r="G74" i="61"/>
  <c r="H76" i="61"/>
  <c r="I76" i="61"/>
  <c r="H74" i="61"/>
  <c r="I74" i="61"/>
  <c r="M12" i="62"/>
  <c r="J8" i="11" l="1"/>
  <c r="I9" i="11"/>
  <c r="H10" i="11"/>
  <c r="G11" i="11"/>
  <c r="K11" i="11"/>
  <c r="H8" i="11"/>
  <c r="K9" i="11"/>
  <c r="H9" i="11"/>
  <c r="G8" i="11"/>
  <c r="K8" i="11"/>
  <c r="J9" i="11"/>
  <c r="I10" i="11"/>
  <c r="H11" i="11"/>
  <c r="G9" i="11"/>
  <c r="J10" i="11"/>
  <c r="I8" i="11"/>
  <c r="G10" i="11"/>
  <c r="K10" i="11"/>
  <c r="I11" i="11"/>
  <c r="J11" i="11"/>
  <c r="E2" i="11"/>
  <c r="D3" i="11"/>
  <c r="C4" i="11"/>
  <c r="B5" i="11"/>
  <c r="F5" i="11"/>
  <c r="F3" i="11"/>
  <c r="D5" i="11"/>
  <c r="C3" i="11"/>
  <c r="E5" i="11"/>
  <c r="B2" i="11"/>
  <c r="F2" i="11"/>
  <c r="E3" i="11"/>
  <c r="D4" i="11"/>
  <c r="C5" i="11"/>
  <c r="B3" i="11"/>
  <c r="E4" i="11"/>
  <c r="D2" i="11"/>
  <c r="F4" i="11"/>
  <c r="C2" i="11"/>
  <c r="B4" i="11"/>
  <c r="E30" i="62"/>
  <c r="E32" i="62" s="1"/>
  <c r="G30" i="62"/>
  <c r="G32" i="62" s="1"/>
  <c r="H30" i="62"/>
  <c r="H32" i="62" s="1"/>
  <c r="F30" i="62"/>
  <c r="G35" i="62"/>
  <c r="F35" i="62"/>
  <c r="H35" i="62"/>
  <c r="E35" i="62"/>
  <c r="H62" i="61"/>
  <c r="I62" i="61"/>
  <c r="G61" i="61"/>
  <c r="G62" i="61"/>
  <c r="F62" i="61"/>
  <c r="F61" i="61"/>
  <c r="H61" i="61"/>
  <c r="I61" i="61"/>
  <c r="J62" i="61"/>
  <c r="J61" i="61"/>
  <c r="E62" i="61"/>
  <c r="E61" i="61"/>
  <c r="J37" i="62"/>
  <c r="J71" i="61"/>
  <c r="J52" i="61"/>
  <c r="J44" i="61"/>
  <c r="J34" i="61"/>
  <c r="J70" i="61"/>
  <c r="J53" i="61"/>
  <c r="J43" i="61"/>
  <c r="J80" i="61"/>
  <c r="J89" i="61"/>
  <c r="J79" i="61"/>
  <c r="J88" i="61"/>
  <c r="J35" i="61"/>
  <c r="I80" i="61"/>
  <c r="G80" i="61"/>
  <c r="I79" i="61"/>
  <c r="G79" i="61"/>
  <c r="H80" i="61"/>
  <c r="F79" i="61"/>
  <c r="H79" i="61"/>
  <c r="F80" i="61"/>
  <c r="I30" i="62" l="1"/>
  <c r="I32" i="62" s="1"/>
  <c r="I25" i="61"/>
  <c r="H25" i="61"/>
  <c r="G25" i="61"/>
  <c r="F25" i="61"/>
  <c r="E25" i="61"/>
  <c r="I35" i="62"/>
  <c r="I37" i="62"/>
  <c r="E37" i="62"/>
  <c r="E26" i="61"/>
  <c r="G13" i="61" l="1"/>
  <c r="F13" i="61"/>
  <c r="F37" i="62"/>
  <c r="G37" i="62"/>
  <c r="H37" i="62"/>
  <c r="D16" i="61"/>
  <c r="E28" i="61" l="1"/>
  <c r="H28" i="61"/>
  <c r="I28" i="61"/>
  <c r="I64" i="61"/>
  <c r="H82" i="61"/>
  <c r="E73" i="61"/>
  <c r="F64" i="61"/>
  <c r="G28" i="61"/>
  <c r="G64" i="61"/>
  <c r="H46" i="61"/>
  <c r="E46" i="61"/>
  <c r="F46" i="61"/>
  <c r="G46" i="61"/>
  <c r="H37" i="61"/>
  <c r="E82" i="61"/>
  <c r="I37" i="61"/>
  <c r="I82" i="61"/>
  <c r="F28" i="61"/>
  <c r="F37" i="61"/>
  <c r="F82" i="61"/>
  <c r="G37" i="61"/>
  <c r="G82" i="61"/>
  <c r="I46" i="61"/>
  <c r="E37" i="61"/>
  <c r="E64" i="61"/>
  <c r="H64" i="61"/>
  <c r="H83" i="61"/>
  <c r="H85" i="61"/>
  <c r="G65" i="61"/>
  <c r="G67" i="61"/>
  <c r="G49" i="61"/>
  <c r="G47" i="61"/>
  <c r="E85" i="61"/>
  <c r="E83" i="61"/>
  <c r="F38" i="61"/>
  <c r="F40" i="61"/>
  <c r="I47" i="61"/>
  <c r="I49" i="61"/>
  <c r="H31" i="61"/>
  <c r="H29" i="61"/>
  <c r="E76" i="61"/>
  <c r="E74" i="61"/>
  <c r="H47" i="61"/>
  <c r="H49" i="61"/>
  <c r="H38" i="61"/>
  <c r="H40" i="61"/>
  <c r="I38" i="61"/>
  <c r="I40" i="61"/>
  <c r="F83" i="61"/>
  <c r="F85" i="61"/>
  <c r="E40" i="61"/>
  <c r="E38" i="61"/>
  <c r="I29" i="61"/>
  <c r="I31" i="61"/>
  <c r="F65" i="61"/>
  <c r="F67" i="61"/>
  <c r="E49" i="61"/>
  <c r="E47" i="61"/>
  <c r="I83" i="61"/>
  <c r="I85" i="61"/>
  <c r="E67" i="61"/>
  <c r="E65" i="61"/>
  <c r="I65" i="61"/>
  <c r="I67" i="61"/>
  <c r="G31" i="61"/>
  <c r="G29" i="61"/>
  <c r="G83" i="61"/>
  <c r="G85" i="61"/>
  <c r="H65" i="61"/>
  <c r="H67" i="61"/>
  <c r="G38" i="61"/>
  <c r="G40" i="61"/>
  <c r="F47" i="61"/>
  <c r="F49" i="61"/>
  <c r="F31" i="61"/>
  <c r="F29" i="61"/>
  <c r="E29" i="61"/>
  <c r="E31" i="61"/>
  <c r="G26" i="59"/>
  <c r="F84" i="61" l="1"/>
  <c r="F66" i="61"/>
  <c r="F48" i="61"/>
  <c r="F39" i="61"/>
  <c r="F30" i="61"/>
  <c r="G84" i="61"/>
  <c r="G66" i="61"/>
  <c r="G48" i="61"/>
  <c r="G39" i="61"/>
  <c r="G30" i="61"/>
  <c r="I84" i="61"/>
  <c r="I66" i="61"/>
  <c r="I48" i="61"/>
  <c r="I39" i="61"/>
  <c r="I30" i="61"/>
  <c r="H84" i="61"/>
  <c r="H66" i="61"/>
  <c r="H39" i="61"/>
  <c r="H48" i="61"/>
  <c r="H30" i="61"/>
  <c r="E75" i="61"/>
  <c r="E39" i="61"/>
  <c r="E84" i="61"/>
  <c r="E66" i="61"/>
  <c r="E48" i="61"/>
  <c r="E30" i="61"/>
  <c r="I31" i="60"/>
  <c r="G31" i="60"/>
  <c r="I25" i="60"/>
  <c r="G25" i="60"/>
  <c r="E25" i="60"/>
  <c r="E19" i="60"/>
  <c r="G13" i="60"/>
  <c r="J13" i="60" s="1"/>
  <c r="F13" i="60"/>
  <c r="I13" i="60" s="1"/>
  <c r="B25" i="59"/>
  <c r="E19" i="59"/>
  <c r="G13" i="59"/>
  <c r="F13" i="59"/>
  <c r="F88" i="61"/>
  <c r="F89" i="61"/>
  <c r="F44" i="61"/>
  <c r="F43" i="61"/>
  <c r="I89" i="61"/>
  <c r="I88" i="61"/>
  <c r="I44" i="61"/>
  <c r="I43" i="61"/>
  <c r="E80" i="61"/>
  <c r="E79" i="61"/>
  <c r="E70" i="61"/>
  <c r="E71" i="61"/>
  <c r="F70" i="61"/>
  <c r="F71" i="61"/>
  <c r="G53" i="61"/>
  <c r="G52" i="61"/>
  <c r="I71" i="61"/>
  <c r="I70" i="61"/>
  <c r="I34" i="61"/>
  <c r="I35" i="61"/>
  <c r="H44" i="61"/>
  <c r="H43" i="61"/>
  <c r="E53" i="61"/>
  <c r="E52" i="61"/>
  <c r="G88" i="61"/>
  <c r="G89" i="61"/>
  <c r="G44" i="61"/>
  <c r="G43" i="61"/>
  <c r="H89" i="61"/>
  <c r="H88" i="61"/>
  <c r="H53" i="61"/>
  <c r="H52" i="61"/>
  <c r="E44" i="61"/>
  <c r="E43" i="61"/>
  <c r="F52" i="61"/>
  <c r="F53" i="61"/>
  <c r="G71" i="61"/>
  <c r="G70" i="61"/>
  <c r="G35" i="61"/>
  <c r="G34" i="61"/>
  <c r="I53" i="61"/>
  <c r="I52" i="61"/>
  <c r="H71" i="61"/>
  <c r="H70" i="61"/>
  <c r="H35" i="61"/>
  <c r="H34" i="61"/>
  <c r="E88" i="61"/>
  <c r="E89" i="61"/>
  <c r="F34" i="61"/>
  <c r="F35" i="61"/>
  <c r="E35" i="61"/>
  <c r="E34" i="61"/>
  <c r="E26" i="59"/>
  <c r="E27" i="60"/>
  <c r="I32" i="60"/>
  <c r="G35" i="60"/>
  <c r="G29" i="60"/>
  <c r="I29" i="60"/>
  <c r="E35" i="60"/>
  <c r="G32" i="60"/>
  <c r="G26" i="60"/>
  <c r="I27" i="60"/>
  <c r="D16" i="59"/>
  <c r="E26" i="60"/>
  <c r="I35" i="60"/>
  <c r="F26" i="59"/>
  <c r="E29" i="60"/>
  <c r="M12" i="60"/>
  <c r="G25" i="59" l="1"/>
  <c r="E28" i="60"/>
  <c r="E30" i="60"/>
  <c r="E33" i="60" s="1"/>
  <c r="I28" i="60"/>
  <c r="I30" i="60" s="1"/>
  <c r="I33" i="60" s="1"/>
  <c r="G28" i="60"/>
  <c r="E25" i="59"/>
  <c r="I25" i="59"/>
  <c r="F25" i="59"/>
  <c r="G29" i="59"/>
  <c r="E30" i="59"/>
  <c r="F39" i="50"/>
  <c r="G27" i="59"/>
  <c r="E29" i="59"/>
  <c r="H39" i="50"/>
  <c r="G30" i="59"/>
  <c r="F30" i="59"/>
  <c r="E39" i="50"/>
  <c r="I39" i="50"/>
  <c r="G27" i="60"/>
  <c r="F27" i="59"/>
  <c r="E42" i="50"/>
  <c r="E34" i="50"/>
  <c r="G39" i="50"/>
  <c r="I30" i="59"/>
  <c r="E27" i="59"/>
  <c r="E36" i="60"/>
  <c r="I36" i="60"/>
  <c r="F29" i="59"/>
  <c r="G33" i="59" l="1"/>
  <c r="G28" i="59"/>
  <c r="G31" i="59" s="1"/>
  <c r="F28" i="59"/>
  <c r="F31" i="59" s="1"/>
  <c r="E28" i="59"/>
  <c r="E31" i="59" s="1"/>
  <c r="G30" i="60"/>
  <c r="G33" i="60" s="1"/>
  <c r="I28" i="59"/>
  <c r="I29" i="59"/>
  <c r="I27" i="59"/>
  <c r="F32" i="59"/>
  <c r="E38" i="60"/>
  <c r="G36" i="60"/>
  <c r="G32" i="59"/>
  <c r="I38" i="60"/>
  <c r="E32" i="59"/>
  <c r="G35" i="59" l="1"/>
  <c r="G37" i="59" s="1"/>
  <c r="F33" i="59"/>
  <c r="F35" i="59"/>
  <c r="F37" i="59" s="1"/>
  <c r="E35" i="59"/>
  <c r="I26" i="57"/>
  <c r="H26" i="57"/>
  <c r="G26" i="57"/>
  <c r="F26" i="57"/>
  <c r="E26" i="57"/>
  <c r="I32" i="59"/>
  <c r="G38" i="60"/>
  <c r="E19" i="57" l="1"/>
  <c r="I13" i="57"/>
  <c r="G13" i="57"/>
  <c r="J13" i="57" s="1"/>
  <c r="F13" i="57"/>
  <c r="I25" i="57"/>
  <c r="H25" i="57"/>
  <c r="G25" i="57"/>
  <c r="F25" i="57"/>
  <c r="E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4"/>
  <c r="D16" i="53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G26" i="52"/>
  <c r="G33" i="52"/>
  <c r="E33" i="52"/>
  <c r="H28" i="52"/>
  <c r="H33" i="52"/>
  <c r="F31" i="52"/>
  <c r="G31" i="52"/>
  <c r="I33" i="52"/>
  <c r="F26" i="52"/>
  <c r="E31" i="52"/>
  <c r="F33" i="52"/>
  <c r="I28" i="52"/>
  <c r="G28" i="52"/>
  <c r="I31" i="52"/>
  <c r="H31" i="52"/>
  <c r="E28" i="52"/>
  <c r="D16" i="51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H26" i="52"/>
  <c r="F46" i="51"/>
  <c r="I28" i="54"/>
  <c r="E45" i="51"/>
  <c r="F54" i="56"/>
  <c r="E49" i="53"/>
  <c r="F28" i="51"/>
  <c r="F70" i="53"/>
  <c r="I49" i="53"/>
  <c r="H28" i="54"/>
  <c r="E49" i="56"/>
  <c r="F61" i="54"/>
  <c r="H28" i="56"/>
  <c r="F78" i="51"/>
  <c r="I53" i="51"/>
  <c r="G28" i="56"/>
  <c r="F66" i="51"/>
  <c r="E28" i="55"/>
  <c r="E26" i="53"/>
  <c r="F35" i="55"/>
  <c r="H63" i="56"/>
  <c r="H33" i="56"/>
  <c r="G74" i="51"/>
  <c r="E56" i="53"/>
  <c r="E28" i="54"/>
  <c r="E61" i="54"/>
  <c r="G49" i="53"/>
  <c r="G35" i="55"/>
  <c r="H76" i="51"/>
  <c r="G70" i="55"/>
  <c r="F68" i="55"/>
  <c r="F33" i="53"/>
  <c r="I34" i="51"/>
  <c r="I54" i="53"/>
  <c r="G42" i="51"/>
  <c r="F47" i="56"/>
  <c r="E26" i="55"/>
  <c r="I56" i="54"/>
  <c r="I33" i="56"/>
  <c r="E33" i="56"/>
  <c r="I45" i="51"/>
  <c r="G49" i="56"/>
  <c r="H52" i="51"/>
  <c r="G28" i="54"/>
  <c r="I26" i="51"/>
  <c r="G29" i="51"/>
  <c r="G76" i="51"/>
  <c r="F54" i="53"/>
  <c r="H53" i="51"/>
  <c r="E33" i="54"/>
  <c r="G42" i="56"/>
  <c r="H28" i="51"/>
  <c r="F63" i="55"/>
  <c r="H60" i="51"/>
  <c r="H26" i="56"/>
  <c r="F42" i="56"/>
  <c r="F35" i="54"/>
  <c r="H40" i="53"/>
  <c r="I28" i="56"/>
  <c r="I68" i="53"/>
  <c r="E76" i="51"/>
  <c r="H42" i="51"/>
  <c r="G54" i="53"/>
  <c r="I47" i="53"/>
  <c r="G31" i="50"/>
  <c r="I68" i="56"/>
  <c r="F61" i="55"/>
  <c r="I69" i="51"/>
  <c r="H54" i="56"/>
  <c r="E46" i="51"/>
  <c r="H35" i="54"/>
  <c r="G50" i="51"/>
  <c r="F35" i="53"/>
  <c r="E77" i="51"/>
  <c r="I61" i="56"/>
  <c r="H44" i="51"/>
  <c r="E68" i="55"/>
  <c r="I42" i="54"/>
  <c r="H42" i="55"/>
  <c r="E37" i="51"/>
  <c r="G56" i="54"/>
  <c r="H70" i="56"/>
  <c r="H33" i="55"/>
  <c r="G46" i="51"/>
  <c r="G56" i="55"/>
  <c r="I28" i="51"/>
  <c r="I26" i="56"/>
  <c r="H35" i="53"/>
  <c r="H49" i="56"/>
  <c r="E53" i="51"/>
  <c r="F60" i="51"/>
  <c r="I62" i="51"/>
  <c r="F34" i="50"/>
  <c r="I33" i="53"/>
  <c r="I33" i="54"/>
  <c r="H58" i="51"/>
  <c r="E62" i="51"/>
  <c r="G70" i="53"/>
  <c r="I50" i="51"/>
  <c r="H28" i="53"/>
  <c r="H63" i="53"/>
  <c r="H61" i="56"/>
  <c r="F56" i="54"/>
  <c r="I61" i="53"/>
  <c r="H40" i="56"/>
  <c r="G49" i="54"/>
  <c r="E34" i="51"/>
  <c r="F62" i="51"/>
  <c r="E49" i="55"/>
  <c r="I61" i="54"/>
  <c r="G70" i="54"/>
  <c r="G70" i="51"/>
  <c r="E78" i="51"/>
  <c r="H29" i="51"/>
  <c r="H47" i="56"/>
  <c r="E47" i="54"/>
  <c r="I26" i="53"/>
  <c r="I60" i="51"/>
  <c r="F30" i="51"/>
  <c r="G61" i="53"/>
  <c r="H26" i="51"/>
  <c r="G35" i="56"/>
  <c r="E68" i="53"/>
  <c r="E61" i="55"/>
  <c r="E63" i="55"/>
  <c r="H50" i="51"/>
  <c r="G61" i="55"/>
  <c r="E68" i="54"/>
  <c r="E69" i="51"/>
  <c r="F70" i="54"/>
  <c r="H68" i="56"/>
  <c r="E70" i="55"/>
  <c r="I44" i="51"/>
  <c r="I28" i="53"/>
  <c r="F50" i="51"/>
  <c r="I66" i="51"/>
  <c r="H26" i="53"/>
  <c r="H45" i="51"/>
  <c r="F61" i="53"/>
  <c r="E70" i="56"/>
  <c r="I47" i="54"/>
  <c r="H69" i="51"/>
  <c r="I68" i="51"/>
  <c r="I36" i="51"/>
  <c r="H42" i="54"/>
  <c r="H62" i="51"/>
  <c r="E49" i="54"/>
  <c r="H49" i="55"/>
  <c r="G63" i="53"/>
  <c r="I42" i="55"/>
  <c r="F42" i="55"/>
  <c r="F45" i="51"/>
  <c r="H70" i="53"/>
  <c r="F36" i="51"/>
  <c r="H56" i="54"/>
  <c r="G34" i="50"/>
  <c r="I49" i="54"/>
  <c r="E42" i="56"/>
  <c r="F38" i="51"/>
  <c r="F26" i="50"/>
  <c r="G40" i="55"/>
  <c r="G53" i="51"/>
  <c r="F56" i="55"/>
  <c r="I70" i="54"/>
  <c r="G42" i="53"/>
  <c r="I31" i="50"/>
  <c r="F54" i="55"/>
  <c r="G36" i="51"/>
  <c r="E47" i="53"/>
  <c r="H74" i="51"/>
  <c r="H61" i="55"/>
  <c r="E47" i="55"/>
  <c r="E33" i="53"/>
  <c r="H26" i="55"/>
  <c r="I63" i="56"/>
  <c r="E42" i="51"/>
  <c r="F42" i="51"/>
  <c r="H30" i="51"/>
  <c r="G62" i="51"/>
  <c r="E63" i="56"/>
  <c r="I70" i="51"/>
  <c r="I26" i="50"/>
  <c r="F61" i="51"/>
  <c r="H37" i="51"/>
  <c r="F70" i="56"/>
  <c r="G70" i="56"/>
  <c r="G54" i="51"/>
  <c r="E54" i="56"/>
  <c r="E70" i="51"/>
  <c r="H63" i="54"/>
  <c r="F68" i="53"/>
  <c r="F33" i="54"/>
  <c r="I76" i="51"/>
  <c r="I56" i="55"/>
  <c r="G45" i="51"/>
  <c r="E26" i="52"/>
  <c r="I61" i="55"/>
  <c r="G40" i="54"/>
  <c r="H70" i="55"/>
  <c r="F29" i="51"/>
  <c r="H47" i="55"/>
  <c r="I35" i="55"/>
  <c r="F28" i="52"/>
  <c r="E31" i="50"/>
  <c r="G61" i="54"/>
  <c r="G26" i="55"/>
  <c r="E26" i="56"/>
  <c r="G47" i="56"/>
  <c r="I28" i="55"/>
  <c r="I47" i="55"/>
  <c r="F69" i="51"/>
  <c r="G68" i="55"/>
  <c r="G40" i="53"/>
  <c r="G40" i="56"/>
  <c r="E54" i="53"/>
  <c r="F28" i="53"/>
  <c r="G28" i="53"/>
  <c r="E42" i="54"/>
  <c r="I70" i="55"/>
  <c r="H33" i="53"/>
  <c r="E56" i="56"/>
  <c r="G35" i="53"/>
  <c r="G26" i="51"/>
  <c r="H77" i="51"/>
  <c r="I42" i="53"/>
  <c r="F31" i="50"/>
  <c r="G47" i="55"/>
  <c r="F40" i="55"/>
  <c r="E66" i="51"/>
  <c r="I77" i="51"/>
  <c r="G26" i="56"/>
  <c r="E38" i="51"/>
  <c r="E36" i="51"/>
  <c r="G33" i="55"/>
  <c r="G44" i="51"/>
  <c r="E30" i="51"/>
  <c r="E61" i="51"/>
  <c r="G69" i="51"/>
  <c r="E52" i="51"/>
  <c r="F63" i="54"/>
  <c r="E40" i="53"/>
  <c r="I68" i="55"/>
  <c r="F40" i="54"/>
  <c r="G52" i="51"/>
  <c r="H56" i="53"/>
  <c r="H66" i="51"/>
  <c r="F52" i="51"/>
  <c r="F26" i="54"/>
  <c r="G34" i="51"/>
  <c r="E63" i="54"/>
  <c r="F68" i="56"/>
  <c r="I74" i="51"/>
  <c r="F42" i="54"/>
  <c r="I56" i="53"/>
  <c r="F56" i="53"/>
  <c r="H68" i="53"/>
  <c r="G63" i="55"/>
  <c r="F49" i="53"/>
  <c r="H35" i="56"/>
  <c r="H49" i="53"/>
  <c r="H56" i="55"/>
  <c r="H42" i="56"/>
  <c r="F70" i="55"/>
  <c r="I37" i="51"/>
  <c r="G78" i="51"/>
  <c r="F33" i="56"/>
  <c r="H68" i="51"/>
  <c r="E70" i="54"/>
  <c r="E28" i="56"/>
  <c r="E68" i="51"/>
  <c r="I35" i="56"/>
  <c r="F49" i="56"/>
  <c r="E28" i="53"/>
  <c r="I61" i="51"/>
  <c r="F40" i="53"/>
  <c r="G63" i="56"/>
  <c r="I49" i="56"/>
  <c r="G77" i="51"/>
  <c r="I63" i="53"/>
  <c r="H35" i="55"/>
  <c r="F47" i="53"/>
  <c r="I58" i="51"/>
  <c r="E56" i="55"/>
  <c r="E35" i="53"/>
  <c r="F61" i="56"/>
  <c r="G54" i="56"/>
  <c r="E60" i="51"/>
  <c r="I38" i="51"/>
  <c r="F28" i="55"/>
  <c r="I40" i="53"/>
  <c r="H70" i="54"/>
  <c r="F44" i="51"/>
  <c r="H26" i="50"/>
  <c r="I35" i="54"/>
  <c r="G56" i="53"/>
  <c r="E50" i="51"/>
  <c r="F63" i="56"/>
  <c r="E33" i="55"/>
  <c r="G68" i="53"/>
  <c r="I26" i="52"/>
  <c r="G49" i="55"/>
  <c r="I26" i="55"/>
  <c r="I78" i="51"/>
  <c r="H68" i="54"/>
  <c r="H40" i="55"/>
  <c r="G54" i="55"/>
  <c r="E26" i="54"/>
  <c r="H68" i="55"/>
  <c r="F34" i="51"/>
  <c r="H54" i="55"/>
  <c r="F49" i="54"/>
  <c r="F26" i="56"/>
  <c r="G35" i="54"/>
  <c r="G33" i="53"/>
  <c r="I70" i="56"/>
  <c r="G58" i="51"/>
  <c r="F42" i="53"/>
  <c r="F33" i="55"/>
  <c r="I42" i="56"/>
  <c r="I68" i="54"/>
  <c r="I35" i="53"/>
  <c r="I42" i="51"/>
  <c r="G33" i="56"/>
  <c r="I70" i="53"/>
  <c r="F68" i="51"/>
  <c r="E42" i="55"/>
  <c r="H47" i="53"/>
  <c r="I30" i="51"/>
  <c r="F40" i="56"/>
  <c r="E56" i="54"/>
  <c r="E28" i="51"/>
  <c r="H42" i="53"/>
  <c r="G47" i="53"/>
  <c r="F70" i="51"/>
  <c r="G61" i="56"/>
  <c r="H33" i="54"/>
  <c r="H54" i="51"/>
  <c r="G26" i="50"/>
  <c r="H63" i="55"/>
  <c r="G47" i="54"/>
  <c r="E35" i="56"/>
  <c r="G42" i="55"/>
  <c r="H78" i="51"/>
  <c r="I49" i="55"/>
  <c r="E35" i="54"/>
  <c r="G42" i="54"/>
  <c r="H47" i="54"/>
  <c r="G26" i="53"/>
  <c r="G54" i="54"/>
  <c r="G68" i="56"/>
  <c r="H31" i="50"/>
  <c r="I40" i="54"/>
  <c r="F37" i="51"/>
  <c r="E29" i="51"/>
  <c r="F26" i="55"/>
  <c r="G30" i="51"/>
  <c r="E54" i="55"/>
  <c r="H70" i="51"/>
  <c r="F58" i="51"/>
  <c r="F53" i="51"/>
  <c r="I40" i="56"/>
  <c r="I56" i="56"/>
  <c r="I63" i="54"/>
  <c r="F49" i="55"/>
  <c r="E26" i="50"/>
  <c r="H61" i="51"/>
  <c r="H34" i="51"/>
  <c r="H54" i="54"/>
  <c r="I63" i="55"/>
  <c r="I33" i="55"/>
  <c r="I54" i="54"/>
  <c r="G68" i="51"/>
  <c r="E58" i="51"/>
  <c r="E54" i="54"/>
  <c r="F47" i="54"/>
  <c r="E40" i="54"/>
  <c r="F26" i="51"/>
  <c r="E26" i="51"/>
  <c r="F26" i="53"/>
  <c r="E70" i="53"/>
  <c r="G28" i="51"/>
  <c r="F77" i="51"/>
  <c r="I47" i="56"/>
  <c r="F28" i="56"/>
  <c r="G38" i="51"/>
  <c r="F68" i="54"/>
  <c r="E61" i="53"/>
  <c r="G26" i="54"/>
  <c r="H34" i="50"/>
  <c r="G37" i="51"/>
  <c r="I40" i="55"/>
  <c r="F28" i="54"/>
  <c r="H38" i="51"/>
  <c r="F56" i="56"/>
  <c r="E40" i="56"/>
  <c r="F74" i="51"/>
  <c r="H46" i="51"/>
  <c r="G60" i="51"/>
  <c r="E35" i="55"/>
  <c r="F54" i="54"/>
  <c r="E68" i="56"/>
  <c r="G28" i="55"/>
  <c r="F63" i="53"/>
  <c r="E42" i="53"/>
  <c r="H61" i="53"/>
  <c r="F54" i="51"/>
  <c r="F35" i="56"/>
  <c r="E63" i="53"/>
  <c r="E40" i="55"/>
  <c r="I34" i="50"/>
  <c r="G56" i="56"/>
  <c r="H61" i="54"/>
  <c r="H56" i="56"/>
  <c r="I54" i="55"/>
  <c r="I29" i="51"/>
  <c r="F76" i="51"/>
  <c r="G34" i="52"/>
  <c r="G68" i="54"/>
  <c r="H54" i="53"/>
  <c r="G61" i="51"/>
  <c r="I52" i="51"/>
  <c r="H36" i="51"/>
  <c r="E61" i="56"/>
  <c r="G63" i="54"/>
  <c r="I54" i="51"/>
  <c r="G66" i="51"/>
  <c r="E54" i="51"/>
  <c r="E47" i="56"/>
  <c r="I54" i="56"/>
  <c r="H49" i="54"/>
  <c r="E44" i="51"/>
  <c r="F47" i="55"/>
  <c r="H40" i="54"/>
  <c r="I26" i="54"/>
  <c r="I46" i="51"/>
  <c r="G33" i="54"/>
  <c r="E74" i="51"/>
  <c r="H26" i="54"/>
  <c r="H28" i="55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G38" i="53"/>
  <c r="I55" i="51"/>
  <c r="H48" i="51"/>
  <c r="H73" i="56"/>
  <c r="I31" i="54"/>
  <c r="E59" i="53"/>
  <c r="I30" i="53"/>
  <c r="H51" i="56"/>
  <c r="F52" i="55"/>
  <c r="H72" i="51"/>
  <c r="H44" i="53"/>
  <c r="F72" i="55"/>
  <c r="G44" i="53"/>
  <c r="I31" i="56"/>
  <c r="H52" i="55"/>
  <c r="H72" i="55"/>
  <c r="E52" i="53"/>
  <c r="H66" i="54"/>
  <c r="I31" i="55"/>
  <c r="H59" i="54"/>
  <c r="G44" i="54"/>
  <c r="G45" i="54"/>
  <c r="F40" i="51"/>
  <c r="F59" i="54"/>
  <c r="I45" i="54"/>
  <c r="I66" i="56"/>
  <c r="G65" i="54"/>
  <c r="F58" i="56"/>
  <c r="E38" i="55"/>
  <c r="F71" i="51"/>
  <c r="G52" i="53"/>
  <c r="E31" i="56"/>
  <c r="G51" i="54"/>
  <c r="G38" i="55"/>
  <c r="I37" i="54"/>
  <c r="I59" i="56"/>
  <c r="I44" i="54"/>
  <c r="E30" i="53"/>
  <c r="F39" i="51"/>
  <c r="F31" i="54"/>
  <c r="I59" i="54"/>
  <c r="H52" i="56"/>
  <c r="I44" i="53"/>
  <c r="E65" i="54"/>
  <c r="F31" i="56"/>
  <c r="E44" i="54"/>
  <c r="H55" i="51"/>
  <c r="G48" i="51"/>
  <c r="G66" i="53"/>
  <c r="E66" i="55"/>
  <c r="H65" i="55"/>
  <c r="H38" i="55"/>
  <c r="G72" i="53"/>
  <c r="I65" i="55"/>
  <c r="I58" i="55"/>
  <c r="I52" i="54"/>
  <c r="F79" i="51"/>
  <c r="F38" i="54"/>
  <c r="I45" i="55"/>
  <c r="G65" i="53"/>
  <c r="F55" i="51"/>
  <c r="I72" i="56"/>
  <c r="G52" i="56"/>
  <c r="H30" i="56"/>
  <c r="I52" i="55"/>
  <c r="H51" i="54"/>
  <c r="F44" i="55"/>
  <c r="H44" i="56"/>
  <c r="F52" i="54"/>
  <c r="G44" i="55"/>
  <c r="H73" i="54"/>
  <c r="I30" i="54"/>
  <c r="E45" i="54"/>
  <c r="H32" i="51"/>
  <c r="E58" i="55"/>
  <c r="E38" i="56"/>
  <c r="F58" i="54"/>
  <c r="G66" i="55"/>
  <c r="E51" i="54"/>
  <c r="G52" i="54"/>
  <c r="E37" i="55"/>
  <c r="E80" i="51"/>
  <c r="F30" i="55"/>
  <c r="G45" i="56"/>
  <c r="F64" i="51"/>
  <c r="G58" i="55"/>
  <c r="H31" i="54"/>
  <c r="G58" i="54"/>
  <c r="H45" i="53"/>
  <c r="I71" i="51"/>
  <c r="E73" i="53"/>
  <c r="F37" i="53"/>
  <c r="H52" i="54"/>
  <c r="F73" i="56"/>
  <c r="F34" i="52"/>
  <c r="E56" i="51"/>
  <c r="I66" i="55"/>
  <c r="I58" i="56"/>
  <c r="G56" i="51"/>
  <c r="I30" i="56"/>
  <c r="H52" i="53"/>
  <c r="F38" i="55"/>
  <c r="H58" i="56"/>
  <c r="F66" i="55"/>
  <c r="G59" i="53"/>
  <c r="G72" i="54"/>
  <c r="I31" i="51"/>
  <c r="F52" i="53"/>
  <c r="I73" i="56"/>
  <c r="F65" i="56"/>
  <c r="G65" i="55"/>
  <c r="G44" i="56"/>
  <c r="E37" i="56"/>
  <c r="H72" i="54"/>
  <c r="G51" i="56"/>
  <c r="I79" i="51"/>
  <c r="E73" i="54"/>
  <c r="I58" i="53"/>
  <c r="I45" i="53"/>
  <c r="F31" i="51"/>
  <c r="F73" i="55"/>
  <c r="I52" i="53"/>
  <c r="E37" i="54"/>
  <c r="H71" i="51"/>
  <c r="I44" i="55"/>
  <c r="I72" i="53"/>
  <c r="F30" i="53"/>
  <c r="E72" i="55"/>
  <c r="H31" i="51"/>
  <c r="I73" i="55"/>
  <c r="G72" i="51"/>
  <c r="H58" i="53"/>
  <c r="E66" i="56"/>
  <c r="F73" i="53"/>
  <c r="G38" i="54"/>
  <c r="E71" i="51"/>
  <c r="G31" i="56"/>
  <c r="G55" i="51"/>
  <c r="G59" i="55"/>
  <c r="I38" i="53"/>
  <c r="E38" i="54"/>
  <c r="E30" i="56"/>
  <c r="G51" i="55"/>
  <c r="I44" i="56"/>
  <c r="G37" i="56"/>
  <c r="F37" i="54"/>
  <c r="E59" i="55"/>
  <c r="H47" i="51"/>
  <c r="G71" i="51"/>
  <c r="E44" i="53"/>
  <c r="G30" i="53"/>
  <c r="F47" i="51"/>
  <c r="G45" i="55"/>
  <c r="H59" i="56"/>
  <c r="E66" i="54"/>
  <c r="H31" i="56"/>
  <c r="I40" i="51"/>
  <c r="G59" i="56"/>
  <c r="F37" i="56"/>
  <c r="E40" i="51"/>
  <c r="H45" i="54"/>
  <c r="H31" i="53"/>
  <c r="E34" i="52"/>
  <c r="H31" i="55"/>
  <c r="I72" i="55"/>
  <c r="G73" i="55"/>
  <c r="G30" i="56"/>
  <c r="G58" i="56"/>
  <c r="E73" i="56"/>
  <c r="E58" i="54"/>
  <c r="H59" i="53"/>
  <c r="I59" i="53"/>
  <c r="F38" i="53"/>
  <c r="H51" i="53"/>
  <c r="I65" i="56"/>
  <c r="E31" i="55"/>
  <c r="F44" i="53"/>
  <c r="F37" i="55"/>
  <c r="I56" i="51"/>
  <c r="H37" i="53"/>
  <c r="G47" i="51"/>
  <c r="E72" i="56"/>
  <c r="E73" i="55"/>
  <c r="H63" i="51"/>
  <c r="H45" i="56"/>
  <c r="F65" i="54"/>
  <c r="F52" i="56"/>
  <c r="H73" i="55"/>
  <c r="E59" i="54"/>
  <c r="I64" i="51"/>
  <c r="H44" i="54"/>
  <c r="F58" i="53"/>
  <c r="G30" i="55"/>
  <c r="F45" i="54"/>
  <c r="G31" i="51"/>
  <c r="I65" i="53"/>
  <c r="G63" i="51"/>
  <c r="F51" i="53"/>
  <c r="H40" i="51"/>
  <c r="E51" i="55"/>
  <c r="E51" i="56"/>
  <c r="I51" i="56"/>
  <c r="E48" i="51"/>
  <c r="I48" i="51"/>
  <c r="G38" i="56"/>
  <c r="F45" i="53"/>
  <c r="E72" i="54"/>
  <c r="H80" i="51"/>
  <c r="I66" i="53"/>
  <c r="E66" i="53"/>
  <c r="H58" i="55"/>
  <c r="F73" i="54"/>
  <c r="F59" i="53"/>
  <c r="H37" i="56"/>
  <c r="F51" i="56"/>
  <c r="H66" i="55"/>
  <c r="G37" i="55"/>
  <c r="I63" i="51"/>
  <c r="H37" i="54"/>
  <c r="E30" i="54"/>
  <c r="E79" i="51"/>
  <c r="G72" i="55"/>
  <c r="F31" i="53"/>
  <c r="G51" i="53"/>
  <c r="E65" i="56"/>
  <c r="F66" i="56"/>
  <c r="E63" i="51"/>
  <c r="E65" i="53"/>
  <c r="I38" i="56"/>
  <c r="I38" i="54"/>
  <c r="H45" i="55"/>
  <c r="H59" i="55"/>
  <c r="I73" i="54"/>
  <c r="G30" i="54"/>
  <c r="I37" i="56"/>
  <c r="G31" i="53"/>
  <c r="E58" i="53"/>
  <c r="G58" i="53"/>
  <c r="G37" i="54"/>
  <c r="E72" i="51"/>
  <c r="H44" i="55"/>
  <c r="I72" i="54"/>
  <c r="G31" i="55"/>
  <c r="F59" i="55"/>
  <c r="I51" i="54"/>
  <c r="E52" i="54"/>
  <c r="H37" i="55"/>
  <c r="E45" i="55"/>
  <c r="G45" i="53"/>
  <c r="H65" i="53"/>
  <c r="H39" i="51"/>
  <c r="G59" i="54"/>
  <c r="I73" i="53"/>
  <c r="E37" i="53"/>
  <c r="H30" i="55"/>
  <c r="G32" i="51"/>
  <c r="G36" i="52"/>
  <c r="F48" i="51"/>
  <c r="I66" i="54"/>
  <c r="E47" i="51"/>
  <c r="F51" i="55"/>
  <c r="G72" i="56"/>
  <c r="I52" i="56"/>
  <c r="F66" i="54"/>
  <c r="E55" i="51"/>
  <c r="G31" i="54"/>
  <c r="F44" i="56"/>
  <c r="E58" i="56"/>
  <c r="H38" i="53"/>
  <c r="G52" i="55"/>
  <c r="I45" i="56"/>
  <c r="E65" i="55"/>
  <c r="I37" i="53"/>
  <c r="F32" i="51"/>
  <c r="F56" i="51"/>
  <c r="H38" i="56"/>
  <c r="H79" i="51"/>
  <c r="E32" i="51"/>
  <c r="I72" i="51"/>
  <c r="H66" i="56"/>
  <c r="H51" i="55"/>
  <c r="I59" i="55"/>
  <c r="E45" i="53"/>
  <c r="I65" i="54"/>
  <c r="E31" i="54"/>
  <c r="G73" i="53"/>
  <c r="G40" i="51"/>
  <c r="G73" i="54"/>
  <c r="H66" i="53"/>
  <c r="H65" i="56"/>
  <c r="H34" i="52"/>
  <c r="H30" i="54"/>
  <c r="F72" i="53"/>
  <c r="I51" i="53"/>
  <c r="H30" i="53"/>
  <c r="F66" i="53"/>
  <c r="E44" i="55"/>
  <c r="I39" i="51"/>
  <c r="G39" i="51"/>
  <c r="F51" i="54"/>
  <c r="I34" i="52"/>
  <c r="F72" i="54"/>
  <c r="H58" i="54"/>
  <c r="E52" i="56"/>
  <c r="F45" i="56"/>
  <c r="G73" i="56"/>
  <c r="E39" i="51"/>
  <c r="I38" i="55"/>
  <c r="H72" i="56"/>
  <c r="H73" i="53"/>
  <c r="G37" i="53"/>
  <c r="E59" i="56"/>
  <c r="I30" i="55"/>
  <c r="F63" i="51"/>
  <c r="E64" i="51"/>
  <c r="H56" i="51"/>
  <c r="G66" i="54"/>
  <c r="I32" i="51"/>
  <c r="H72" i="53"/>
  <c r="F65" i="53"/>
  <c r="E31" i="51"/>
  <c r="I58" i="54"/>
  <c r="I47" i="51"/>
  <c r="F31" i="55"/>
  <c r="G64" i="51"/>
  <c r="I37" i="55"/>
  <c r="G79" i="51"/>
  <c r="G65" i="56"/>
  <c r="F59" i="56"/>
  <c r="F44" i="54"/>
  <c r="F72" i="51"/>
  <c r="F72" i="56"/>
  <c r="E44" i="56"/>
  <c r="H38" i="54"/>
  <c r="G66" i="56"/>
  <c r="E31" i="53"/>
  <c r="G80" i="51"/>
  <c r="F30" i="54"/>
  <c r="F30" i="56"/>
  <c r="E45" i="56"/>
  <c r="F80" i="51"/>
  <c r="F65" i="55"/>
  <c r="I80" i="51"/>
  <c r="E51" i="53"/>
  <c r="F58" i="55"/>
  <c r="E30" i="55"/>
  <c r="E52" i="55"/>
  <c r="I51" i="55"/>
  <c r="H64" i="51"/>
  <c r="E38" i="53"/>
  <c r="I31" i="53"/>
  <c r="E72" i="53"/>
  <c r="F45" i="55"/>
  <c r="H65" i="54"/>
  <c r="F38" i="56"/>
  <c r="G13" i="49" l="1"/>
  <c r="F13" i="49"/>
  <c r="E19" i="49"/>
  <c r="D16" i="49"/>
  <c r="E36" i="52"/>
  <c r="F36" i="52"/>
  <c r="H36" i="52"/>
  <c r="I36" i="52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G28" i="50"/>
  <c r="F41" i="48"/>
  <c r="E41" i="48"/>
  <c r="H41" i="47"/>
  <c r="G70" i="49"/>
  <c r="G71" i="49"/>
  <c r="E36" i="49"/>
  <c r="F70" i="49"/>
  <c r="H68" i="49"/>
  <c r="E54" i="49"/>
  <c r="E50" i="49"/>
  <c r="D16" i="47"/>
  <c r="H28" i="50"/>
  <c r="I41" i="48"/>
  <c r="E57" i="49"/>
  <c r="F63" i="49"/>
  <c r="G49" i="49"/>
  <c r="H70" i="49"/>
  <c r="G50" i="49"/>
  <c r="I42" i="49"/>
  <c r="I64" i="49"/>
  <c r="H40" i="49"/>
  <c r="F57" i="49"/>
  <c r="H56" i="49"/>
  <c r="E28" i="50"/>
  <c r="E35" i="49"/>
  <c r="F41" i="47"/>
  <c r="D16" i="48"/>
  <c r="E47" i="49"/>
  <c r="H57" i="49"/>
  <c r="G68" i="49"/>
  <c r="F49" i="49"/>
  <c r="G57" i="49"/>
  <c r="I28" i="50"/>
  <c r="F56" i="49"/>
  <c r="G64" i="49"/>
  <c r="F40" i="49"/>
  <c r="E56" i="49"/>
  <c r="E70" i="49"/>
  <c r="G40" i="49"/>
  <c r="H71" i="49"/>
  <c r="I43" i="49"/>
  <c r="F71" i="49"/>
  <c r="E61" i="49"/>
  <c r="I70" i="49"/>
  <c r="F54" i="49"/>
  <c r="F50" i="49"/>
  <c r="E26" i="49"/>
  <c r="E42" i="49"/>
  <c r="E33" i="49"/>
  <c r="G41" i="47"/>
  <c r="H41" i="48"/>
  <c r="G47" i="49"/>
  <c r="G41" i="48"/>
  <c r="F61" i="49"/>
  <c r="E28" i="49"/>
  <c r="F47" i="49"/>
  <c r="E29" i="49"/>
  <c r="H63" i="49"/>
  <c r="I26" i="49"/>
  <c r="F35" i="49"/>
  <c r="I29" i="49"/>
  <c r="G29" i="49"/>
  <c r="F28" i="50"/>
  <c r="F42" i="49"/>
  <c r="G61" i="49"/>
  <c r="I41" i="47"/>
  <c r="E41" i="47"/>
  <c r="G35" i="49"/>
  <c r="E71" i="49"/>
  <c r="E68" i="49"/>
  <c r="G42" i="49"/>
  <c r="I49" i="49"/>
  <c r="I57" i="49"/>
  <c r="G63" i="49"/>
  <c r="F43" i="49"/>
  <c r="F64" i="49"/>
  <c r="I63" i="49"/>
  <c r="H61" i="49"/>
  <c r="F33" i="49"/>
  <c r="I33" i="49"/>
  <c r="H36" i="49"/>
  <c r="F29" i="49"/>
  <c r="H26" i="49"/>
  <c r="E40" i="49"/>
  <c r="G33" i="49"/>
  <c r="G28" i="49"/>
  <c r="H49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G36" i="49"/>
  <c r="N27" i="47"/>
  <c r="E28" i="48"/>
  <c r="M27" i="47"/>
  <c r="M37" i="47"/>
  <c r="F32" i="47"/>
  <c r="H26" i="48"/>
  <c r="F24" i="48"/>
  <c r="M29" i="47"/>
  <c r="H42" i="49"/>
  <c r="F36" i="48"/>
  <c r="K37" i="47"/>
  <c r="G24" i="47"/>
  <c r="M35" i="47"/>
  <c r="L35" i="48"/>
  <c r="I47" i="49"/>
  <c r="K29" i="47"/>
  <c r="I32" i="47"/>
  <c r="H43" i="49"/>
  <c r="I56" i="49"/>
  <c r="F34" i="48"/>
  <c r="E24" i="48"/>
  <c r="I30" i="47"/>
  <c r="H64" i="49"/>
  <c r="K29" i="48"/>
  <c r="G28" i="47"/>
  <c r="F26" i="49"/>
  <c r="N33" i="47"/>
  <c r="N35" i="47"/>
  <c r="J35" i="48"/>
  <c r="N31" i="48"/>
  <c r="H28" i="49"/>
  <c r="G30" i="47"/>
  <c r="N29" i="47"/>
  <c r="E30" i="48"/>
  <c r="I68" i="49"/>
  <c r="J27" i="47"/>
  <c r="I61" i="49"/>
  <c r="N33" i="48"/>
  <c r="H35" i="49"/>
  <c r="L25" i="47"/>
  <c r="H24" i="47"/>
  <c r="L25" i="48"/>
  <c r="H36" i="47"/>
  <c r="H72" i="49"/>
  <c r="E43" i="49"/>
  <c r="N37" i="48"/>
  <c r="I32" i="48"/>
  <c r="N29" i="48"/>
  <c r="M31" i="47"/>
  <c r="L33" i="47"/>
  <c r="H30" i="47"/>
  <c r="G34" i="48"/>
  <c r="J33" i="47"/>
  <c r="F30" i="47"/>
  <c r="E30" i="47"/>
  <c r="K31" i="47"/>
  <c r="H26" i="47"/>
  <c r="K33" i="48"/>
  <c r="I36" i="47"/>
  <c r="H35" i="50"/>
  <c r="E36" i="47"/>
  <c r="N31" i="47"/>
  <c r="G32" i="48"/>
  <c r="K35" i="47"/>
  <c r="J25" i="47"/>
  <c r="L27" i="47"/>
  <c r="M33" i="48"/>
  <c r="I28" i="48"/>
  <c r="E34" i="47"/>
  <c r="K35" i="48"/>
  <c r="I35" i="49"/>
  <c r="F36" i="47"/>
  <c r="M27" i="48"/>
  <c r="G36" i="47"/>
  <c r="H50" i="49"/>
  <c r="K37" i="48"/>
  <c r="G54" i="49"/>
  <c r="N35" i="48"/>
  <c r="L29" i="48"/>
  <c r="M35" i="48"/>
  <c r="K25" i="47"/>
  <c r="K25" i="48"/>
  <c r="J29" i="48"/>
  <c r="I26" i="47"/>
  <c r="L27" i="48"/>
  <c r="G28" i="48"/>
  <c r="N25" i="48"/>
  <c r="H36" i="48"/>
  <c r="J27" i="48"/>
  <c r="G35" i="50"/>
  <c r="E59" i="49"/>
  <c r="I36" i="48"/>
  <c r="N25" i="47"/>
  <c r="L37" i="48"/>
  <c r="H34" i="48"/>
  <c r="E26" i="48"/>
  <c r="E34" i="48"/>
  <c r="E32" i="48"/>
  <c r="F30" i="48"/>
  <c r="K33" i="47"/>
  <c r="L31" i="47"/>
  <c r="H30" i="48"/>
  <c r="E24" i="47"/>
  <c r="K27" i="47"/>
  <c r="G26" i="47"/>
  <c r="I71" i="49"/>
  <c r="I34" i="48"/>
  <c r="L33" i="48"/>
  <c r="G26" i="48"/>
  <c r="G24" i="48"/>
  <c r="I50" i="49"/>
  <c r="L29" i="47"/>
  <c r="M29" i="48"/>
  <c r="I35" i="50"/>
  <c r="H54" i="49"/>
  <c r="J31" i="48"/>
  <c r="J25" i="48"/>
  <c r="E31" i="49"/>
  <c r="L31" i="48"/>
  <c r="M25" i="48"/>
  <c r="F26" i="47"/>
  <c r="G52" i="49"/>
  <c r="M25" i="47"/>
  <c r="I26" i="48"/>
  <c r="F36" i="49"/>
  <c r="S23" i="47"/>
  <c r="F28" i="47"/>
  <c r="K31" i="48"/>
  <c r="H32" i="47"/>
  <c r="F24" i="47"/>
  <c r="F26" i="48"/>
  <c r="J37" i="48"/>
  <c r="G43" i="49"/>
  <c r="K27" i="48"/>
  <c r="M33" i="47"/>
  <c r="E63" i="49"/>
  <c r="I24" i="48"/>
  <c r="G30" i="48"/>
  <c r="E49" i="49"/>
  <c r="F28" i="48"/>
  <c r="J35" i="47"/>
  <c r="H33" i="49"/>
  <c r="G34" i="47"/>
  <c r="J31" i="47"/>
  <c r="E64" i="49"/>
  <c r="G32" i="47"/>
  <c r="E38" i="49"/>
  <c r="H28" i="48"/>
  <c r="I54" i="49"/>
  <c r="I28" i="49"/>
  <c r="E28" i="47"/>
  <c r="H28" i="47"/>
  <c r="I34" i="47"/>
  <c r="L37" i="47"/>
  <c r="L35" i="47"/>
  <c r="H24" i="48"/>
  <c r="J33" i="48"/>
  <c r="E32" i="47"/>
  <c r="J29" i="47"/>
  <c r="E26" i="47"/>
  <c r="I36" i="49"/>
  <c r="F68" i="49"/>
  <c r="I28" i="47"/>
  <c r="I30" i="48"/>
  <c r="F34" i="47"/>
  <c r="F32" i="48"/>
  <c r="G26" i="49"/>
  <c r="E36" i="48"/>
  <c r="N27" i="48"/>
  <c r="M31" i="48"/>
  <c r="J37" i="47"/>
  <c r="H32" i="48"/>
  <c r="F28" i="49"/>
  <c r="F66" i="49"/>
  <c r="I24" i="47"/>
  <c r="N37" i="47"/>
  <c r="H34" i="47"/>
  <c r="E58" i="49"/>
  <c r="I40" i="49"/>
  <c r="M37" i="48"/>
  <c r="G56" i="49"/>
  <c r="H29" i="49"/>
  <c r="F59" i="49"/>
  <c r="S23" i="48"/>
  <c r="G36" i="48"/>
  <c r="H47" i="49"/>
  <c r="G66" i="49"/>
  <c r="F35" i="50"/>
  <c r="G73" i="49"/>
  <c r="E35" i="50"/>
  <c r="E51" i="49"/>
  <c r="F44" i="49"/>
  <c r="E37" i="49"/>
  <c r="F52" i="49"/>
  <c r="E72" i="49"/>
  <c r="I30" i="49"/>
  <c r="F58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E45" i="49"/>
  <c r="I51" i="49"/>
  <c r="H30" i="49"/>
  <c r="I59" i="49"/>
  <c r="I41" i="46"/>
  <c r="H66" i="49"/>
  <c r="H37" i="49"/>
  <c r="H38" i="49"/>
  <c r="I37" i="49"/>
  <c r="G65" i="49"/>
  <c r="D16" i="46"/>
  <c r="E73" i="49"/>
  <c r="G41" i="46"/>
  <c r="I44" i="49"/>
  <c r="I65" i="49"/>
  <c r="E37" i="50"/>
  <c r="F30" i="49"/>
  <c r="F37" i="49"/>
  <c r="H44" i="49"/>
  <c r="F31" i="49"/>
  <c r="H58" i="49"/>
  <c r="H37" i="50"/>
  <c r="G44" i="49"/>
  <c r="E52" i="49"/>
  <c r="I31" i="49"/>
  <c r="F45" i="49"/>
  <c r="I38" i="49"/>
  <c r="G58" i="49"/>
  <c r="I73" i="49"/>
  <c r="G72" i="49"/>
  <c r="F51" i="49"/>
  <c r="F65" i="49"/>
  <c r="F37" i="50"/>
  <c r="E41" i="46"/>
  <c r="G37" i="49"/>
  <c r="I45" i="49"/>
  <c r="E65" i="49"/>
  <c r="I66" i="49"/>
  <c r="H52" i="49"/>
  <c r="G51" i="49"/>
  <c r="F38" i="49"/>
  <c r="E66" i="49"/>
  <c r="F73" i="49"/>
  <c r="I37" i="50"/>
  <c r="H51" i="49"/>
  <c r="I52" i="49"/>
  <c r="G37" i="50"/>
  <c r="G38" i="49"/>
  <c r="E44" i="49"/>
  <c r="H73" i="49"/>
  <c r="H65" i="49"/>
  <c r="G30" i="49"/>
  <c r="I58" i="49"/>
  <c r="E30" i="49"/>
  <c r="F72" i="49"/>
  <c r="F41" i="46"/>
  <c r="H41" i="46"/>
  <c r="G31" i="49"/>
  <c r="G59" i="49"/>
  <c r="I72" i="49"/>
  <c r="H31" i="49"/>
  <c r="G45" i="49"/>
  <c r="H45" i="49"/>
  <c r="H59" i="49"/>
  <c r="O22" i="46" l="1"/>
  <c r="F42" i="46"/>
  <c r="G42" i="46"/>
  <c r="S22" i="46"/>
  <c r="P22" i="46"/>
  <c r="H42" i="46"/>
  <c r="E42" i="46"/>
  <c r="I42" i="46"/>
  <c r="M27" i="46"/>
  <c r="F34" i="46"/>
  <c r="K37" i="46"/>
  <c r="F32" i="46"/>
  <c r="J35" i="46"/>
  <c r="N35" i="46"/>
  <c r="M37" i="46"/>
  <c r="L37" i="46"/>
  <c r="K29" i="46"/>
  <c r="N25" i="46"/>
  <c r="G26" i="46"/>
  <c r="E34" i="46"/>
  <c r="N29" i="46"/>
  <c r="K31" i="46"/>
  <c r="J37" i="46"/>
  <c r="L31" i="46"/>
  <c r="G34" i="46"/>
  <c r="H30" i="46"/>
  <c r="L29" i="46"/>
  <c r="S23" i="46"/>
  <c r="N31" i="46"/>
  <c r="M29" i="46"/>
  <c r="H24" i="46"/>
  <c r="I32" i="46"/>
  <c r="G24" i="46"/>
  <c r="I34" i="46"/>
  <c r="G32" i="46"/>
  <c r="G36" i="46"/>
  <c r="J31" i="46"/>
  <c r="H28" i="46"/>
  <c r="M35" i="46"/>
  <c r="L35" i="46"/>
  <c r="J29" i="46"/>
  <c r="N33" i="46"/>
  <c r="E24" i="46"/>
  <c r="F26" i="46"/>
  <c r="L27" i="46"/>
  <c r="L25" i="46"/>
  <c r="I24" i="46"/>
  <c r="E28" i="46"/>
  <c r="K33" i="46"/>
  <c r="E36" i="46"/>
  <c r="H26" i="46"/>
  <c r="M33" i="46"/>
  <c r="J33" i="46"/>
  <c r="N27" i="46"/>
  <c r="K35" i="46"/>
  <c r="E32" i="46"/>
  <c r="F30" i="46"/>
  <c r="E30" i="46"/>
  <c r="K27" i="46"/>
  <c r="I26" i="46"/>
  <c r="M25" i="46"/>
  <c r="H32" i="46"/>
  <c r="M31" i="46"/>
  <c r="G28" i="46"/>
  <c r="G30" i="46"/>
  <c r="F24" i="46"/>
  <c r="F36" i="46"/>
  <c r="E26" i="46"/>
  <c r="I36" i="46"/>
  <c r="J25" i="46"/>
  <c r="I28" i="46"/>
  <c r="K25" i="46"/>
  <c r="J27" i="46"/>
  <c r="H34" i="46"/>
  <c r="L33" i="46"/>
  <c r="F28" i="46"/>
  <c r="H36" i="46"/>
  <c r="I30" i="46"/>
  <c r="N37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D16" i="45"/>
  <c r="H41" i="45"/>
  <c r="F41" i="45"/>
  <c r="E41" i="45"/>
  <c r="G41" i="45"/>
  <c r="I41" i="45"/>
  <c r="O22" i="45" l="1"/>
  <c r="S22" i="45"/>
  <c r="P22" i="45"/>
  <c r="E42" i="45"/>
  <c r="G42" i="45"/>
  <c r="H42" i="45"/>
  <c r="F42" i="45"/>
  <c r="I42" i="45"/>
  <c r="B25" i="45"/>
  <c r="K35" i="45"/>
  <c r="G24" i="45"/>
  <c r="N33" i="45"/>
  <c r="J29" i="45"/>
  <c r="K33" i="45"/>
  <c r="H36" i="45"/>
  <c r="F36" i="45"/>
  <c r="M25" i="45"/>
  <c r="G36" i="45"/>
  <c r="E34" i="45"/>
  <c r="M29" i="45"/>
  <c r="H28" i="45"/>
  <c r="F32" i="45"/>
  <c r="E26" i="45"/>
  <c r="H15" i="17"/>
  <c r="G30" i="45"/>
  <c r="S23" i="45"/>
  <c r="H32" i="45"/>
  <c r="E15" i="17"/>
  <c r="H34" i="45"/>
  <c r="K31" i="45"/>
  <c r="I32" i="45"/>
  <c r="G32" i="45"/>
  <c r="N25" i="45"/>
  <c r="N31" i="45"/>
  <c r="L33" i="45"/>
  <c r="M37" i="45"/>
  <c r="J31" i="45"/>
  <c r="H30" i="45"/>
  <c r="G26" i="45"/>
  <c r="J15" i="17"/>
  <c r="I30" i="45"/>
  <c r="I16" i="17"/>
  <c r="J33" i="45"/>
  <c r="F16" i="17"/>
  <c r="J16" i="17"/>
  <c r="I24" i="45"/>
  <c r="J35" i="45"/>
  <c r="F24" i="45"/>
  <c r="K25" i="45"/>
  <c r="H24" i="45"/>
  <c r="E32" i="45"/>
  <c r="M35" i="45"/>
  <c r="F34" i="45"/>
  <c r="H16" i="17"/>
  <c r="G34" i="45"/>
  <c r="L37" i="45"/>
  <c r="I34" i="45"/>
  <c r="J27" i="45"/>
  <c r="H26" i="45"/>
  <c r="I26" i="45"/>
  <c r="I28" i="45"/>
  <c r="K37" i="45"/>
  <c r="N29" i="45"/>
  <c r="L35" i="45"/>
  <c r="G15" i="17"/>
  <c r="L29" i="45"/>
  <c r="E28" i="45"/>
  <c r="F28" i="45"/>
  <c r="M27" i="45"/>
  <c r="K27" i="45"/>
  <c r="L27" i="45"/>
  <c r="K29" i="45"/>
  <c r="N37" i="45"/>
  <c r="E24" i="45"/>
  <c r="L25" i="45"/>
  <c r="M31" i="45"/>
  <c r="N27" i="45"/>
  <c r="E30" i="45"/>
  <c r="F26" i="45"/>
  <c r="J25" i="45"/>
  <c r="F30" i="45"/>
  <c r="J37" i="45"/>
  <c r="I36" i="45"/>
  <c r="G16" i="17"/>
  <c r="I15" i="17"/>
  <c r="E36" i="45"/>
  <c r="F15" i="17"/>
  <c r="E16" i="17"/>
  <c r="G28" i="45"/>
  <c r="N35" i="45"/>
  <c r="L31" i="45"/>
  <c r="M33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F25" i="38"/>
  <c r="H19" i="38"/>
  <c r="C20" i="38"/>
  <c r="G13" i="38"/>
  <c r="D19" i="38"/>
  <c r="E25" i="38"/>
  <c r="F14" i="38"/>
  <c r="F19" i="38"/>
  <c r="D24" i="38"/>
  <c r="D20" i="38"/>
  <c r="F15" i="38"/>
  <c r="G22" i="38"/>
  <c r="C13" i="38"/>
  <c r="H21" i="38"/>
  <c r="C16" i="38"/>
  <c r="C25" i="38"/>
  <c r="G20" i="38"/>
  <c r="H22" i="38"/>
  <c r="F20" i="38"/>
  <c r="G16" i="38"/>
  <c r="H23" i="38"/>
  <c r="C22" i="38"/>
  <c r="E15" i="38"/>
  <c r="G24" i="38"/>
  <c r="F24" i="38"/>
  <c r="G19" i="38"/>
  <c r="C23" i="38"/>
  <c r="D22" i="38"/>
  <c r="F17" i="38"/>
  <c r="E18" i="38"/>
  <c r="E16" i="38"/>
  <c r="D15" i="38"/>
  <c r="N13" i="38"/>
  <c r="G25" i="38"/>
  <c r="F22" i="38"/>
  <c r="E17" i="38"/>
  <c r="F16" i="38"/>
  <c r="C14" i="38"/>
  <c r="G21" i="38"/>
  <c r="D25" i="38"/>
  <c r="H15" i="38"/>
  <c r="H13" i="38"/>
  <c r="C21" i="38"/>
  <c r="D23" i="38"/>
  <c r="D14" i="38"/>
  <c r="F13" i="38"/>
  <c r="D17" i="38"/>
  <c r="E21" i="38"/>
  <c r="G17" i="38"/>
  <c r="F23" i="38"/>
  <c r="G23" i="38"/>
  <c r="H20" i="38"/>
  <c r="F18" i="38"/>
  <c r="C24" i="38"/>
  <c r="E14" i="38"/>
  <c r="E22" i="38"/>
  <c r="H18" i="38"/>
  <c r="E20" i="38"/>
  <c r="G14" i="38"/>
  <c r="E13" i="38"/>
  <c r="F21" i="38"/>
  <c r="E19" i="38"/>
  <c r="H14" i="38"/>
  <c r="H25" i="38"/>
  <c r="D16" i="38"/>
  <c r="D21" i="38"/>
  <c r="H24" i="38"/>
  <c r="E24" i="38"/>
  <c r="H17" i="38"/>
  <c r="D13" i="38"/>
  <c r="C15" i="38"/>
  <c r="C17" i="38"/>
  <c r="G15" i="38"/>
  <c r="D18" i="38"/>
  <c r="C18" i="38"/>
  <c r="E23" i="38"/>
  <c r="C19" i="38"/>
  <c r="H16" i="38"/>
  <c r="G18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C18" i="39"/>
  <c r="F26" i="39"/>
  <c r="F18" i="39"/>
  <c r="H18" i="39"/>
  <c r="H26" i="39"/>
  <c r="E18" i="37"/>
  <c r="G18" i="39"/>
  <c r="G18" i="37"/>
  <c r="E18" i="39"/>
  <c r="G26" i="39"/>
  <c r="D18" i="39"/>
  <c r="E26" i="39"/>
  <c r="C18" i="37"/>
  <c r="F18" i="37"/>
  <c r="H18" i="37"/>
  <c r="C26" i="39"/>
  <c r="D18" i="37"/>
  <c r="D26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C17" i="39"/>
  <c r="G17" i="39"/>
  <c r="F17" i="39"/>
  <c r="C26" i="37"/>
  <c r="H17" i="37"/>
  <c r="G17" i="37"/>
  <c r="F26" i="37"/>
  <c r="G26" i="37"/>
  <c r="D26" i="37"/>
  <c r="H26" i="37"/>
  <c r="E17" i="39"/>
  <c r="D17" i="39"/>
  <c r="E26" i="37"/>
  <c r="H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D34" i="39"/>
  <c r="C34" i="39"/>
  <c r="D17" i="37"/>
  <c r="G34" i="39"/>
  <c r="F17" i="37"/>
  <c r="H34" i="39"/>
  <c r="F34" i="39"/>
  <c r="E17" i="37"/>
  <c r="E34" i="39"/>
  <c r="C17" i="37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21" i="2"/>
  <c r="B30" i="2"/>
  <c r="B17" i="2"/>
  <c r="B47" i="2"/>
  <c r="B33" i="2"/>
  <c r="B54" i="2"/>
  <c r="B57" i="2"/>
  <c r="B13" i="2"/>
  <c r="B18" i="2"/>
  <c r="B50" i="2"/>
  <c r="B60" i="2"/>
  <c r="B36" i="2"/>
  <c r="B58" i="2"/>
  <c r="B11" i="2"/>
  <c r="B9" i="2"/>
  <c r="B10" i="2"/>
  <c r="B59" i="2"/>
  <c r="B16" i="2"/>
  <c r="B43" i="2"/>
  <c r="B41" i="2"/>
  <c r="B42" i="2"/>
  <c r="B23" i="2"/>
  <c r="B55" i="2"/>
  <c r="B32" i="2"/>
  <c r="B71" i="2"/>
  <c r="B53" i="2"/>
  <c r="B34" i="2"/>
  <c r="B19" i="2"/>
  <c r="B66" i="2"/>
  <c r="B29" i="2"/>
  <c r="B26" i="2"/>
  <c r="B31" i="2"/>
  <c r="B12" i="2"/>
  <c r="B20" i="2"/>
  <c r="B25" i="2"/>
  <c r="B44" i="2"/>
  <c r="B61" i="2"/>
  <c r="B8" i="2"/>
  <c r="B64" i="2"/>
  <c r="B70" i="2"/>
  <c r="B65" i="2"/>
  <c r="B67" i="2"/>
  <c r="B45" i="2"/>
  <c r="B28" i="2"/>
  <c r="B27" i="2"/>
  <c r="B48" i="2"/>
  <c r="B68" i="2"/>
  <c r="B49" i="2"/>
  <c r="B51" i="2"/>
  <c r="B62" i="2"/>
  <c r="B15" i="2"/>
  <c r="B35" i="2"/>
  <c r="B24" i="2"/>
  <c r="B46" i="2"/>
  <c r="B52" i="2"/>
  <c r="B72" i="2"/>
  <c r="B7" i="2"/>
  <c r="B69" i="2"/>
  <c r="B56" i="2"/>
  <c r="B6" i="2"/>
  <c r="B14" i="2"/>
  <c r="B63" i="2"/>
  <c r="B22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E27" authorId="0" shapeId="0" xr:uid="{45FC7BE9-3A09-4412-842B-6929EC84A17D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27" authorId="0" shapeId="0" xr:uid="{EF6A848B-259C-455A-B781-A4C037D3D85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27" authorId="0" shapeId="0" xr:uid="{6A5ADD85-A8F6-44E3-87F0-0C15CE6F248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27" authorId="0" shapeId="0" xr:uid="{EA4C793D-DD6B-4101-8F79-85F01357099F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27" authorId="0" shapeId="0" xr:uid="{CF3CD597-E0B1-4D58-BA40-149300AC30A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27" authorId="0" shapeId="0" xr:uid="{74E73BCA-E2A9-4BED-B287-DB3D455C9A54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28" authorId="0" shapeId="0" xr:uid="{0773CD04-5B89-4FA0-A5D6-9BACD3A9D186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28" authorId="0" shapeId="0" xr:uid="{5BD1AE0F-8F3B-484B-B35B-194F01FA50E8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28" authorId="0" shapeId="0" xr:uid="{AC6559AC-716D-4BBD-B9F4-44A0BC49228F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28" authorId="0" shapeId="0" xr:uid="{30C759F6-EF9F-4386-A8D3-085D8C7CD3F4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28" authorId="0" shapeId="0" xr:uid="{A1D41DEF-003D-4B0E-B4B9-376E0D22F1A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28" authorId="0" shapeId="0" xr:uid="{C97869C4-1ABA-4F01-BAB4-2D8711B2B5F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36" authorId="0" shapeId="0" xr:uid="{73559081-007D-48FD-BBEB-5B9D8B1BDDC4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36" authorId="0" shapeId="0" xr:uid="{C7AEBF11-4BAE-4139-A291-DF987F452D2A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36" authorId="0" shapeId="0" xr:uid="{73BA847F-B4E0-4E06-B8B0-62FDD56D1B89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36" authorId="0" shapeId="0" xr:uid="{19054085-8BD3-4587-9FEF-5C9AA4A006D4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36" authorId="0" shapeId="0" xr:uid="{6FF211A2-5431-4A87-875F-2664F6436BC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36" authorId="0" shapeId="0" xr:uid="{A25007CD-6CA2-4A81-9DB0-8CA945A7A75F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37" authorId="0" shapeId="0" xr:uid="{DEB08FBF-C5EC-46B1-8BE5-66829FD3577A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37" authorId="0" shapeId="0" xr:uid="{B88026FF-4F8E-49E8-AA45-5A69935E1806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37" authorId="0" shapeId="0" xr:uid="{C34F21EE-0B68-4D46-B14A-6C85E0FEA28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37" authorId="0" shapeId="0" xr:uid="{6301B3EB-E8BD-4EBB-932D-2630ECD1805F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37" authorId="0" shapeId="0" xr:uid="{63602FB3-9786-45CA-9473-47A73766B935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37" authorId="0" shapeId="0" xr:uid="{0004E265-8CA5-4C16-9D8E-F7229B035DD3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45" authorId="0" shapeId="0" xr:uid="{8D35741D-99F6-4245-8888-82F2D5460B49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45" authorId="0" shapeId="0" xr:uid="{5BA7B615-E09E-4749-A977-EDFDE00095DA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45" authorId="0" shapeId="0" xr:uid="{E927059D-4A81-401B-8001-30611EA58D82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45" authorId="0" shapeId="0" xr:uid="{E191724C-EF98-4CEA-AE49-0AA94B3B1F85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45" authorId="0" shapeId="0" xr:uid="{FEFD31FE-982D-447F-B3A2-35215D041030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45" authorId="0" shapeId="0" xr:uid="{24161E1E-33DE-43F9-9A96-48380B1B5296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46" authorId="0" shapeId="0" xr:uid="{B884C16C-FA84-4BED-B2B5-3A186FAAE068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46" authorId="0" shapeId="0" xr:uid="{E2244069-DE9B-4041-ABF9-6B7ADC285FCE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46" authorId="0" shapeId="0" xr:uid="{4B4C7C14-E474-4AC8-818E-9CAC222463E4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46" authorId="0" shapeId="0" xr:uid="{DA1E97B2-272A-402B-B090-65673C9F558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46" authorId="0" shapeId="0" xr:uid="{E56EC0CC-5841-4689-9A8B-B7F247DCDBAD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46" authorId="0" shapeId="0" xr:uid="{E4E55B98-1361-4927-A2A9-A23EA9F0D20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54" authorId="0" shapeId="0" xr:uid="{00573194-84A2-482D-B512-F48CA04009D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54" authorId="0" shapeId="0" xr:uid="{D64D4904-347F-4709-B061-44A66DCB81AB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54" authorId="0" shapeId="0" xr:uid="{BB0B330A-B98C-43C9-BACB-7B30F8F5F3B7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54" authorId="0" shapeId="0" xr:uid="{00D57939-CECD-4DD7-9DE9-B48795DA322C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54" authorId="0" shapeId="0" xr:uid="{A6D8DBD9-77D0-40BD-8A9C-010535257F57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54" authorId="0" shapeId="0" xr:uid="{FBF3E103-0DF5-49A1-A84F-14302787505D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55" authorId="0" shapeId="0" xr:uid="{E0F09F62-FFF5-4FAD-B372-AE279608C8C5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55" authorId="0" shapeId="0" xr:uid="{2B55461A-C11F-4F09-A0ED-CC7E76CC528E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55" authorId="0" shapeId="0" xr:uid="{5217F43D-DAF9-4BD6-AC50-02468B0FA7F3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55" authorId="0" shapeId="0" xr:uid="{8E9BDB90-BD4A-4C38-8665-22E3D32E1B4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55" authorId="0" shapeId="0" xr:uid="{32147B72-7ED9-4E5F-A466-F0C790A6992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55" authorId="0" shapeId="0" xr:uid="{DAD5CDC4-94FE-4803-933E-93878D15C11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63" authorId="0" shapeId="0" xr:uid="{893BC918-5C8B-48B8-BCBA-D1E63ECBC540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63" authorId="0" shapeId="0" xr:uid="{651D3336-636C-4E76-95C9-87C79CCCB61E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63" authorId="0" shapeId="0" xr:uid="{F2A2C707-EF73-4259-A622-8C6F15319A82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63" authorId="0" shapeId="0" xr:uid="{66A68312-C884-42E0-BAF8-509D4CCA7CB5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63" authorId="0" shapeId="0" xr:uid="{07C04DF4-A38B-431D-AD5E-6BD21A544B5F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63" authorId="0" shapeId="0" xr:uid="{96A1D915-F487-4DE2-9A4B-A82E0939732B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64" authorId="0" shapeId="0" xr:uid="{1660B06C-F19C-460B-9B2C-C57A648FC6D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64" authorId="0" shapeId="0" xr:uid="{110AA21A-58D2-4DC7-90B1-B78DFEB6E334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64" authorId="0" shapeId="0" xr:uid="{141D459C-9453-4DE4-9B53-105C0716806B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64" authorId="0" shapeId="0" xr:uid="{95837D61-E7C5-4520-BDC4-29B61694B184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64" authorId="0" shapeId="0" xr:uid="{AF0E6264-D8BB-4996-99F4-7E366699D81A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64" authorId="0" shapeId="0" xr:uid="{03529A52-B2A0-42A7-8813-F001E49EB79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72" authorId="0" shapeId="0" xr:uid="{16E97D7C-530D-4E2B-9665-E3EC908E2CE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72" authorId="0" shapeId="0" xr:uid="{4B95D86C-D90E-4B1A-AFA5-DF3F9D840D0F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72" authorId="0" shapeId="0" xr:uid="{D187244B-BCD0-4CCF-92D4-A1664B45AAD2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72" authorId="0" shapeId="0" xr:uid="{587F0BC9-21F7-46CA-A3B3-062251480769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72" authorId="0" shapeId="0" xr:uid="{A2BBBFCA-E389-4F45-8231-2E3D9DE5269E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72" authorId="0" shapeId="0" xr:uid="{321B4A70-EAE1-45D7-AD42-38660902BDC9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73" authorId="0" shapeId="0" xr:uid="{4A6DCDBA-9B17-45DD-B3A0-1D1183A3131A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73" authorId="0" shapeId="0" xr:uid="{FB00C74B-B9D2-4540-80D7-717E46D1E942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73" authorId="0" shapeId="0" xr:uid="{382A9FA0-1023-4899-84EC-E0C71772A9A8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73" authorId="0" shapeId="0" xr:uid="{FE5BD9C9-E993-4197-A054-8316C5013208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73" authorId="0" shapeId="0" xr:uid="{260A91F4-5766-4430-AD50-B254AC109E3F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73" authorId="0" shapeId="0" xr:uid="{3A9E90BE-985A-4701-BA1D-D2D7FD555DC9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E81" authorId="0" shapeId="0" xr:uid="{132B15D6-0B3D-4DB1-8444-8C16CC44AA6E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F81" authorId="0" shapeId="0" xr:uid="{22B77C13-2FD7-40DB-A086-6FD3E299F9BD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G81" authorId="0" shapeId="0" xr:uid="{3E13658D-B6F7-4A06-B2F9-04E53AFF04B8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H81" authorId="0" shapeId="0" xr:uid="{812C9B47-D95E-4554-B312-75B4B0138947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I81" authorId="0" shapeId="0" xr:uid="{4E981AA5-5493-4707-8356-4EEC8B864F8E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J81" authorId="0" shapeId="0" xr:uid="{52E06329-A4CC-47D4-9F2C-AD233AC438FD}">
      <text>
        <r>
          <rPr>
            <sz val="9"/>
            <color indexed="81"/>
            <rFont val="Segoe UI"/>
            <family val="2"/>
          </rPr>
          <t xml:space="preserve">1. Số tờ cuốn = số trang x số cuốn /2
</t>
        </r>
      </text>
    </comment>
    <comment ref="E82" authorId="0" shapeId="0" xr:uid="{7C544FD9-5FC5-484A-B30E-D1253041A1D6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F82" authorId="0" shapeId="0" xr:uid="{C0B773B3-D0F6-42B1-9BBC-8E6E8F1E4644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G82" authorId="0" shapeId="0" xr:uid="{C356B45D-9815-4420-95F5-630D3CB9D65D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H82" authorId="0" shapeId="0" xr:uid="{20A53D78-02F0-417B-8DC2-85105D100AAE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I82" authorId="0" shapeId="0" xr:uid="{0B707F30-CC0D-402B-A9AF-E98C9A128586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  <comment ref="J82" authorId="0" shapeId="0" xr:uid="{73A3974E-4904-4B8B-838B-D7835425D37D}">
      <text>
        <r>
          <rPr>
            <sz val="9"/>
            <color indexed="81"/>
            <rFont val="Segoe UI"/>
            <family val="2"/>
          </rPr>
          <t xml:space="preserve">
2. Số tờ chạy = số tờ / số tờ trên tờ chạy
</t>
        </r>
      </text>
    </comment>
  </commentList>
</comments>
</file>

<file path=xl/sharedStrings.xml><?xml version="1.0" encoding="utf-8"?>
<sst xmlns="http://schemas.openxmlformats.org/spreadsheetml/2006/main" count="1626" uniqueCount="418">
  <si>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</si>
  <si>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</si>
  <si>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</si>
  <si>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</si>
  <si>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</si>
  <si>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</si>
  <si>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</si>
  <si>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</si>
  <si>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</si>
  <si>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</si>
  <si>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</si>
  <si>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</si>
  <si>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</si>
  <si>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</si>
  <si>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</si>
  <si>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</si>
  <si>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</si>
  <si>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</si>
  <si>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</si>
  <si>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</si>
  <si>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</si>
  <si>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</si>
  <si>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</si>
  <si>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</si>
  <si>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</si>
  <si>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</si>
  <si>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</si>
  <si>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</si>
  <si>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</si>
  <si>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</si>
  <si>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</si>
  <si>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</si>
  <si>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</si>
  <si>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</si>
  <si>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</si>
  <si>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</si>
  <si>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</si>
  <si>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</si>
  <si>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</si>
  <si>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</si>
  <si>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</si>
  <si>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</si>
  <si>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</si>
  <si>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</si>
  <si>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</si>
  <si>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</si>
  <si>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</si>
  <si>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</si>
  <si>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</si>
  <si>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</si>
  <si>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</si>
  <si>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</si>
  <si>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</si>
  <si>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</si>
  <si>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</si>
  <si>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</si>
  <si>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</si>
  <si>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</si>
  <si>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</si>
  <si>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</si>
  <si>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</si>
  <si>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</si>
  <si>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</si>
  <si>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</si>
  <si>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</si>
  <si>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</si>
  <si>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</si>
  <si>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</si>
  <si>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</si>
  <si>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</si>
  <si>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</si>
  <si>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</si>
  <si>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</si>
  <si>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</si>
  <si>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</si>
  <si>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</si>
  <si>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</si>
  <si>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</si>
  <si>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</si>
  <si>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</si>
  <si>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</si>
  <si>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</si>
  <si>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</si>
  <si>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</si>
  <si>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</si>
  <si>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</si>
  <si>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</si>
  <si>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</si>
  <si>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</si>
  <si>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</si>
  <si>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</si>
  <si>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</si>
  <si>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</si>
  <si>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</si>
  <si>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</si>
  <si>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</si>
  <si>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</si>
  <si>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</si>
  <si>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</si>
  <si>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</si>
  <si>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</si>
  <si>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</si>
  <si>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</si>
  <si>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</si>
  <si>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</si>
  <si>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</si>
  <si>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</si>
  <si>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</si>
  <si>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</si>
  <si>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</si>
  <si>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</si>
  <si>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</si>
  <si>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</si>
  <si>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</si>
  <si>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</si>
  <si>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</si>
  <si>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</si>
  <si>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</si>
  <si>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</si>
  <si>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</si>
  <si>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</si>
  <si>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</si>
  <si>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</si>
  <si>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</si>
  <si>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</si>
  <si>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</si>
  <si>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</si>
  <si>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</si>
  <si>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</si>
  <si>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</si>
  <si>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</si>
  <si>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</si>
  <si>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</si>
  <si>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</si>
  <si>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</si>
  <si>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</si>
  <si>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</si>
  <si>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</si>
  <si>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</si>
  <si>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</si>
  <si>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</si>
  <si>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</si>
  <si>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</si>
  <si>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</si>
  <si>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</si>
  <si>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</si>
  <si>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</si>
  <si>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</si>
  <si>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</si>
  <si>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</si>
  <si>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</si>
  <si>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</si>
  <si>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</si>
  <si>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</si>
  <si>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</si>
  <si>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</si>
  <si>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</si>
  <si>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</si>
  <si>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</si>
  <si>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</si>
  <si>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</si>
  <si>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</si>
  <si>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</si>
  <si>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</si>
  <si>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</si>
  <si>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</si>
  <si>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</si>
  <si>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</si>
  <si>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</si>
  <si>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</si>
  <si>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</si>
  <si>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</si>
  <si>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</si>
  <si>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</si>
  <si>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</si>
  <si>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</si>
  <si>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</si>
  <si>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</si>
  <si>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</si>
  <si>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</si>
  <si>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</si>
  <si>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</si>
  <si>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</si>
  <si>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</si>
  <si>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</si>
  <si>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</si>
  <si>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</si>
  <si>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</si>
  <si>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</si>
  <si>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</si>
  <si>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</si>
  <si>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</si>
  <si>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</si>
  <si>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</si>
  <si>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</si>
  <si>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</si>
  <si>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</si>
  <si>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</si>
  <si>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</si>
  <si>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</si>
  <si>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</si>
  <si>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</si>
  <si>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</si>
  <si>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</si>
  <si>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</si>
  <si>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</si>
  <si>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</si>
  <si>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</si>
  <si>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</si>
  <si>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</si>
  <si>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</si>
  <si>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</si>
  <si>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</si>
  <si>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</si>
  <si>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</si>
  <si>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</si>
  <si>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</si>
  <si>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</si>
  <si>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</si>
  <si>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</si>
  <si>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</si>
  <si>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</si>
  <si>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</si>
  <si>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</si>
  <si>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</si>
  <si>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</si>
  <si>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</si>
  <si>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</si>
  <si>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</si>
  <si>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</si>
  <si>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</si>
  <si>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</si>
  <si>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</si>
  <si>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</si>
  <si>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</si>
  <si>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</si>
  <si>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</si>
  <si>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</si>
  <si>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</si>
  <si>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</si>
  <si>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</si>
  <si>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</si>
  <si>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</si>
  <si>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</si>
  <si>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</si>
  <si>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</si>
  <si>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</si>
  <si>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</si>
  <si>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</si>
  <si>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</si>
  <si>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</si>
  <si>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</si>
  <si>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</si>
  <si>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</si>
  <si>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</si>
  <si>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</si>
  <si>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</si>
  <si>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</si>
  <si>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</si>
  <si>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</si>
  <si>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</si>
  <si>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</si>
  <si>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</si>
  <si>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</si>
  <si>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</si>
  <si>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</si>
  <si>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</si>
  <si>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</si>
  <si>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</si>
  <si>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</si>
  <si>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</si>
  <si>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</si>
  <si>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</si>
  <si>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</si>
  <si>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</si>
  <si>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</si>
  <si>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</si>
  <si>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</si>
  <si>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</si>
  <si>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</si>
  <si>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</si>
  <si>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</si>
  <si>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</si>
  <si>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</si>
  <si>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</si>
  <si>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</si>
  <si>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</si>
  <si>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</si>
  <si>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</si>
  <si>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</si>
  <si>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</si>
  <si>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</si>
  <si>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</si>
  <si>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</si>
  <si>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</si>
  <si>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</si>
  <si>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</si>
  <si>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</si>
  <si>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</si>
  <si>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</si>
  <si>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</si>
  <si>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</si>
  <si>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</si>
  <si>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</si>
  <si>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</si>
  <si>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</si>
  <si>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</si>
  <si>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</si>
  <si>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</si>
  <si>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</si>
  <si>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</si>
  <si>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</si>
  <si>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</si>
  <si>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</si>
  <si>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</si>
  <si>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</si>
  <si>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</si>
  <si>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</si>
  <si>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</si>
  <si>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</si>
  <si>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</si>
  <si>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</si>
  <si>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</si>
  <si>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</si>
  <si>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</si>
  <si>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</si>
  <si>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</si>
  <si>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</si>
  <si>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</si>
  <si>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</si>
  <si>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</si>
  <si>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</si>
  <si>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</si>
  <si>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</si>
  <si>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</si>
  <si>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</si>
  <si>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</si>
  <si>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</si>
  <si>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</si>
  <si>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</si>
  <si>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</si>
  <si>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</si>
  <si>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</si>
  <si>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</si>
  <si>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</si>
  <si>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</si>
  <si>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</si>
  <si>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</si>
  <si>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</si>
  <si>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</si>
  <si>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</si>
  <si>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</si>
  <si>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</si>
  <si>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</si>
  <si>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</si>
  <si>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</si>
  <si>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</si>
  <si>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</si>
  <si>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</si>
  <si>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</si>
  <si>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</si>
  <si>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</si>
  <si>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</si>
  <si>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</si>
  <si>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</si>
  <si>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</si>
  <si>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</si>
  <si>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</si>
  <si>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</si>
  <si>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</si>
  <si>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</si>
  <si>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</si>
  <si>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</si>
  <si>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</si>
  <si>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 xml:space="preserve">Tiền làm ruột Slit, công thức (soCuon As Integer, soTo As Integer, gayCao As Double) </t>
  </si>
  <si>
    <t>Yêu cầu: menu bắt vit Zen Vbind</t>
  </si>
  <si>
    <t>Cán màng</t>
  </si>
  <si>
    <t>Zen Vbind</t>
  </si>
  <si>
    <t>Tiền AccBind</t>
  </si>
  <si>
    <t>Phần bìa cứng của htoe nhu cầu</t>
  </si>
  <si>
    <t>A4</t>
  </si>
  <si>
    <t>Làm tay</t>
  </si>
  <si>
    <t>Tổng tiền in +  giấy gói bìa</t>
  </si>
  <si>
    <t>Tổng phí làm ruột</t>
  </si>
  <si>
    <t>Tổng bán theo lãi</t>
  </si>
  <si>
    <t>Tổng phí làm bìa</t>
  </si>
  <si>
    <t>Phí vô bìa</t>
  </si>
  <si>
    <t>Tiền đóng cuốn bìa cứng bắt vít lãi</t>
  </si>
  <si>
    <t>Tổng giá bán</t>
  </si>
  <si>
    <t>Giá TB/cuốn</t>
  </si>
  <si>
    <t>Tiền kỹ thuật in</t>
  </si>
  <si>
    <t>Phí KTI làm ruột</t>
  </si>
  <si>
    <t>Tiền bìa + đóng cuốn bán theo lãi</t>
  </si>
  <si>
    <t>GIÁ tb BÌA/CUỐN</t>
  </si>
  <si>
    <t>Thời gian KTI</t>
  </si>
  <si>
    <t>Phí KTI</t>
  </si>
  <si>
    <t>Phí  giấy</t>
  </si>
  <si>
    <t>Phí cán màng</t>
  </si>
  <si>
    <t>Phí cắt AccuSlit</t>
  </si>
  <si>
    <t>Phí sắp cuốn (chưa tính)</t>
  </si>
  <si>
    <t>Tổng bán không màng</t>
  </si>
  <si>
    <t>Tổng bán cán màng</t>
  </si>
  <si>
    <t>Phí in bìa 1M</t>
  </si>
  <si>
    <t>Phí giấy</t>
  </si>
  <si>
    <t>Phí caán màng</t>
  </si>
  <si>
    <t>Phí bồi carton (gồm Carton)</t>
  </si>
  <si>
    <t>Trang/cuốn</t>
  </si>
  <si>
    <t>là 50% vì 5% hao hụt, 5% sales, 5% marketing, 5% giảm giá</t>
  </si>
  <si>
    <t>Tiền in 2M</t>
  </si>
  <si>
    <t>Bắn vít</t>
  </si>
  <si>
    <t>In</t>
  </si>
  <si>
    <t>mặt</t>
  </si>
  <si>
    <t>Couche 250/300gsm</t>
  </si>
  <si>
    <t>Số tờ ruột</t>
  </si>
  <si>
    <t>Tổng phí in bìa</t>
  </si>
  <si>
    <t>Tổng phí in bìa + vô bìa</t>
  </si>
  <si>
    <t>Phí vô bìa bắt vít</t>
  </si>
  <si>
    <t>(là 50% margin)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</si>
</sst>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9"/>
      <color indexed="81"/>
      <name val="Segoe UI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8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  <xf numFmtId="0" fontId="12" fillId="0" borderId="0" xfId="0" applyFont="1"/>
    <xf numFmtId="0" fontId="9" fillId="4" borderId="5" xfId="5" applyAlignment="1">
      <alignment wrapText="1"/>
    </xf>
    <xf numFmtId="0" fontId="14" fillId="0" borderId="0" xfId="0" applyFont="1"/>
    <xf numFmtId="164" fontId="15" fillId="0" borderId="0" xfId="0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12</xdr:row>
      <xdr:rowOff>114300</xdr:rowOff>
    </xdr:from>
    <xdr:to>
      <xdr:col>17</xdr:col>
      <xdr:colOff>514349</xdr:colOff>
      <xdr:row>38</xdr:row>
      <xdr:rowOff>19050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18FCA34-943C-466B-AA6F-6559E4D941CC}"/>
            </a:ext>
          </a:extLst>
        </xdr:cNvPr>
        <xdr:cNvSpPr txBox="1"/>
      </xdr:nvSpPr>
      <xdr:spPr>
        <a:xfrm>
          <a:off x="12601574" y="2400300"/>
          <a:ext cx="3286125" cy="4667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- 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r>
            <a:rPr lang="en-US" sz="1100" baseline="0">
              <a:solidFill>
                <a:srgbClr val="0070C0"/>
              </a:solidFill>
            </a:rPr>
            <a:t>- PhiMay_AccSlit(soToChay As Long, gayCao As Double)</a:t>
          </a:r>
        </a:p>
      </xdr:txBody>
    </xdr:sp>
    <xdr:clientData/>
  </xdr:twoCellAnchor>
  <xdr:twoCellAnchor>
    <xdr:from>
      <xdr:col>7</xdr:col>
      <xdr:colOff>676275</xdr:colOff>
      <xdr:row>12</xdr:row>
      <xdr:rowOff>85725</xdr:rowOff>
    </xdr:from>
    <xdr:to>
      <xdr:col>12</xdr:col>
      <xdr:colOff>114300</xdr:colOff>
      <xdr:row>21</xdr:row>
      <xdr:rowOff>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441E5D69-EE2A-4AAC-AD3B-815623DE2620}"/>
            </a:ext>
          </a:extLst>
        </xdr:cNvPr>
        <xdr:cNvSpPr txBox="1"/>
      </xdr:nvSpPr>
      <xdr:spPr>
        <a:xfrm>
          <a:off x="8658225" y="237172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Quy</a:t>
          </a:r>
          <a:r>
            <a:rPr lang="en-US" sz="1100" baseline="0"/>
            <a:t> Trình làm ruột: Làm ruột, làm bìa, khoan, vô bìa.</a:t>
          </a:r>
        </a:p>
        <a:p>
          <a:r>
            <a:rPr lang="en-US" sz="1100" baseline="0"/>
            <a:t>1). Làm  ruột:</a:t>
          </a:r>
        </a:p>
        <a:p>
          <a:r>
            <a:rPr lang="en-US" sz="1100" baseline="0"/>
            <a:t>  - KTI, In, CM, Đột, Sắp cuốn.</a:t>
          </a:r>
        </a:p>
        <a:p>
          <a:r>
            <a:rPr lang="en-US" sz="1100" baseline="0"/>
            <a:t>    </a:t>
          </a:r>
        </a:p>
        <a:p>
          <a:r>
            <a:rPr lang="en-US" sz="1100" baseline="0"/>
            <a:t>Binding: làm bìa cứng</a:t>
          </a:r>
          <a:br>
            <a:rPr lang="en-US" sz="1100" baseline="0"/>
          </a:br>
          <a:r>
            <a:rPr lang="en-US" sz="1100" baseline="0"/>
            <a:t>1). Kỹ thuật: đặt 15p</a:t>
          </a:r>
        </a:p>
        <a:p>
          <a:r>
            <a:rPr lang="en-US" sz="1100" baseline="0">
              <a:effectLst/>
            </a:rPr>
            <a:t>2). In</a:t>
          </a:r>
        </a:p>
        <a:p>
          <a:r>
            <a:rPr lang="en-US" sz="1100" baseline="0">
              <a:effectLst/>
            </a:rPr>
            <a:t>3). Cán màng: đặt 15p</a:t>
          </a:r>
        </a:p>
        <a:p>
          <a:r>
            <a:rPr lang="en-US" sz="1100" baseline="0">
              <a:effectLst/>
            </a:rPr>
            <a:t>4). Đột: 15P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447674</xdr:colOff>
      <xdr:row>0</xdr:row>
      <xdr:rowOff>95251</xdr:rowOff>
    </xdr:from>
    <xdr:to>
      <xdr:col>5</xdr:col>
      <xdr:colOff>333374</xdr:colOff>
      <xdr:row>7</xdr:row>
      <xdr:rowOff>57151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68A2DD0-B413-4276-9374-82CAC8B16EF5}"/>
            </a:ext>
          </a:extLst>
        </xdr:cNvPr>
        <xdr:cNvSpPr txBox="1"/>
      </xdr:nvSpPr>
      <xdr:spPr>
        <a:xfrm>
          <a:off x="3019424" y="95251"/>
          <a:ext cx="3286125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vi-VN" sz="1100">
              <a:solidFill>
                <a:srgbClr val="0070C0"/>
              </a:solidFill>
            </a:rPr>
            <a:t>24 cuốn giấy c300 cán mờ ( in test 1 cuốn + in 23 cuốn )Menu đã có thiết kế trên khổ A4 tổng cộng 14 trang kích thước sau khi FA để in : trang bìa và trang lót: 4 trang - 26.4 cm x 33.1 cm10 trang ruột 24.31cm  x 30.52cm</a:t>
          </a:r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48438.75</v>
      </c>
      <c r="D5" s="4">
        <v>0.75</v>
      </c>
      <c r="E5" s="7">
        <f>B5*(1+D5)</f>
        <v>84767.8125</v>
      </c>
      <c r="F5" s="7">
        <f>E5-B5</f>
        <v>36329.0625</v>
      </c>
      <c r="G5" s="4">
        <f>F5/E5</f>
        <v>0.42857142857142855</v>
      </c>
      <c r="I5" s="20">
        <f>E5/A5</f>
        <v>84767.8125</v>
      </c>
      <c r="J5" s="7">
        <f>$E5/$A5*2</f>
        <v>169535.625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82187.5</v>
      </c>
      <c r="D6" s="4">
        <v>0.75</v>
      </c>
      <c r="E6" s="7">
        <f t="shared" ref="E6:E36" si="1">B6*(1+D6)</f>
        <v>143828.125</v>
      </c>
      <c r="F6" s="7">
        <f t="shared" ref="F6:F36" si="2">E6-B6</f>
        <v>61640.625</v>
      </c>
      <c r="G6" s="4">
        <f t="shared" ref="G6:G36" si="3">F6/E6</f>
        <v>0.42857142857142855</v>
      </c>
      <c r="I6" s="20">
        <f t="shared" ref="I6:I36" si="4">E6/A6</f>
        <v>2876.5625</v>
      </c>
      <c r="J6" s="7">
        <f t="shared" ref="J6:J36" si="5">$E6/$A6*2</f>
        <v>5753.125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116625</v>
      </c>
      <c r="D7" s="4">
        <v>0.75</v>
      </c>
      <c r="E7" s="7">
        <f t="shared" si="1"/>
        <v>204093.75</v>
      </c>
      <c r="F7" s="7">
        <f t="shared" si="2"/>
        <v>87468.75</v>
      </c>
      <c r="G7" s="4">
        <f t="shared" si="3"/>
        <v>0.42857142857142855</v>
      </c>
      <c r="I7" s="20">
        <f t="shared" si="4"/>
        <v>2040.9375</v>
      </c>
      <c r="J7" s="7">
        <f t="shared" si="5"/>
        <v>4081.875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151062.5</v>
      </c>
      <c r="D8" s="4">
        <v>0.75</v>
      </c>
      <c r="E8" s="7">
        <f t="shared" si="1"/>
        <v>264359.375</v>
      </c>
      <c r="F8" s="7">
        <f t="shared" si="2"/>
        <v>113296.875</v>
      </c>
      <c r="G8" s="4">
        <f t="shared" si="3"/>
        <v>0.42857142857142855</v>
      </c>
      <c r="I8" s="20">
        <f t="shared" si="4"/>
        <v>1762.3958333333333</v>
      </c>
      <c r="J8" s="7">
        <f t="shared" si="5"/>
        <v>3524.7916666666665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185500</v>
      </c>
      <c r="D9" s="4">
        <v>0.75</v>
      </c>
      <c r="E9" s="7">
        <f t="shared" si="1"/>
        <v>324625</v>
      </c>
      <c r="F9" s="7">
        <f t="shared" si="2"/>
        <v>139125</v>
      </c>
      <c r="G9" s="4">
        <f t="shared" si="3"/>
        <v>0.42857142857142855</v>
      </c>
      <c r="I9" s="20">
        <f t="shared" si="4"/>
        <v>1623.125</v>
      </c>
      <c r="J9" s="7">
        <f t="shared" si="5"/>
        <v>3246.25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219937.5</v>
      </c>
      <c r="D10" s="4">
        <v>0.75</v>
      </c>
      <c r="E10" s="7">
        <f t="shared" si="1"/>
        <v>384890.625</v>
      </c>
      <c r="F10" s="7">
        <f t="shared" si="2"/>
        <v>164953.125</v>
      </c>
      <c r="G10" s="4">
        <f t="shared" si="3"/>
        <v>0.42857142857142855</v>
      </c>
      <c r="I10" s="20">
        <f t="shared" si="4"/>
        <v>1539.5625</v>
      </c>
      <c r="J10" s="7">
        <f t="shared" si="5"/>
        <v>3079.125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254375</v>
      </c>
      <c r="D11" s="4">
        <v>0.75</v>
      </c>
      <c r="E11" s="7">
        <f t="shared" si="1"/>
        <v>445156.25</v>
      </c>
      <c r="F11" s="7">
        <f t="shared" si="2"/>
        <v>190781.25</v>
      </c>
      <c r="G11" s="4">
        <f t="shared" si="3"/>
        <v>0.42857142857142855</v>
      </c>
      <c r="I11" s="20">
        <f t="shared" si="4"/>
        <v>1483.8541666666667</v>
      </c>
      <c r="J11" s="7">
        <f t="shared" si="5"/>
        <v>2967.7083333333335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288812.5</v>
      </c>
      <c r="D12" s="4">
        <v>0.75</v>
      </c>
      <c r="E12" s="7">
        <f t="shared" si="1"/>
        <v>505421.875</v>
      </c>
      <c r="F12" s="7">
        <f t="shared" si="2"/>
        <v>216609.375</v>
      </c>
      <c r="G12" s="4">
        <f t="shared" si="3"/>
        <v>0.42857142857142855</v>
      </c>
      <c r="I12" s="20">
        <f t="shared" si="4"/>
        <v>1444.0625</v>
      </c>
      <c r="J12" s="7">
        <f t="shared" si="5"/>
        <v>2888.125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323250</v>
      </c>
      <c r="D13" s="4">
        <v>0.75</v>
      </c>
      <c r="E13" s="7">
        <f t="shared" si="1"/>
        <v>565687.5</v>
      </c>
      <c r="F13" s="7">
        <f t="shared" si="2"/>
        <v>242437.5</v>
      </c>
      <c r="G13" s="4">
        <f t="shared" si="3"/>
        <v>0.42857142857142855</v>
      </c>
      <c r="I13" s="20">
        <f t="shared" si="4"/>
        <v>1414.21875</v>
      </c>
      <c r="J13" s="7">
        <f t="shared" si="5"/>
        <v>2828.4375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357687.5</v>
      </c>
      <c r="D14" s="4">
        <v>0.75</v>
      </c>
      <c r="E14" s="7">
        <f t="shared" si="1"/>
        <v>625953.125</v>
      </c>
      <c r="F14" s="7">
        <f t="shared" si="2"/>
        <v>268265.625</v>
      </c>
      <c r="G14" s="4">
        <f t="shared" si="3"/>
        <v>0.42857142857142855</v>
      </c>
      <c r="I14" s="20">
        <f t="shared" si="4"/>
        <v>1391.0069444444443</v>
      </c>
      <c r="J14" s="7">
        <f t="shared" si="5"/>
        <v>2782.0138888888887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392125</v>
      </c>
      <c r="D15" s="4">
        <v>0.75</v>
      </c>
      <c r="E15" s="7">
        <f t="shared" si="1"/>
        <v>686218.75</v>
      </c>
      <c r="F15" s="7">
        <f t="shared" si="2"/>
        <v>294093.75</v>
      </c>
      <c r="G15" s="4">
        <f t="shared" si="3"/>
        <v>0.42857142857142855</v>
      </c>
      <c r="I15" s="20">
        <f t="shared" si="4"/>
        <v>1372.4375</v>
      </c>
      <c r="J15" s="7">
        <f t="shared" si="5"/>
        <v>2744.875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461000</v>
      </c>
      <c r="D16" s="4">
        <v>0.75</v>
      </c>
      <c r="E16" s="7">
        <f t="shared" si="1"/>
        <v>806750</v>
      </c>
      <c r="F16" s="7">
        <f t="shared" si="2"/>
        <v>345750</v>
      </c>
      <c r="G16" s="4">
        <f t="shared" si="3"/>
        <v>0.42857142857142855</v>
      </c>
      <c r="I16" s="20">
        <f>E16/A16</f>
        <v>1344.5833333333333</v>
      </c>
      <c r="J16" s="7">
        <f t="shared" si="5"/>
        <v>2689.1666666666665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529875</v>
      </c>
      <c r="D17" s="4">
        <v>0.75</v>
      </c>
      <c r="E17" s="7">
        <f t="shared" si="1"/>
        <v>927281.25</v>
      </c>
      <c r="F17" s="7">
        <f t="shared" si="2"/>
        <v>397406.25</v>
      </c>
      <c r="G17" s="4">
        <f t="shared" si="3"/>
        <v>0.42857142857142855</v>
      </c>
      <c r="I17" s="7">
        <f t="shared" si="4"/>
        <v>1324.6875</v>
      </c>
      <c r="J17" s="7">
        <f t="shared" si="5"/>
        <v>2649.375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598750</v>
      </c>
      <c r="D18" s="4">
        <v>0.75</v>
      </c>
      <c r="E18" s="7">
        <f t="shared" si="1"/>
        <v>1047812.5</v>
      </c>
      <c r="F18" s="7">
        <f t="shared" si="2"/>
        <v>449062.5</v>
      </c>
      <c r="G18" s="4">
        <f t="shared" si="3"/>
        <v>0.42857142857142855</v>
      </c>
      <c r="I18" s="7">
        <f t="shared" si="4"/>
        <v>1309.765625</v>
      </c>
      <c r="J18" s="7">
        <f t="shared" si="5"/>
        <v>2619.53125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667625</v>
      </c>
      <c r="D19" s="4">
        <v>0.75</v>
      </c>
      <c r="E19" s="7">
        <f t="shared" si="1"/>
        <v>1168343.75</v>
      </c>
      <c r="F19" s="7">
        <f t="shared" si="2"/>
        <v>500718.75</v>
      </c>
      <c r="G19" s="4">
        <f t="shared" si="3"/>
        <v>0.42857142857142855</v>
      </c>
      <c r="I19" s="7">
        <f t="shared" si="4"/>
        <v>1298.1597222222222</v>
      </c>
      <c r="J19" s="7">
        <f t="shared" si="5"/>
        <v>2596.3194444444443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736500</v>
      </c>
      <c r="D20" s="4">
        <v>0.75</v>
      </c>
      <c r="E20" s="7">
        <f t="shared" si="1"/>
        <v>1288875</v>
      </c>
      <c r="F20" s="7">
        <f t="shared" si="2"/>
        <v>552375</v>
      </c>
      <c r="G20" s="4">
        <f t="shared" si="3"/>
        <v>0.42857142857142855</v>
      </c>
      <c r="I20" s="7">
        <f t="shared" si="4"/>
        <v>1288.875</v>
      </c>
      <c r="J20" s="7">
        <f t="shared" si="5"/>
        <v>2577.75</v>
      </c>
      <c r="K20" s="21"/>
    </row>
    <row r="21" spans="1:32" x14ac:dyDescent="0.25">
      <c r="A21">
        <v>1200</v>
      </c>
      <c r="B21" s="6">
        <f t="shared" si="0"/>
        <v>874250</v>
      </c>
      <c r="D21" s="4">
        <v>0.75</v>
      </c>
      <c r="E21" s="7">
        <f t="shared" si="1"/>
        <v>1529937.5</v>
      </c>
      <c r="F21" s="7">
        <f t="shared" si="2"/>
        <v>655687.5</v>
      </c>
      <c r="G21" s="4">
        <f t="shared" si="3"/>
        <v>0.42857142857142855</v>
      </c>
      <c r="I21" s="7">
        <f t="shared" si="4"/>
        <v>1274.9479166666667</v>
      </c>
      <c r="J21" s="7">
        <f t="shared" si="5"/>
        <v>2549.8958333333335</v>
      </c>
      <c r="K21" s="21"/>
    </row>
    <row r="22" spans="1:32" ht="16.5" x14ac:dyDescent="0.25">
      <c r="A22">
        <v>1400</v>
      </c>
      <c r="B22" s="6">
        <f t="shared" si="0"/>
        <v>1012000</v>
      </c>
      <c r="D22" s="4">
        <v>0.75</v>
      </c>
      <c r="E22" s="7">
        <f t="shared" si="1"/>
        <v>1771000</v>
      </c>
      <c r="F22" s="7">
        <f t="shared" si="2"/>
        <v>759000</v>
      </c>
      <c r="G22" s="4">
        <f t="shared" si="3"/>
        <v>0.42857142857142855</v>
      </c>
      <c r="I22" s="7">
        <f t="shared" si="4"/>
        <v>1265</v>
      </c>
      <c r="J22" s="7">
        <f t="shared" si="5"/>
        <v>2530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1080875</v>
      </c>
      <c r="D23" s="4">
        <v>0.4</v>
      </c>
      <c r="E23" s="7">
        <f t="shared" si="1"/>
        <v>1513225</v>
      </c>
      <c r="F23" s="7">
        <f t="shared" si="2"/>
        <v>432350</v>
      </c>
      <c r="G23" s="4">
        <f t="shared" si="3"/>
        <v>0.2857142857142857</v>
      </c>
      <c r="I23" s="7">
        <f t="shared" si="4"/>
        <v>1008.8166666666667</v>
      </c>
      <c r="J23" s="7">
        <f t="shared" si="5"/>
        <v>2017.6333333333334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1425250</v>
      </c>
      <c r="D24" s="4">
        <v>0.4</v>
      </c>
      <c r="E24" s="7">
        <f t="shared" si="1"/>
        <v>1995349.9999999998</v>
      </c>
      <c r="F24" s="7">
        <f t="shared" si="2"/>
        <v>570099.99999999977</v>
      </c>
      <c r="G24" s="4">
        <f t="shared" si="3"/>
        <v>0.28571428571428564</v>
      </c>
      <c r="I24" s="7">
        <f t="shared" si="4"/>
        <v>997.67499999999984</v>
      </c>
      <c r="J24" s="7">
        <f t="shared" si="5"/>
        <v>1995.3499999999997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1769625</v>
      </c>
      <c r="D25" s="4">
        <v>0.4</v>
      </c>
      <c r="E25" s="7">
        <f t="shared" si="1"/>
        <v>2477475</v>
      </c>
      <c r="F25" s="7">
        <f t="shared" si="2"/>
        <v>707850</v>
      </c>
      <c r="G25" s="4">
        <f t="shared" si="3"/>
        <v>0.2857142857142857</v>
      </c>
      <c r="I25" s="7">
        <f t="shared" si="4"/>
        <v>990.99</v>
      </c>
      <c r="J25" s="7">
        <f t="shared" si="5"/>
        <v>1981.98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2114000</v>
      </c>
      <c r="D26" s="4">
        <v>0.4</v>
      </c>
      <c r="E26" s="7">
        <f t="shared" si="1"/>
        <v>2959600</v>
      </c>
      <c r="F26" s="7">
        <f t="shared" si="2"/>
        <v>845600</v>
      </c>
      <c r="G26" s="4">
        <f t="shared" si="3"/>
        <v>0.2857142857142857</v>
      </c>
      <c r="I26" s="7">
        <f t="shared" si="4"/>
        <v>986.5333333333333</v>
      </c>
      <c r="J26" s="7">
        <f t="shared" si="5"/>
        <v>1973.0666666666666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2458375</v>
      </c>
      <c r="D27" s="4">
        <v>0.4</v>
      </c>
      <c r="E27" s="7">
        <f t="shared" si="1"/>
        <v>3441725</v>
      </c>
      <c r="F27" s="7">
        <f t="shared" si="2"/>
        <v>983350</v>
      </c>
      <c r="G27" s="4">
        <f t="shared" si="3"/>
        <v>0.2857142857142857</v>
      </c>
      <c r="I27" s="7">
        <f t="shared" si="4"/>
        <v>983.35</v>
      </c>
      <c r="J27" s="7">
        <f t="shared" si="5"/>
        <v>1966.7</v>
      </c>
      <c r="AA27" s="15"/>
    </row>
    <row r="28" spans="1:32" ht="17.25" thickBot="1" x14ac:dyDescent="0.3">
      <c r="A28">
        <v>4000</v>
      </c>
      <c r="B28" s="6">
        <f t="shared" si="0"/>
        <v>2802750</v>
      </c>
      <c r="D28" s="4">
        <v>0.4</v>
      </c>
      <c r="E28" s="7">
        <f t="shared" si="1"/>
        <v>3923849.9999999995</v>
      </c>
      <c r="F28" s="7">
        <f t="shared" si="2"/>
        <v>1121099.9999999995</v>
      </c>
      <c r="G28" s="4">
        <f t="shared" si="3"/>
        <v>0.28571428571428564</v>
      </c>
      <c r="I28" s="7">
        <f t="shared" si="4"/>
        <v>980.96249999999986</v>
      </c>
      <c r="J28" s="7">
        <f t="shared" si="5"/>
        <v>1961.9249999999997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3491500</v>
      </c>
      <c r="D29" s="4">
        <v>0.4</v>
      </c>
      <c r="E29" s="7">
        <f t="shared" si="1"/>
        <v>4888100</v>
      </c>
      <c r="F29" s="7">
        <f t="shared" si="2"/>
        <v>1396600</v>
      </c>
      <c r="G29" s="4">
        <f t="shared" si="3"/>
        <v>0.2857142857142857</v>
      </c>
      <c r="I29" s="7">
        <f t="shared" si="4"/>
        <v>977.62</v>
      </c>
      <c r="J29" s="7">
        <f t="shared" si="5"/>
        <v>1955.24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4180250</v>
      </c>
      <c r="D30" s="4">
        <v>0.4</v>
      </c>
      <c r="E30" s="7">
        <f t="shared" si="1"/>
        <v>5852350</v>
      </c>
      <c r="F30" s="7">
        <f t="shared" si="2"/>
        <v>1672100</v>
      </c>
      <c r="G30" s="4">
        <f t="shared" si="3"/>
        <v>0.2857142857142857</v>
      </c>
      <c r="I30" s="7">
        <f t="shared" si="4"/>
        <v>975.39166666666665</v>
      </c>
      <c r="J30" s="7">
        <f t="shared" si="5"/>
        <v>1950.7833333333333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4869000</v>
      </c>
      <c r="D31" s="4">
        <v>0.4</v>
      </c>
      <c r="E31" s="7">
        <f t="shared" si="1"/>
        <v>6816600</v>
      </c>
      <c r="F31" s="7">
        <f t="shared" si="2"/>
        <v>1947600</v>
      </c>
      <c r="G31" s="4">
        <f t="shared" si="3"/>
        <v>0.2857142857142857</v>
      </c>
      <c r="I31" s="7">
        <f t="shared" si="4"/>
        <v>973.8</v>
      </c>
      <c r="J31" s="7">
        <f t="shared" si="5"/>
        <v>1947.6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5557750</v>
      </c>
      <c r="D32" s="4">
        <v>0.4</v>
      </c>
      <c r="E32" s="7">
        <f t="shared" si="1"/>
        <v>7780849.9999999991</v>
      </c>
      <c r="F32" s="7">
        <f t="shared" si="2"/>
        <v>2223099.9999999991</v>
      </c>
      <c r="G32" s="4">
        <f t="shared" si="3"/>
        <v>0.28571428571428564</v>
      </c>
      <c r="I32" s="7">
        <f t="shared" si="4"/>
        <v>972.60624999999993</v>
      </c>
      <c r="J32" s="7">
        <f t="shared" si="5"/>
        <v>1945.2124999999999</v>
      </c>
      <c r="AA32" s="14" t="s">
        <v>41</v>
      </c>
    </row>
    <row r="33" spans="1:10" x14ac:dyDescent="0.25">
      <c r="A33">
        <v>9000</v>
      </c>
      <c r="B33" s="6">
        <f t="shared" si="0"/>
        <v>6246500</v>
      </c>
      <c r="D33" s="4">
        <v>0.4</v>
      </c>
      <c r="E33" s="7">
        <f t="shared" si="1"/>
        <v>8745100</v>
      </c>
      <c r="F33" s="7">
        <f t="shared" si="2"/>
        <v>2498600</v>
      </c>
      <c r="G33" s="4">
        <f t="shared" si="3"/>
        <v>0.2857142857142857</v>
      </c>
      <c r="I33" s="7">
        <f t="shared" si="4"/>
        <v>971.67777777777781</v>
      </c>
      <c r="J33" s="7">
        <f t="shared" si="5"/>
        <v>1943.3555555555556</v>
      </c>
    </row>
    <row r="34" spans="1:10" x14ac:dyDescent="0.25">
      <c r="A34">
        <v>10000</v>
      </c>
      <c r="B34" s="6">
        <f t="shared" si="0"/>
        <v>6935250</v>
      </c>
      <c r="D34" s="4">
        <v>0.4</v>
      </c>
      <c r="E34" s="7">
        <f t="shared" si="1"/>
        <v>9709350</v>
      </c>
      <c r="F34" s="7">
        <f t="shared" si="2"/>
        <v>2774100</v>
      </c>
      <c r="G34" s="4">
        <f t="shared" si="3"/>
        <v>0.2857142857142857</v>
      </c>
      <c r="I34" s="7">
        <f t="shared" si="4"/>
        <v>970.93499999999995</v>
      </c>
      <c r="J34" s="7">
        <f t="shared" si="5"/>
        <v>1941.87</v>
      </c>
    </row>
    <row r="35" spans="1:10" x14ac:dyDescent="0.25">
      <c r="A35">
        <v>15000</v>
      </c>
      <c r="B35" s="6">
        <f t="shared" si="0"/>
        <v>10379000</v>
      </c>
      <c r="D35" s="4">
        <v>0.4</v>
      </c>
      <c r="E35" s="7">
        <f t="shared" si="1"/>
        <v>14530600</v>
      </c>
      <c r="F35" s="7">
        <f t="shared" si="2"/>
        <v>4151600</v>
      </c>
      <c r="G35" s="4">
        <f t="shared" si="3"/>
        <v>0.2857142857142857</v>
      </c>
      <c r="I35" s="7">
        <f t="shared" si="4"/>
        <v>968.70666666666671</v>
      </c>
      <c r="J35" s="7">
        <f t="shared" si="5"/>
        <v>1937.4133333333334</v>
      </c>
    </row>
    <row r="36" spans="1:10" x14ac:dyDescent="0.25">
      <c r="A36">
        <v>20000</v>
      </c>
      <c r="B36" s="6">
        <f t="shared" si="0"/>
        <v>13822750</v>
      </c>
      <c r="D36" s="4">
        <v>0.4</v>
      </c>
      <c r="E36" s="7">
        <f t="shared" si="1"/>
        <v>19351850</v>
      </c>
      <c r="F36" s="7">
        <f t="shared" si="2"/>
        <v>5529100</v>
      </c>
      <c r="G36" s="4">
        <f t="shared" si="3"/>
        <v>0.2857142857142857</v>
      </c>
      <c r="I36" s="7">
        <f t="shared" si="4"/>
        <v>967.59249999999997</v>
      </c>
      <c r="J36" s="7">
        <f t="shared" si="5"/>
        <v>1935.1849999999999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30914.705900000001</v>
      </c>
      <c r="D18" s="32">
        <f t="shared" si="3"/>
        <v>31846.470600000001</v>
      </c>
      <c r="E18" s="32">
        <f t="shared" si="3"/>
        <v>34874.705900000001</v>
      </c>
      <c r="F18" s="32">
        <f t="shared" si="3"/>
        <v>39766.470600000001</v>
      </c>
      <c r="G18" s="32">
        <f t="shared" si="3"/>
        <v>44891.176500000001</v>
      </c>
      <c r="H18" s="32">
        <f t="shared" si="3"/>
        <v>49782.941200000001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188666.11032500002</v>
      </c>
      <c r="D23" s="25">
        <f t="shared" si="7"/>
        <v>236662.94855</v>
      </c>
      <c r="E23" s="25">
        <f t="shared" si="7"/>
        <v>381061.11032500002</v>
      </c>
      <c r="F23" s="25">
        <f t="shared" si="7"/>
        <v>621452.94854999997</v>
      </c>
      <c r="G23" s="25">
        <f t="shared" si="7"/>
        <v>862252.43387499999</v>
      </c>
      <c r="H23" s="25">
        <f t="shared" si="7"/>
        <v>1102644.2720999999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78333.333299999998</v>
      </c>
      <c r="D26" s="7">
        <f t="shared" si="9"/>
        <v>94166.666700000002</v>
      </c>
      <c r="E26" s="7">
        <f t="shared" si="9"/>
        <v>141666.6667</v>
      </c>
      <c r="F26" s="7">
        <f t="shared" si="9"/>
        <v>220833.3333</v>
      </c>
      <c r="G26" s="7">
        <f t="shared" si="9"/>
        <v>300000</v>
      </c>
      <c r="H26" s="7">
        <f t="shared" si="9"/>
        <v>379166.6667</v>
      </c>
    </row>
    <row r="27" spans="1:8" x14ac:dyDescent="0.25">
      <c r="A27" s="2" t="s">
        <v>259</v>
      </c>
      <c r="C27" s="25">
        <f t="shared" ref="C27:H27" si="10">C$26*(1+$D$7)</f>
        <v>137083.33327499998</v>
      </c>
      <c r="D27" s="25">
        <f t="shared" si="10"/>
        <v>164791.66672500002</v>
      </c>
      <c r="E27" s="25">
        <f t="shared" si="10"/>
        <v>247916.66672500002</v>
      </c>
      <c r="F27" s="25">
        <f t="shared" si="10"/>
        <v>386458.33327499998</v>
      </c>
      <c r="G27" s="25">
        <f t="shared" si="10"/>
        <v>525000</v>
      </c>
      <c r="H27" s="25">
        <f t="shared" si="10"/>
        <v>663541.66672500002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325749.4436</v>
      </c>
      <c r="D29" s="7">
        <f t="shared" si="11"/>
        <v>401454.61527499999</v>
      </c>
      <c r="E29" s="7">
        <f t="shared" si="11"/>
        <v>628977.77705000003</v>
      </c>
      <c r="F29" s="7">
        <f t="shared" si="11"/>
        <v>1007911.281825</v>
      </c>
      <c r="G29" s="7">
        <f t="shared" si="11"/>
        <v>1387252.4338750001</v>
      </c>
      <c r="H29" s="7">
        <f t="shared" si="11"/>
        <v>1766185.9388250001</v>
      </c>
    </row>
    <row r="30" spans="1:8" x14ac:dyDescent="0.25">
      <c r="A30" s="2" t="s">
        <v>271</v>
      </c>
      <c r="C30" s="7">
        <f t="shared" ref="C30:H30" si="12">C$24+C$27</f>
        <v>166797.08327499998</v>
      </c>
      <c r="D30" s="7">
        <f t="shared" si="12"/>
        <v>221517.91672500002</v>
      </c>
      <c r="E30" s="7">
        <f t="shared" si="12"/>
        <v>385680.41672500002</v>
      </c>
      <c r="F30" s="7">
        <f t="shared" si="12"/>
        <v>659284.58327499998</v>
      </c>
      <c r="G30" s="7">
        <f t="shared" si="12"/>
        <v>932888.75</v>
      </c>
      <c r="H30" s="7">
        <f t="shared" si="12"/>
        <v>1206492.9167249999</v>
      </c>
    </row>
    <row r="33" spans="1:8" x14ac:dyDescent="0.25">
      <c r="A33" s="2" t="s">
        <v>265</v>
      </c>
      <c r="C33" s="7">
        <f t="shared" ref="C33:H33" si="13">C$30-MOD(C$30,1000)</f>
        <v>166000</v>
      </c>
      <c r="D33" s="7">
        <f t="shared" si="13"/>
        <v>221000</v>
      </c>
      <c r="E33" s="7">
        <f t="shared" si="13"/>
        <v>385000</v>
      </c>
      <c r="F33" s="7">
        <f t="shared" si="13"/>
        <v>659000</v>
      </c>
      <c r="G33" s="7">
        <f t="shared" si="13"/>
        <v>932000</v>
      </c>
      <c r="H33" s="7">
        <f t="shared" si="13"/>
        <v>1206000</v>
      </c>
    </row>
    <row r="34" spans="1:8" ht="30" x14ac:dyDescent="0.25">
      <c r="A34" s="2" t="s">
        <v>272</v>
      </c>
      <c r="C34" s="7">
        <f t="shared" ref="C34:H34" si="14">C$29-MOD(C$29,1000)</f>
        <v>325000</v>
      </c>
      <c r="D34" s="7">
        <f t="shared" si="14"/>
        <v>401000</v>
      </c>
      <c r="E34" s="7">
        <f t="shared" si="14"/>
        <v>628000</v>
      </c>
      <c r="F34" s="7">
        <f t="shared" si="14"/>
        <v>1007000</v>
      </c>
      <c r="G34" s="7">
        <f t="shared" si="14"/>
        <v>1387000</v>
      </c>
      <c r="H34" s="7">
        <f t="shared" si="14"/>
        <v>1766000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30914.705900000001</v>
      </c>
      <c r="D18" s="32">
        <f t="shared" si="3"/>
        <v>32079.411800000002</v>
      </c>
      <c r="E18" s="32">
        <f t="shared" si="3"/>
        <v>35340.588199999998</v>
      </c>
      <c r="F18" s="32">
        <f t="shared" si="3"/>
        <v>40698.2353</v>
      </c>
      <c r="G18" s="32">
        <f t="shared" si="3"/>
        <v>46288.823499999999</v>
      </c>
      <c r="H18" s="32">
        <f t="shared" si="3"/>
        <v>51646.470600000001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130407.375</v>
      </c>
      <c r="D23" s="25">
        <f t="shared" si="7"/>
        <v>172993.625</v>
      </c>
      <c r="E23" s="25">
        <f t="shared" si="7"/>
        <v>300752.375</v>
      </c>
      <c r="F23" s="25">
        <f t="shared" si="7"/>
        <v>513683.625</v>
      </c>
      <c r="G23" s="25">
        <f t="shared" si="7"/>
        <v>726614.875</v>
      </c>
      <c r="H23" s="25">
        <f t="shared" si="7"/>
        <v>939546.125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112500</v>
      </c>
      <c r="D26" s="7">
        <f t="shared" si="8"/>
        <v>125000</v>
      </c>
      <c r="E26" s="7">
        <f t="shared" si="8"/>
        <v>162500</v>
      </c>
      <c r="F26" s="7">
        <f t="shared" si="8"/>
        <v>225000</v>
      </c>
      <c r="G26" s="7">
        <f t="shared" si="8"/>
        <v>287500</v>
      </c>
      <c r="H26" s="7">
        <f t="shared" si="8"/>
        <v>350000</v>
      </c>
    </row>
    <row r="27" spans="1:8" x14ac:dyDescent="0.25">
      <c r="A27" s="2" t="s">
        <v>275</v>
      </c>
      <c r="C27" s="25">
        <f t="shared" ref="C27:H27" si="9">C$26*(1+$D$7)</f>
        <v>196875</v>
      </c>
      <c r="D27" s="25">
        <f t="shared" si="9"/>
        <v>218750</v>
      </c>
      <c r="E27" s="25">
        <f t="shared" si="9"/>
        <v>284375</v>
      </c>
      <c r="F27" s="25">
        <f t="shared" si="9"/>
        <v>393750</v>
      </c>
      <c r="G27" s="25">
        <f t="shared" si="9"/>
        <v>503125</v>
      </c>
      <c r="H27" s="25">
        <f t="shared" si="9"/>
        <v>612500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327282.375</v>
      </c>
      <c r="D29" s="7">
        <f t="shared" si="10"/>
        <v>391743.625</v>
      </c>
      <c r="E29" s="7">
        <f t="shared" si="10"/>
        <v>585127.375</v>
      </c>
      <c r="F29" s="7">
        <f t="shared" si="10"/>
        <v>907433.625</v>
      </c>
      <c r="G29" s="7">
        <f t="shared" si="10"/>
        <v>1229739.875</v>
      </c>
      <c r="H29" s="7">
        <f t="shared" si="10"/>
        <v>1552046.125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327000</v>
      </c>
      <c r="D34" s="7">
        <f t="shared" ref="D34:H34" si="11">LamChanHangNgan(D$29)</f>
        <v>391000</v>
      </c>
      <c r="E34" s="7">
        <f t="shared" si="11"/>
        <v>585000</v>
      </c>
      <c r="F34" s="7">
        <f t="shared" si="11"/>
        <v>907000</v>
      </c>
      <c r="G34" s="7">
        <f t="shared" si="11"/>
        <v>1229000</v>
      </c>
      <c r="H34" s="7">
        <f t="shared" si="11"/>
        <v>1552000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34175.882400000002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259000</v>
      </c>
      <c r="F24" s="7">
        <f>LamChanHangNgan((PhiInKM4M_BHR70($A24*F$23/$D$16*$E$16)+$A24*F$23/$D$16*$D$19)*(1+$D$17))</f>
        <v>352000</v>
      </c>
      <c r="G24" s="7">
        <f>LamChanHangNgan((PhiInKM4M_BHR70($A24*G$23/$D$16*$E$16)+$A24*G$23/$D$16*$D$19)*(1+$D$17))</f>
        <v>445000</v>
      </c>
      <c r="H24" s="7">
        <f>LamChanHangNgan((PhiInKM4M_BHR70($A24*H$23/$D$16*$E$16)+$A24*H$23/$D$16*$D$19)*(1+$D$17))</f>
        <v>538000</v>
      </c>
      <c r="I24" s="7">
        <f>LamChanHangNgan((PhiInKM4M_BHR70($A24*I$23/$D$16*$E$16)+$A24*I$23/$D$16*$D$19)*(1+$D$17))</f>
        <v>630000</v>
      </c>
      <c r="J24" s="7">
        <f>E24</f>
        <v>259000</v>
      </c>
      <c r="K24" s="7">
        <f t="shared" ref="K24:N24" si="1">F24</f>
        <v>352000</v>
      </c>
      <c r="L24" s="7">
        <f t="shared" si="1"/>
        <v>445000</v>
      </c>
      <c r="M24" s="7">
        <f t="shared" si="1"/>
        <v>538000</v>
      </c>
      <c r="N24" s="7">
        <f t="shared" si="1"/>
        <v>630000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319000</v>
      </c>
      <c r="K25" s="40">
        <f>LamChanHangNgan((PhiInKM4M_BHR70($A25*F$23/$D$16*$E$16)+$A24*F$23/$D$16*$D$19+PhiMayCanMang($A25*F$23/$D$16*2, $C$15/100,$D$15/100))*(1+$D$17))</f>
        <v>420000</v>
      </c>
      <c r="L25" s="40">
        <f>LamChanHangNgan((PhiInKM4M_BHR70($A25*G$23/$D$16*$E$16)+$A24*G$23/$D$16*$D$19+PhiMayCanMang($A25*G$23/$D$16*2, $C$15/100,$D$15/100))*(1+$D$17))</f>
        <v>520000</v>
      </c>
      <c r="M25" s="40">
        <f>LamChanHangNgan((PhiInKM4M_BHR70($A25*H$23/$D$16*$E$16)+$A24*H$23/$D$16*$D$19+PhiMayCanMang($A25*H$23/$D$16*2, $C$15/100,$D$15/100))*(1+$D$17))</f>
        <v>620000</v>
      </c>
      <c r="N25" s="40">
        <f>LamChanHangNgan((PhiInKM4M_BHR70($A25*I$23/$D$16*$E$16)+$A24*I$23/$D$16*$D$19+PhiMayCanMang($A25*I$23/$D$16*2, $C$15/100,$D$15/100))*(1+$D$17))</f>
        <v>721000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275000</v>
      </c>
      <c r="F26" s="7">
        <f>LamChanHangNgan((PhiInKM4M_BHR70($A26*F$23/$D$16*$E$16)+$A26*F$23/$D$16*$D$19)*(1+$D$17))</f>
        <v>383000</v>
      </c>
      <c r="G26" s="7">
        <f>LamChanHangNgan((PhiInKM4M_BHR70($A26*G$23/$D$16*$E$16)+$A26*G$23/$D$16*$D$19)*(1+$D$17))</f>
        <v>491000</v>
      </c>
      <c r="H26" s="7">
        <f>LamChanHangNgan((PhiInKM4M_BHR70($A26*H$23/$D$16*$E$16)+$A26*H$23/$D$16*$D$19)*(1+$D$17))</f>
        <v>600000</v>
      </c>
      <c r="I26" s="7">
        <f>LamChanHangNgan((PhiInKM4M_BHR70($A26*I$23/$D$16*$E$16)+$A26*I$23/$D$16*$D$19)*(1+$D$17))</f>
        <v>707000</v>
      </c>
      <c r="J26" s="7">
        <f>E26</f>
        <v>275000</v>
      </c>
      <c r="K26" s="7">
        <f t="shared" ref="K26:N26" si="2">F26</f>
        <v>383000</v>
      </c>
      <c r="L26" s="7">
        <f t="shared" si="2"/>
        <v>491000</v>
      </c>
      <c r="M26" s="7">
        <f t="shared" si="2"/>
        <v>600000</v>
      </c>
      <c r="N26" s="7">
        <f t="shared" si="2"/>
        <v>707000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336000</v>
      </c>
      <c r="K27" s="40">
        <f>LamChanHangNgan((PhiInKM4M_BHR70($A27*F$23/$D$16*$E$16)+$A26*F$23/$D$16*$D$19+PhiMayCanMang($A27*F$23/$D$16*2, $C$15/100,$D$15/100))*(1+$D$17))</f>
        <v>453000</v>
      </c>
      <c r="L27" s="40">
        <f>LamChanHangNgan((PhiInKM4M_BHR70($A27*G$23/$D$16*$E$16)+$A26*G$23/$D$16*$D$19+PhiMayCanMang($A27*G$23/$D$16*2, $C$15/100,$D$15/100))*(1+$D$17))</f>
        <v>570000</v>
      </c>
      <c r="M27" s="40">
        <f>LamChanHangNgan((PhiInKM4M_BHR70($A27*H$23/$D$16*$E$16)+$A26*H$23/$D$16*$D$19+PhiMayCanMang($A27*H$23/$D$16*2, $C$15/100,$D$15/100))*(1+$D$17))</f>
        <v>688000</v>
      </c>
      <c r="N27" s="40">
        <f>LamChanHangNgan((PhiInKM4M_BHR70($A27*I$23/$D$16*$E$16)+$A26*I$23/$D$16*$D$19+PhiMayCanMang($A27*I$23/$D$16*2, $C$15/100,$D$15/100))*(1+$D$17))</f>
        <v>804000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290000</v>
      </c>
      <c r="F28" s="7">
        <f>LamChanHangNgan((PhiInKM4M_BHR70($A28*F$23/$D$16*$E$16)+$A28*F$23/$D$16*$D$19)*(1+$D$17))</f>
        <v>414000</v>
      </c>
      <c r="G28" s="7">
        <f>LamChanHangNgan((PhiInKM4M_BHR70($A28*G$23/$D$16*$E$16)+$A28*G$23/$D$16*$D$19)*(1+$D$17))</f>
        <v>538000</v>
      </c>
      <c r="H28" s="7">
        <f>LamChanHangNgan((PhiInKM4M_BHR70($A28*H$23/$D$16*$E$16)+$A28*H$23/$D$16*$D$19)*(1+$D$17))</f>
        <v>661000</v>
      </c>
      <c r="I28" s="7">
        <f>LamChanHangNgan((PhiInKM4M_BHR70($A28*I$23/$D$16*$E$16)+$A28*I$23/$D$16*$D$19)*(1+$D$17))</f>
        <v>785000</v>
      </c>
      <c r="J28" s="7">
        <f>E28</f>
        <v>290000</v>
      </c>
      <c r="K28" s="7">
        <f t="shared" ref="K28:N28" si="3">F28</f>
        <v>414000</v>
      </c>
      <c r="L28" s="7">
        <f t="shared" si="3"/>
        <v>538000</v>
      </c>
      <c r="M28" s="7">
        <f t="shared" si="3"/>
        <v>661000</v>
      </c>
      <c r="N28" s="7">
        <f t="shared" si="3"/>
        <v>785000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352000</v>
      </c>
      <c r="K29" s="40">
        <f>LamChanHangNgan((PhiInKM4M_BHR70($A29*F$23/$D$16*$E$16)+$A28*F$23/$D$16*$D$19+PhiMayCanMang($A29*F$23/$D$16*2, $C$15/100,$D$15/100))*(1+$D$17))</f>
        <v>487000</v>
      </c>
      <c r="L29" s="40">
        <f>LamChanHangNgan((PhiInKM4M_BHR70($A29*G$23/$D$16*$E$16)+$A28*G$23/$D$16*$D$19+PhiMayCanMang($A29*G$23/$D$16*2, $C$15/100,$D$15/100))*(1+$D$17))</f>
        <v>620000</v>
      </c>
      <c r="M29" s="40">
        <f>LamChanHangNgan((PhiInKM4M_BHR70($A29*H$23/$D$16*$E$16)+$A28*H$23/$D$16*$D$19+PhiMayCanMang($A29*H$23/$D$16*2, $C$15/100,$D$15/100))*(1+$D$17))</f>
        <v>754000</v>
      </c>
      <c r="N29" s="40">
        <f>LamChanHangNgan((PhiInKM4M_BHR70($A29*I$23/$D$16*$E$16)+$A28*I$23/$D$16*$D$19+PhiMayCanMang($A29*I$23/$D$16*2, $C$15/100,$D$15/100))*(1+$D$17))</f>
        <v>888000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306000</v>
      </c>
      <c r="F30" s="7">
        <f>LamChanHangNgan((PhiInKM4M_BHR70($A30*F$23/$D$16*$E$16)+$A30*F$23/$D$16*$D$19)*(1+$D$17))</f>
        <v>445000</v>
      </c>
      <c r="G30" s="7">
        <f>LamChanHangNgan((PhiInKM4M_BHR70($A30*G$23/$D$16*$E$16)+$A30*G$23/$D$16*$D$19)*(1+$D$17))</f>
        <v>584000</v>
      </c>
      <c r="H30" s="7">
        <f>LamChanHangNgan((PhiInKM4M_BHR70($A30*H$23/$D$16*$E$16)+$A30*H$23/$D$16*$D$19)*(1+$D$17))</f>
        <v>723000</v>
      </c>
      <c r="I30" s="7">
        <f>LamChanHangNgan((PhiInKM4M_BHR70($A30*I$23/$D$16*$E$16)+$A30*I$23/$D$16*$D$19)*(1+$D$17))</f>
        <v>862000</v>
      </c>
      <c r="J30" s="7">
        <f>E30</f>
        <v>306000</v>
      </c>
      <c r="K30" s="7">
        <f t="shared" ref="K30:N30" si="4">F30</f>
        <v>445000</v>
      </c>
      <c r="L30" s="7">
        <f t="shared" si="4"/>
        <v>584000</v>
      </c>
      <c r="M30" s="7">
        <f t="shared" si="4"/>
        <v>723000</v>
      </c>
      <c r="N30" s="7">
        <f t="shared" si="4"/>
        <v>862000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369000</v>
      </c>
      <c r="K31" s="40">
        <f>LamChanHangNgan((PhiInKM4M_BHR70($A31*F$23/$D$16*$E$16)+$A30*F$23/$D$16*$D$19+PhiMayCanMang($A31*F$23/$D$16*2, $C$15/100,$D$15/100))*(1+$D$17))</f>
        <v>520000</v>
      </c>
      <c r="L31" s="40">
        <f>LamChanHangNgan((PhiInKM4M_BHR70($A31*G$23/$D$16*$E$16)+$A30*G$23/$D$16*$D$19+PhiMayCanMang($A31*G$23/$D$16*2, $C$15/100,$D$15/100))*(1+$D$17))</f>
        <v>671000</v>
      </c>
      <c r="M31" s="40">
        <f>LamChanHangNgan((PhiInKM4M_BHR70($A31*H$23/$D$16*$E$16)+$A30*H$23/$D$16*$D$19+PhiMayCanMang($A31*H$23/$D$16*2, $C$15/100,$D$15/100))*(1+$D$17))</f>
        <v>821000</v>
      </c>
      <c r="N31" s="40">
        <f>LamChanHangNgan((PhiInKM4M_BHR70($A31*I$23/$D$16*$E$16)+$A30*I$23/$D$16*$D$19+PhiMayCanMang($A31*I$23/$D$16*2, $C$15/100,$D$15/100))*(1+$D$17))</f>
        <v>972000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322000</v>
      </c>
      <c r="F32" s="7">
        <f>LamChanHangNgan((PhiInKM4M_BHR70($A32*F$23/$D$16*$E$16)+$A32*F$23/$D$16*$D$19)*(1+$D$17))</f>
        <v>475000</v>
      </c>
      <c r="G32" s="7">
        <f>LamChanHangNgan((PhiInKM4M_BHR70($A32*G$23/$D$16*$E$16)+$A32*G$23/$D$16*$D$19)*(1+$D$17))</f>
        <v>630000</v>
      </c>
      <c r="H32" s="7">
        <f>LamChanHangNgan((PhiInKM4M_BHR70($A32*H$23/$D$16*$E$16)+$A32*H$23/$D$16*$D$19)*(1+$D$17))</f>
        <v>785000</v>
      </c>
      <c r="I32" s="7">
        <f>LamChanHangNgan((PhiInKM4M_BHR70($A32*I$23/$D$16*$E$16)+$A32*I$23/$D$16*$D$19)*(1+$D$17))</f>
        <v>939000</v>
      </c>
      <c r="J32" s="7">
        <f>E32</f>
        <v>322000</v>
      </c>
      <c r="K32" s="7">
        <f t="shared" ref="K32:N32" si="5">F32</f>
        <v>475000</v>
      </c>
      <c r="L32" s="7">
        <f t="shared" si="5"/>
        <v>630000</v>
      </c>
      <c r="M32" s="7">
        <f t="shared" si="5"/>
        <v>785000</v>
      </c>
      <c r="N32" s="7">
        <f t="shared" si="5"/>
        <v>939000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386000</v>
      </c>
      <c r="K33" s="40">
        <f>LamChanHangNgan((PhiInKM4M_BHR70($A33*F$23/$D$16*$E$16)+$A32*F$23/$D$16*$D$19+PhiMayCanMang($A33*F$23/$D$16*2, $C$15/100,$D$15/100))*(1+$D$17))</f>
        <v>553000</v>
      </c>
      <c r="L33" s="40">
        <f>LamChanHangNgan((PhiInKM4M_BHR70($A33*G$23/$D$16*$E$16)+$A32*G$23/$D$16*$D$19+PhiMayCanMang($A33*G$23/$D$16*2, $C$15/100,$D$15/100))*(1+$D$17))</f>
        <v>721000</v>
      </c>
      <c r="M33" s="40">
        <f>LamChanHangNgan((PhiInKM4M_BHR70($A33*H$23/$D$16*$E$16)+$A32*H$23/$D$16*$D$19+PhiMayCanMang($A33*H$23/$D$16*2, $C$15/100,$D$15/100))*(1+$D$17))</f>
        <v>888000</v>
      </c>
      <c r="N33" s="40">
        <f>LamChanHangNgan((PhiInKM4M_BHR70($A33*I$23/$D$16*$E$16)+$A32*I$23/$D$16*$D$19+PhiMayCanMang($A33*I$23/$D$16*2, $C$15/100,$D$15/100))*(1+$D$17))</f>
        <v>1055000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336000</v>
      </c>
      <c r="F34" s="7">
        <f>LamChanHangNgan((PhiInKM4M_BHR70($A34*F$23/$D$16*$E$16)+$A34*F$23/$D$16*$D$19)*(1+$D$17))</f>
        <v>507000</v>
      </c>
      <c r="G34" s="7">
        <f>LamChanHangNgan((PhiInKM4M_BHR70($A34*G$23/$D$16*$E$16)+$A34*G$23/$D$16*$D$19)*(1+$D$17))</f>
        <v>677000</v>
      </c>
      <c r="H34" s="7">
        <f>LamChanHangNgan((PhiInKM4M_BHR70($A34*H$23/$D$16*$E$16)+$A34*H$23/$D$16*$D$19)*(1+$D$17))</f>
        <v>846000</v>
      </c>
      <c r="I34" s="7">
        <f>LamChanHangNgan((PhiInKM4M_BHR70($A34*I$23/$D$16*$E$16)+$A34*I$23/$D$16*$D$19)*(1+$D$17))</f>
        <v>1017000</v>
      </c>
      <c r="J34" s="7">
        <f>E34</f>
        <v>336000</v>
      </c>
      <c r="K34" s="7">
        <f t="shared" ref="K34:N34" si="6">F34</f>
        <v>507000</v>
      </c>
      <c r="L34" s="7">
        <f t="shared" si="6"/>
        <v>677000</v>
      </c>
      <c r="M34" s="7">
        <f t="shared" si="6"/>
        <v>846000</v>
      </c>
      <c r="N34" s="7">
        <f t="shared" si="6"/>
        <v>1017000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402000</v>
      </c>
      <c r="K35" s="40">
        <f>LamChanHangNgan((PhiInKM4M_BHR70($A35*F$23/$D$16*$E$16)+$A34*F$23/$D$16*$D$19+PhiMayCanMang($A35*F$23/$D$16*2, $C$15/100,$D$15/100))*(1+$D$17))</f>
        <v>587000</v>
      </c>
      <c r="L35" s="40">
        <f>LamChanHangNgan((PhiInKM4M_BHR70($A35*G$23/$D$16*$E$16)+$A34*G$23/$D$16*$D$19+PhiMayCanMang($A35*G$23/$D$16*2, $C$15/100,$D$15/100))*(1+$D$17))</f>
        <v>771000</v>
      </c>
      <c r="M35" s="40">
        <f>LamChanHangNgan((PhiInKM4M_BHR70($A35*H$23/$D$16*$E$16)+$A34*H$23/$D$16*$D$19+PhiMayCanMang($A35*H$23/$D$16*2, $C$15/100,$D$15/100))*(1+$D$17))</f>
        <v>955000</v>
      </c>
      <c r="N35" s="40">
        <f>LamChanHangNgan((PhiInKM4M_BHR70($A35*I$23/$D$16*$E$16)+$A34*I$23/$D$16*$D$19+PhiMayCanMang($A35*I$23/$D$16*2, $C$15/100,$D$15/100))*(1+$D$17))</f>
        <v>1139000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352000</v>
      </c>
      <c r="F36" s="7">
        <f>LamChanHangNgan((PhiInKM4M_BHR70($A36*F$23/$D$16*$E$16)+$A36*F$23/$D$16*$D$19)*(1+$D$17))</f>
        <v>538000</v>
      </c>
      <c r="G36" s="7">
        <f>LamChanHangNgan((PhiInKM4M_BHR70($A36*G$23/$D$16*$E$16)+$A36*G$23/$D$16*$D$19)*(1+$D$17))</f>
        <v>723000</v>
      </c>
      <c r="H36" s="7">
        <f>LamChanHangNgan((PhiInKM4M_BHR70($A36*H$23/$D$16*$E$16)+$A36*H$23/$D$16*$D$19)*(1+$D$17))</f>
        <v>908000</v>
      </c>
      <c r="I36" s="7">
        <f>LamChanHangNgan((PhiInKM4M_BHR70($A36*I$23/$D$16*$E$16)+$A36*I$23/$D$16*$D$19)*(1+$D$17))</f>
        <v>1094000</v>
      </c>
      <c r="J36" s="7">
        <f>E36</f>
        <v>352000</v>
      </c>
      <c r="K36" s="7">
        <f t="shared" ref="K36:N36" si="7">F36</f>
        <v>538000</v>
      </c>
      <c r="L36" s="7">
        <f t="shared" si="7"/>
        <v>723000</v>
      </c>
      <c r="M36" s="7">
        <f t="shared" si="7"/>
        <v>908000</v>
      </c>
      <c r="N36" s="7">
        <f t="shared" si="7"/>
        <v>1094000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420000</v>
      </c>
      <c r="K37" s="40">
        <f>LamChanHangNgan((PhiInKM4M_BHR70($A37*F$23/$D$16*$E$16)+$A36*F$23/$D$16*$D$19+PhiMayCanMang($A37*F$23/$D$16*2, $C$15/100,$D$15/100))*(1+$D$17))</f>
        <v>620000</v>
      </c>
      <c r="L37" s="40">
        <f>LamChanHangNgan((PhiInKM4M_BHR70($A37*G$23/$D$16*$E$16)+$A36*G$23/$D$16*$D$19+PhiMayCanMang($A37*G$23/$D$16*2, $C$15/100,$D$15/100))*(1+$D$17))</f>
        <v>821000</v>
      </c>
      <c r="M37" s="40">
        <f>LamChanHangNgan((PhiInKM4M_BHR70($A37*H$23/$D$16*$E$16)+$A36*H$23/$D$16*$D$19+PhiMayCanMang($A37*H$23/$D$16*2, $C$15/100,$D$15/100))*(1+$D$17))</f>
        <v>1022000</v>
      </c>
      <c r="N37" s="40">
        <f>LamChanHangNgan((PhiInKM4M_BHR70($A37*I$23/$D$16*$E$16)+$A36*I$23/$D$16*$D$19+PhiMayCanMang($A37*I$23/$D$16*2, $C$15/100,$D$15/100))*(1+$D$17))</f>
        <v>1223000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36272.352899999998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306000</v>
      </c>
      <c r="F24" s="7">
        <f>LamChanHangNgan((PhiInKM4M_BHR70($A24*F$23/$D$16*$E$16)+$A24*F$23/$D$16*$D$19)*(1+$D$17))</f>
        <v>445000</v>
      </c>
      <c r="G24" s="7">
        <f>LamChanHangNgan((PhiInKM4M_BHR70($A24*G$23/$D$16*$E$16)+$A24*G$23/$D$16*$D$19)*(1+$D$17))</f>
        <v>584000</v>
      </c>
      <c r="H24" s="7">
        <f>LamChanHangNgan((PhiInKM4M_BHR70($A24*H$23/$D$16*$E$16)+$A24*H$23/$D$16*$D$19)*(1+$D$17))</f>
        <v>723000</v>
      </c>
      <c r="I24" s="7">
        <f>LamChanHangNgan((PhiInKM4M_BHR70($A24*I$23/$D$16*$E$16)+$A24*I$23/$D$16*$D$19)*(1+$D$17))</f>
        <v>862000</v>
      </c>
      <c r="J24" s="7">
        <f>E24</f>
        <v>306000</v>
      </c>
      <c r="K24" s="7">
        <f t="shared" ref="K24:N24" si="1">F24</f>
        <v>445000</v>
      </c>
      <c r="L24" s="7">
        <f t="shared" si="1"/>
        <v>584000</v>
      </c>
      <c r="M24" s="7">
        <f t="shared" si="1"/>
        <v>723000</v>
      </c>
      <c r="N24" s="7">
        <f t="shared" si="1"/>
        <v>862000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369000</v>
      </c>
      <c r="K25" s="40">
        <f>LamChanHangNgan((PhiInKM4M_BHR70($A25*F$23/$D$16*$E$16)+$A24*F$23/$D$16*$D$19+PhiMayCanMang($A25*F$23/$D$16*2, $C$15/100,$D$15/100))*(1+$D$17))</f>
        <v>520000</v>
      </c>
      <c r="L25" s="40">
        <f>LamChanHangNgan((PhiInKM4M_BHR70($A25*G$23/$D$16*$E$16)+$A24*G$23/$D$16*$D$19+PhiMayCanMang($A25*G$23/$D$16*2, $C$15/100,$D$15/100))*(1+$D$17))</f>
        <v>671000</v>
      </c>
      <c r="M25" s="40">
        <f>LamChanHangNgan((PhiInKM4M_BHR70($A25*H$23/$D$16*$E$16)+$A24*H$23/$D$16*$D$19+PhiMayCanMang($A25*H$23/$D$16*2, $C$15/100,$D$15/100))*(1+$D$17))</f>
        <v>821000</v>
      </c>
      <c r="N25" s="40">
        <f>LamChanHangNgan((PhiInKM4M_BHR70($A25*I$23/$D$16*$E$16)+$A24*I$23/$D$16*$D$19+PhiMayCanMang($A25*I$23/$D$16*2, $C$15/100,$D$15/100))*(1+$D$17))</f>
        <v>972000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329000</v>
      </c>
      <c r="F26" s="7">
        <f>LamChanHangNgan((PhiInKM4M_BHR70($A26*F$23/$D$16*$E$16)+$A26*F$23/$D$16*$D$19)*(1+$D$17))</f>
        <v>491000</v>
      </c>
      <c r="G26" s="7">
        <f>LamChanHangNgan((PhiInKM4M_BHR70($A26*G$23/$D$16*$E$16)+$A26*G$23/$D$16*$D$19)*(1+$D$17))</f>
        <v>653000</v>
      </c>
      <c r="H26" s="7">
        <f>LamChanHangNgan((PhiInKM4M_BHR70($A26*H$23/$D$16*$E$16)+$A26*H$23/$D$16*$D$19)*(1+$D$17))</f>
        <v>816000</v>
      </c>
      <c r="I26" s="7">
        <f>LamChanHangNgan((PhiInKM4M_BHR70($A26*I$23/$D$16*$E$16)+$A26*I$23/$D$16*$D$19)*(1+$D$17))</f>
        <v>978000</v>
      </c>
      <c r="J26" s="7">
        <f>E26</f>
        <v>329000</v>
      </c>
      <c r="K26" s="7">
        <f t="shared" ref="K26:N26" si="2">F26</f>
        <v>491000</v>
      </c>
      <c r="L26" s="7">
        <f t="shared" si="2"/>
        <v>653000</v>
      </c>
      <c r="M26" s="7">
        <f t="shared" si="2"/>
        <v>816000</v>
      </c>
      <c r="N26" s="7">
        <f t="shared" si="2"/>
        <v>978000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394000</v>
      </c>
      <c r="K27" s="40">
        <f>LamChanHangNgan((PhiInKM4M_BHR70($A27*F$23/$D$16*$E$16)+$A26*F$23/$D$16*$D$19+PhiMayCanMang($A27*F$23/$D$16*2, $C$15/100,$D$15/100))*(1+$D$17))</f>
        <v>570000</v>
      </c>
      <c r="L27" s="40">
        <f>LamChanHangNgan((PhiInKM4M_BHR70($A27*G$23/$D$16*$E$16)+$A26*G$23/$D$16*$D$19+PhiMayCanMang($A27*G$23/$D$16*2, $C$15/100,$D$15/100))*(1+$D$17))</f>
        <v>746000</v>
      </c>
      <c r="M27" s="40">
        <f>LamChanHangNgan((PhiInKM4M_BHR70($A27*H$23/$D$16*$E$16)+$A26*H$23/$D$16*$D$19+PhiMayCanMang($A27*H$23/$D$16*2, $C$15/100,$D$15/100))*(1+$D$17))</f>
        <v>922000</v>
      </c>
      <c r="N27" s="40">
        <f>LamChanHangNgan((PhiInKM4M_BHR70($A27*I$23/$D$16*$E$16)+$A26*I$23/$D$16*$D$19+PhiMayCanMang($A27*I$23/$D$16*2, $C$15/100,$D$15/100))*(1+$D$17))</f>
        <v>1097000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352000</v>
      </c>
      <c r="F28" s="7">
        <f>LamChanHangNgan((PhiInKM4M_BHR70($A28*F$23/$D$16*$E$16)+$A28*F$23/$D$16*$D$19)*(1+$D$17))</f>
        <v>538000</v>
      </c>
      <c r="G28" s="7">
        <f>LamChanHangNgan((PhiInKM4M_BHR70($A28*G$23/$D$16*$E$16)+$A28*G$23/$D$16*$D$19)*(1+$D$17))</f>
        <v>723000</v>
      </c>
      <c r="H28" s="7">
        <f>LamChanHangNgan((PhiInKM4M_BHR70($A28*H$23/$D$16*$E$16)+$A28*H$23/$D$16*$D$19)*(1+$D$17))</f>
        <v>908000</v>
      </c>
      <c r="I28" s="7">
        <f>LamChanHangNgan((PhiInKM4M_BHR70($A28*I$23/$D$16*$E$16)+$A28*I$23/$D$16*$D$19)*(1+$D$17))</f>
        <v>1094000</v>
      </c>
      <c r="J28" s="7">
        <f>E28</f>
        <v>352000</v>
      </c>
      <c r="K28" s="7">
        <f t="shared" ref="K28:N28" si="3">F28</f>
        <v>538000</v>
      </c>
      <c r="L28" s="7">
        <f t="shared" si="3"/>
        <v>723000</v>
      </c>
      <c r="M28" s="7">
        <f t="shared" si="3"/>
        <v>908000</v>
      </c>
      <c r="N28" s="7">
        <f t="shared" si="3"/>
        <v>1094000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420000</v>
      </c>
      <c r="K29" s="40">
        <f>LamChanHangNgan((PhiInKM4M_BHR70($A29*F$23/$D$16*$E$16)+$A28*F$23/$D$16*$D$19+PhiMayCanMang($A29*F$23/$D$16*2, $C$15/100,$D$15/100))*(1+$D$17))</f>
        <v>620000</v>
      </c>
      <c r="L29" s="40">
        <f>LamChanHangNgan((PhiInKM4M_BHR70($A29*G$23/$D$16*$E$16)+$A28*G$23/$D$16*$D$19+PhiMayCanMang($A29*G$23/$D$16*2, $C$15/100,$D$15/100))*(1+$D$17))</f>
        <v>821000</v>
      </c>
      <c r="M29" s="40">
        <f>LamChanHangNgan((PhiInKM4M_BHR70($A29*H$23/$D$16*$E$16)+$A28*H$23/$D$16*$D$19+PhiMayCanMang($A29*H$23/$D$16*2, $C$15/100,$D$15/100))*(1+$D$17))</f>
        <v>1022000</v>
      </c>
      <c r="N29" s="40">
        <f>LamChanHangNgan((PhiInKM4M_BHR70($A29*I$23/$D$16*$E$16)+$A28*I$23/$D$16*$D$19+PhiMayCanMang($A29*I$23/$D$16*2, $C$15/100,$D$15/100))*(1+$D$17))</f>
        <v>1223000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375000</v>
      </c>
      <c r="F30" s="7">
        <f>LamChanHangNgan((PhiInKM4M_BHR70($A30*F$23/$D$16*$E$16)+$A30*F$23/$D$16*$D$19)*(1+$D$17))</f>
        <v>584000</v>
      </c>
      <c r="G30" s="7">
        <f>LamChanHangNgan((PhiInKM4M_BHR70($A30*G$23/$D$16*$E$16)+$A30*G$23/$D$16*$D$19)*(1+$D$17))</f>
        <v>793000</v>
      </c>
      <c r="H30" s="7">
        <f>LamChanHangNgan((PhiInKM4M_BHR70($A30*H$23/$D$16*$E$16)+$A30*H$23/$D$16*$D$19)*(1+$D$17))</f>
        <v>1001000</v>
      </c>
      <c r="I30" s="7">
        <f>LamChanHangNgan((PhiInKM4M_BHR70($A30*I$23/$D$16*$E$16)+$A30*I$23/$D$16*$D$19)*(1+$D$17))</f>
        <v>1210000</v>
      </c>
      <c r="J30" s="7">
        <f>E30</f>
        <v>375000</v>
      </c>
      <c r="K30" s="7">
        <f t="shared" ref="K30:N30" si="4">F30</f>
        <v>584000</v>
      </c>
      <c r="L30" s="7">
        <f t="shared" si="4"/>
        <v>793000</v>
      </c>
      <c r="M30" s="7">
        <f t="shared" si="4"/>
        <v>1001000</v>
      </c>
      <c r="N30" s="7">
        <f t="shared" si="4"/>
        <v>1210000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444000</v>
      </c>
      <c r="K31" s="40">
        <f>LamChanHangNgan((PhiInKM4M_BHR70($A31*F$23/$D$16*$E$16)+$A30*F$23/$D$16*$D$19+PhiMayCanMang($A31*F$23/$D$16*2, $C$15/100,$D$15/100))*(1+$D$17))</f>
        <v>671000</v>
      </c>
      <c r="L31" s="40">
        <f>LamChanHangNgan((PhiInKM4M_BHR70($A31*G$23/$D$16*$E$16)+$A30*G$23/$D$16*$D$19+PhiMayCanMang($A31*G$23/$D$16*2, $C$15/100,$D$15/100))*(1+$D$17))</f>
        <v>896000</v>
      </c>
      <c r="M31" s="40">
        <f>LamChanHangNgan((PhiInKM4M_BHR70($A31*H$23/$D$16*$E$16)+$A30*H$23/$D$16*$D$19+PhiMayCanMang($A31*H$23/$D$16*2, $C$15/100,$D$15/100))*(1+$D$17))</f>
        <v>1122000</v>
      </c>
      <c r="N31" s="40">
        <f>LamChanHangNgan((PhiInKM4M_BHR70($A31*I$23/$D$16*$E$16)+$A30*I$23/$D$16*$D$19+PhiMayCanMang($A31*I$23/$D$16*2, $C$15/100,$D$15/100))*(1+$D$17))</f>
        <v>1348000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398000</v>
      </c>
      <c r="F32" s="7">
        <f>LamChanHangNgan((PhiInKM4M_BHR70($A32*F$23/$D$16*$E$16)+$A32*F$23/$D$16*$D$19)*(1+$D$17))</f>
        <v>630000</v>
      </c>
      <c r="G32" s="7">
        <f>LamChanHangNgan((PhiInKM4M_BHR70($A32*G$23/$D$16*$E$16)+$A32*G$23/$D$16*$D$19)*(1+$D$17))</f>
        <v>862000</v>
      </c>
      <c r="H32" s="7">
        <f>LamChanHangNgan((PhiInKM4M_BHR70($A32*H$23/$D$16*$E$16)+$A32*H$23/$D$16*$D$19)*(1+$D$17))</f>
        <v>1094000</v>
      </c>
      <c r="I32" s="7">
        <f>LamChanHangNgan((PhiInKM4M_BHR70($A32*I$23/$D$16*$E$16)+$A32*I$23/$D$16*$D$19)*(1+$D$17))</f>
        <v>1326000</v>
      </c>
      <c r="J32" s="7">
        <f>E32</f>
        <v>398000</v>
      </c>
      <c r="K32" s="7">
        <f t="shared" ref="K32:N32" si="5">F32</f>
        <v>630000</v>
      </c>
      <c r="L32" s="7">
        <f t="shared" si="5"/>
        <v>862000</v>
      </c>
      <c r="M32" s="7">
        <f t="shared" si="5"/>
        <v>1094000</v>
      </c>
      <c r="N32" s="7">
        <f t="shared" si="5"/>
        <v>1326000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470000</v>
      </c>
      <c r="K33" s="40">
        <f>LamChanHangNgan((PhiInKM4M_BHR70($A33*F$23/$D$16*$E$16)+$A32*F$23/$D$16*$D$19+PhiMayCanMang($A33*F$23/$D$16*2, $C$15/100,$D$15/100))*(1+$D$17))</f>
        <v>721000</v>
      </c>
      <c r="L33" s="40">
        <f>LamChanHangNgan((PhiInKM4M_BHR70($A33*G$23/$D$16*$E$16)+$A32*G$23/$D$16*$D$19+PhiMayCanMang($A33*G$23/$D$16*2, $C$15/100,$D$15/100))*(1+$D$17))</f>
        <v>972000</v>
      </c>
      <c r="M33" s="40">
        <f>LamChanHangNgan((PhiInKM4M_BHR70($A33*H$23/$D$16*$E$16)+$A32*H$23/$D$16*$D$19+PhiMayCanMang($A33*H$23/$D$16*2, $C$15/100,$D$15/100))*(1+$D$17))</f>
        <v>1223000</v>
      </c>
      <c r="N33" s="40">
        <f>LamChanHangNgan((PhiInKM4M_BHR70($A33*I$23/$D$16*$E$16)+$A32*I$23/$D$16*$D$19+PhiMayCanMang($A33*I$23/$D$16*2, $C$15/100,$D$15/100))*(1+$D$17))</f>
        <v>1474000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422000</v>
      </c>
      <c r="F34" s="7">
        <f>LamChanHangNgan((PhiInKM4M_BHR70($A34*F$23/$D$16*$E$16)+$A34*F$23/$D$16*$D$19)*(1+$D$17))</f>
        <v>677000</v>
      </c>
      <c r="G34" s="7">
        <f>LamChanHangNgan((PhiInKM4M_BHR70($A34*G$23/$D$16*$E$16)+$A34*G$23/$D$16*$D$19)*(1+$D$17))</f>
        <v>932000</v>
      </c>
      <c r="H34" s="7">
        <f>LamChanHangNgan((PhiInKM4M_BHR70($A34*H$23/$D$16*$E$16)+$A34*H$23/$D$16*$D$19)*(1+$D$17))</f>
        <v>1187000</v>
      </c>
      <c r="I34" s="7">
        <f>LamChanHangNgan((PhiInKM4M_BHR70($A34*I$23/$D$16*$E$16)+$A34*I$23/$D$16*$D$19)*(1+$D$17))</f>
        <v>1442000</v>
      </c>
      <c r="J34" s="7">
        <f>E34</f>
        <v>422000</v>
      </c>
      <c r="K34" s="7">
        <f t="shared" ref="K34:N34" si="6">F34</f>
        <v>677000</v>
      </c>
      <c r="L34" s="7">
        <f t="shared" si="6"/>
        <v>932000</v>
      </c>
      <c r="M34" s="7">
        <f t="shared" si="6"/>
        <v>1187000</v>
      </c>
      <c r="N34" s="7">
        <f t="shared" si="6"/>
        <v>1442000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495000</v>
      </c>
      <c r="K35" s="40">
        <f>LamChanHangNgan((PhiInKM4M_BHR70($A35*F$23/$D$16*$E$16)+$A34*F$23/$D$16*$D$19+PhiMayCanMang($A35*F$23/$D$16*2, $C$15/100,$D$15/100))*(1+$D$17))</f>
        <v>771000</v>
      </c>
      <c r="L35" s="40">
        <f>LamChanHangNgan((PhiInKM4M_BHR70($A35*G$23/$D$16*$E$16)+$A34*G$23/$D$16*$D$19+PhiMayCanMang($A35*G$23/$D$16*2, $C$15/100,$D$15/100))*(1+$D$17))</f>
        <v>1047000</v>
      </c>
      <c r="M35" s="40">
        <f>LamChanHangNgan((PhiInKM4M_BHR70($A35*H$23/$D$16*$E$16)+$A34*H$23/$D$16*$D$19+PhiMayCanMang($A35*H$23/$D$16*2, $C$15/100,$D$15/100))*(1+$D$17))</f>
        <v>1323000</v>
      </c>
      <c r="N35" s="40">
        <f>LamChanHangNgan((PhiInKM4M_BHR70($A35*I$23/$D$16*$E$16)+$A34*I$23/$D$16*$D$19+PhiMayCanMang($A35*I$23/$D$16*2, $C$15/100,$D$15/100))*(1+$D$17))</f>
        <v>1599000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445000</v>
      </c>
      <c r="F36" s="7">
        <f>LamChanHangNgan((PhiInKM4M_BHR70($A36*F$23/$D$16*$E$16)+$A36*F$23/$D$16*$D$19)*(1+$D$17))</f>
        <v>723000</v>
      </c>
      <c r="G36" s="7">
        <f>LamChanHangNgan((PhiInKM4M_BHR70($A36*G$23/$D$16*$E$16)+$A36*G$23/$D$16*$D$19)*(1+$D$17))</f>
        <v>1001000</v>
      </c>
      <c r="H36" s="7">
        <f>LamChanHangNgan((PhiInKM4M_BHR70($A36*H$23/$D$16*$E$16)+$A36*H$23/$D$16*$D$19)*(1+$D$17))</f>
        <v>1279000</v>
      </c>
      <c r="I36" s="7">
        <f>LamChanHangNgan((PhiInKM4M_BHR70($A36*I$23/$D$16*$E$16)+$A36*I$23/$D$16*$D$19)*(1+$D$17))</f>
        <v>1558000</v>
      </c>
      <c r="J36" s="7">
        <f>E36</f>
        <v>445000</v>
      </c>
      <c r="K36" s="7">
        <f t="shared" ref="K36:N36" si="7">F36</f>
        <v>723000</v>
      </c>
      <c r="L36" s="7">
        <f t="shared" si="7"/>
        <v>1001000</v>
      </c>
      <c r="M36" s="7">
        <f t="shared" si="7"/>
        <v>1279000</v>
      </c>
      <c r="N36" s="7">
        <f t="shared" si="7"/>
        <v>1558000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520000</v>
      </c>
      <c r="K37" s="40">
        <f>LamChanHangNgan((PhiInKM4M_BHR70($A37*F$23/$D$16*$E$16)+$A36*F$23/$D$16*$D$19+PhiMayCanMang($A37*F$23/$D$16*2, $C$15/100,$D$15/100))*(1+$D$17))</f>
        <v>821000</v>
      </c>
      <c r="L37" s="40">
        <f>LamChanHangNgan((PhiInKM4M_BHR70($A37*G$23/$D$16*$E$16)+$A36*G$23/$D$16*$D$19+PhiMayCanMang($A37*G$23/$D$16*2, $C$15/100,$D$15/100))*(1+$D$17))</f>
        <v>1122000</v>
      </c>
      <c r="M37" s="40">
        <f>LamChanHangNgan((PhiInKM4M_BHR70($A37*H$23/$D$16*$E$16)+$A36*H$23/$D$16*$D$19+PhiMayCanMang($A37*H$23/$D$16*2, $C$15/100,$D$15/100))*(1+$D$17))</f>
        <v>1424000</v>
      </c>
      <c r="N37" s="40">
        <f>LamChanHangNgan((PhiInKM4M_BHR70($A37*I$23/$D$16*$E$16)+$A36*I$23/$D$16*$D$19+PhiMayCanMang($A37*I$23/$D$16*2, $C$15/100,$D$15/100))*(1+$D$17))</f>
        <v>1725000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42794.705900000001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445000</v>
      </c>
      <c r="F24" s="7">
        <f>LamChanHangNgan((PhiInKM4M_BHR70($A24*F$23/$D$16*$E$16)+$A24*F$23/$D$16*$D$19)*(1+$D$17))</f>
        <v>723000</v>
      </c>
      <c r="G24" s="7">
        <f>LamChanHangNgan((PhiInKM4M_BHR70($A24*G$23/$D$16*$E$16)+$A24*G$23/$D$16*$D$19)*(1+$D$17))</f>
        <v>1001000</v>
      </c>
      <c r="H24" s="7">
        <f>LamChanHangNgan((PhiInKM4M_BHR70($A24*H$23/$D$16*$E$16)+$A24*H$23/$D$16*$D$19)*(1+$D$17))</f>
        <v>1279000</v>
      </c>
      <c r="I24" s="7">
        <f>LamChanHangNgan((PhiInKM4M_BHR70($A24*I$23/$D$16*$E$16)+$A24*I$23/$D$16*$D$19)*(1+$D$17))</f>
        <v>1558000</v>
      </c>
      <c r="J24" s="7">
        <f>E24</f>
        <v>445000</v>
      </c>
      <c r="K24" s="7">
        <f t="shared" ref="K24:N24" si="1">F24</f>
        <v>723000</v>
      </c>
      <c r="L24" s="7">
        <f t="shared" si="1"/>
        <v>1001000</v>
      </c>
      <c r="M24" s="7">
        <f t="shared" si="1"/>
        <v>1279000</v>
      </c>
      <c r="N24" s="7">
        <f t="shared" si="1"/>
        <v>1558000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520000</v>
      </c>
      <c r="K25" s="40">
        <f>LamChanHangNgan((PhiInKM4M_BHR70($A25*F$23/$D$16*$E$16)+$A24*F$23/$D$16*$D$19+PhiMayCanMang($A25*F$23/$D$16*2, $C$15/100,$D$15/100))*(1+$D$17))</f>
        <v>821000</v>
      </c>
      <c r="L25" s="40">
        <f>LamChanHangNgan((PhiInKM4M_BHR70($A25*G$23/$D$16*$E$16)+$A24*G$23/$D$16*$D$19+PhiMayCanMang($A25*G$23/$D$16*2, $C$15/100,$D$15/100))*(1+$D$17))</f>
        <v>1122000</v>
      </c>
      <c r="M25" s="40">
        <f>LamChanHangNgan((PhiInKM4M_BHR70($A25*H$23/$D$16*$E$16)+$A24*H$23/$D$16*$D$19+PhiMayCanMang($A25*H$23/$D$16*2, $C$15/100,$D$15/100))*(1+$D$17))</f>
        <v>1424000</v>
      </c>
      <c r="N25" s="40">
        <f>LamChanHangNgan((PhiInKM4M_BHR70($A25*I$23/$D$16*$E$16)+$A24*I$23/$D$16*$D$19+PhiMayCanMang($A25*I$23/$D$16*2, $C$15/100,$D$15/100))*(1+$D$17))</f>
        <v>1725000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491000</v>
      </c>
      <c r="F26" s="7">
        <f>LamChanHangNgan((PhiInKM4M_BHR70($A26*F$23/$D$16*$E$16)+$A26*F$23/$D$16*$D$19)*(1+$D$17))</f>
        <v>816000</v>
      </c>
      <c r="G26" s="7">
        <f>LamChanHangNgan((PhiInKM4M_BHR70($A26*G$23/$D$16*$E$16)+$A26*G$23/$D$16*$D$19)*(1+$D$17))</f>
        <v>1140000</v>
      </c>
      <c r="H26" s="7">
        <f>LamChanHangNgan((PhiInKM4M_BHR70($A26*H$23/$D$16*$E$16)+$A26*H$23/$D$16*$D$19)*(1+$D$17))</f>
        <v>1465000</v>
      </c>
      <c r="I26" s="7">
        <f>LamChanHangNgan((PhiInKM4M_BHR70($A26*I$23/$D$16*$E$16)+$A26*I$23/$D$16*$D$19)*(1+$D$17))</f>
        <v>1789000</v>
      </c>
      <c r="J26" s="7">
        <f>E26</f>
        <v>491000</v>
      </c>
      <c r="K26" s="7">
        <f t="shared" ref="K26:N26" si="2">F26</f>
        <v>816000</v>
      </c>
      <c r="L26" s="7">
        <f t="shared" si="2"/>
        <v>1140000</v>
      </c>
      <c r="M26" s="7">
        <f t="shared" si="2"/>
        <v>1465000</v>
      </c>
      <c r="N26" s="7">
        <f t="shared" si="2"/>
        <v>1789000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570000</v>
      </c>
      <c r="K27" s="40">
        <f>LamChanHangNgan((PhiInKM4M_BHR70($A27*F$23/$D$16*$E$16)+$A26*F$23/$D$16*$D$19+PhiMayCanMang($A27*F$23/$D$16*2, $C$15/100,$D$15/100))*(1+$D$17))</f>
        <v>922000</v>
      </c>
      <c r="L27" s="40">
        <f>LamChanHangNgan((PhiInKM4M_BHR70($A27*G$23/$D$16*$E$16)+$A26*G$23/$D$16*$D$19+PhiMayCanMang($A27*G$23/$D$16*2, $C$15/100,$D$15/100))*(1+$D$17))</f>
        <v>1273000</v>
      </c>
      <c r="M27" s="40">
        <f>LamChanHangNgan((PhiInKM4M_BHR70($A27*H$23/$D$16*$E$16)+$A26*H$23/$D$16*$D$19+PhiMayCanMang($A27*H$23/$D$16*2, $C$15/100,$D$15/100))*(1+$D$17))</f>
        <v>1624000</v>
      </c>
      <c r="N27" s="40">
        <f>LamChanHangNgan((PhiInKM4M_BHR70($A27*I$23/$D$16*$E$16)+$A26*I$23/$D$16*$D$19+PhiMayCanMang($A27*I$23/$D$16*2, $C$15/100,$D$15/100))*(1+$D$17))</f>
        <v>1976000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538000</v>
      </c>
      <c r="F28" s="7">
        <f>LamChanHangNgan((PhiInKM4M_BHR70($A28*F$23/$D$16*$E$16)+$A28*F$23/$D$16*$D$19)*(1+$D$17))</f>
        <v>908000</v>
      </c>
      <c r="G28" s="7">
        <f>LamChanHangNgan((PhiInKM4M_BHR70($A28*G$23/$D$16*$E$16)+$A28*G$23/$D$16*$D$19)*(1+$D$17))</f>
        <v>1279000</v>
      </c>
      <c r="H28" s="7">
        <f>LamChanHangNgan((PhiInKM4M_BHR70($A28*H$23/$D$16*$E$16)+$A28*H$23/$D$16*$D$19)*(1+$D$17))</f>
        <v>1650000</v>
      </c>
      <c r="I28" s="7">
        <f>LamChanHangNgan((PhiInKM4M_BHR70($A28*I$23/$D$16*$E$16)+$A28*I$23/$D$16*$D$19)*(1+$D$17))</f>
        <v>2021000</v>
      </c>
      <c r="J28" s="7">
        <f>E28</f>
        <v>538000</v>
      </c>
      <c r="K28" s="7">
        <f t="shared" ref="K28:N28" si="3">F28</f>
        <v>908000</v>
      </c>
      <c r="L28" s="7">
        <f t="shared" si="3"/>
        <v>1279000</v>
      </c>
      <c r="M28" s="7">
        <f t="shared" si="3"/>
        <v>1650000</v>
      </c>
      <c r="N28" s="7">
        <f t="shared" si="3"/>
        <v>2021000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620000</v>
      </c>
      <c r="K29" s="40">
        <f>LamChanHangNgan((PhiInKM4M_BHR70($A29*F$23/$D$16*$E$16)+$A28*F$23/$D$16*$D$19+PhiMayCanMang($A29*F$23/$D$16*2, $C$15/100,$D$15/100))*(1+$D$17))</f>
        <v>1022000</v>
      </c>
      <c r="L29" s="40">
        <f>LamChanHangNgan((PhiInKM4M_BHR70($A29*G$23/$D$16*$E$16)+$A28*G$23/$D$16*$D$19+PhiMayCanMang($A29*G$23/$D$16*2, $C$15/100,$D$15/100))*(1+$D$17))</f>
        <v>1424000</v>
      </c>
      <c r="M29" s="40">
        <f>LamChanHangNgan((PhiInKM4M_BHR70($A29*H$23/$D$16*$E$16)+$A28*H$23/$D$16*$D$19+PhiMayCanMang($A29*H$23/$D$16*2, $C$15/100,$D$15/100))*(1+$D$17))</f>
        <v>1825000</v>
      </c>
      <c r="N29" s="40">
        <f>LamChanHangNgan((PhiInKM4M_BHR70($A29*I$23/$D$16*$E$16)+$A28*I$23/$D$16*$D$19+PhiMayCanMang($A29*I$23/$D$16*2, $C$15/100,$D$15/100))*(1+$D$17))</f>
        <v>2227000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584000</v>
      </c>
      <c r="F30" s="7">
        <f>LamChanHangNgan((PhiInKM4M_BHR70($A30*F$23/$D$16*$E$16)+$A30*F$23/$D$16*$D$19)*(1+$D$17))</f>
        <v>1001000</v>
      </c>
      <c r="G30" s="7">
        <f>LamChanHangNgan((PhiInKM4M_BHR70($A30*G$23/$D$16*$E$16)+$A30*G$23/$D$16*$D$19)*(1+$D$17))</f>
        <v>1419000</v>
      </c>
      <c r="H30" s="7">
        <f>LamChanHangNgan((PhiInKM4M_BHR70($A30*H$23/$D$16*$E$16)+$A30*H$23/$D$16*$D$19)*(1+$D$17))</f>
        <v>1836000</v>
      </c>
      <c r="I30" s="7">
        <f>LamChanHangNgan((PhiInKM4M_BHR70($A30*I$23/$D$16*$E$16)+$A30*I$23/$D$16*$D$19)*(1+$D$17))</f>
        <v>2253000</v>
      </c>
      <c r="J30" s="7">
        <f>E30</f>
        <v>584000</v>
      </c>
      <c r="K30" s="7">
        <f t="shared" ref="K30:N30" si="4">F30</f>
        <v>1001000</v>
      </c>
      <c r="L30" s="7">
        <f t="shared" si="4"/>
        <v>1419000</v>
      </c>
      <c r="M30" s="7">
        <f t="shared" si="4"/>
        <v>1836000</v>
      </c>
      <c r="N30" s="7">
        <f t="shared" si="4"/>
        <v>2253000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671000</v>
      </c>
      <c r="K31" s="40">
        <f>LamChanHangNgan((PhiInKM4M_BHR70($A31*F$23/$D$16*$E$16)+$A30*F$23/$D$16*$D$19+PhiMayCanMang($A31*F$23/$D$16*2, $C$15/100,$D$15/100))*(1+$D$17))</f>
        <v>1122000</v>
      </c>
      <c r="L31" s="40">
        <f>LamChanHangNgan((PhiInKM4M_BHR70($A31*G$23/$D$16*$E$16)+$A30*G$23/$D$16*$D$19+PhiMayCanMang($A31*G$23/$D$16*2, $C$15/100,$D$15/100))*(1+$D$17))</f>
        <v>1574000</v>
      </c>
      <c r="M31" s="40">
        <f>LamChanHangNgan((PhiInKM4M_BHR70($A31*H$23/$D$16*$E$16)+$A30*H$23/$D$16*$D$19+PhiMayCanMang($A31*H$23/$D$16*2, $C$15/100,$D$15/100))*(1+$D$17))</f>
        <v>2026000</v>
      </c>
      <c r="N31" s="40">
        <f>LamChanHangNgan((PhiInKM4M_BHR70($A31*I$23/$D$16*$E$16)+$A30*I$23/$D$16*$D$19+PhiMayCanMang($A31*I$23/$D$16*2, $C$15/100,$D$15/100))*(1+$D$17))</f>
        <v>2478000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630000</v>
      </c>
      <c r="F32" s="7">
        <f>LamChanHangNgan((PhiInKM4M_BHR70($A32*F$23/$D$16*$E$16)+$A32*F$23/$D$16*$D$19)*(1+$D$17))</f>
        <v>1094000</v>
      </c>
      <c r="G32" s="7">
        <f>LamChanHangNgan((PhiInKM4M_BHR70($A32*G$23/$D$16*$E$16)+$A32*G$23/$D$16*$D$19)*(1+$D$17))</f>
        <v>1558000</v>
      </c>
      <c r="H32" s="7">
        <f>LamChanHangNgan((PhiInKM4M_BHR70($A32*H$23/$D$16*$E$16)+$A32*H$23/$D$16*$D$19)*(1+$D$17))</f>
        <v>2021000</v>
      </c>
      <c r="I32" s="7">
        <f>LamChanHangNgan((PhiInKM4M_BHR70($A32*I$23/$D$16*$E$16)+$A32*I$23/$D$16*$D$19)*(1+$D$17))</f>
        <v>2485000</v>
      </c>
      <c r="J32" s="7">
        <f>E32</f>
        <v>630000</v>
      </c>
      <c r="K32" s="7">
        <f t="shared" ref="K32:N32" si="5">F32</f>
        <v>1094000</v>
      </c>
      <c r="L32" s="7">
        <f t="shared" si="5"/>
        <v>1558000</v>
      </c>
      <c r="M32" s="7">
        <f t="shared" si="5"/>
        <v>2021000</v>
      </c>
      <c r="N32" s="7">
        <f t="shared" si="5"/>
        <v>2485000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721000</v>
      </c>
      <c r="K33" s="40">
        <f>LamChanHangNgan((PhiInKM4M_BHR70($A33*F$23/$D$16*$E$16)+$A32*F$23/$D$16*$D$19+PhiMayCanMang($A33*F$23/$D$16*2, $C$15/100,$D$15/100))*(1+$D$17))</f>
        <v>1223000</v>
      </c>
      <c r="L33" s="40">
        <f>LamChanHangNgan((PhiInKM4M_BHR70($A33*G$23/$D$16*$E$16)+$A32*G$23/$D$16*$D$19+PhiMayCanMang($A33*G$23/$D$16*2, $C$15/100,$D$15/100))*(1+$D$17))</f>
        <v>1725000</v>
      </c>
      <c r="M33" s="40">
        <f>LamChanHangNgan((PhiInKM4M_BHR70($A33*H$23/$D$16*$E$16)+$A32*H$23/$D$16*$D$19+PhiMayCanMang($A33*H$23/$D$16*2, $C$15/100,$D$15/100))*(1+$D$17))</f>
        <v>2227000</v>
      </c>
      <c r="N33" s="40">
        <f>LamChanHangNgan((PhiInKM4M_BHR70($A33*I$23/$D$16*$E$16)+$A32*I$23/$D$16*$D$19+PhiMayCanMang($A33*I$23/$D$16*2, $C$15/100,$D$15/100))*(1+$D$17))</f>
        <v>2729000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677000</v>
      </c>
      <c r="F34" s="7">
        <f>LamChanHangNgan((PhiInKM4M_BHR70($A34*F$23/$D$16*$E$16)+$A34*F$23/$D$16*$D$19)*(1+$D$17))</f>
        <v>1187000</v>
      </c>
      <c r="G34" s="7">
        <f>LamChanHangNgan((PhiInKM4M_BHR70($A34*G$23/$D$16*$E$16)+$A34*G$23/$D$16*$D$19)*(1+$D$17))</f>
        <v>1697000</v>
      </c>
      <c r="H34" s="7">
        <f>LamChanHangNgan((PhiInKM4M_BHR70($A34*H$23/$D$16*$E$16)+$A34*H$23/$D$16*$D$19)*(1+$D$17))</f>
        <v>2207000</v>
      </c>
      <c r="I34" s="7">
        <f>LamChanHangNgan((PhiInKM4M_BHR70($A34*I$23/$D$16*$E$16)+$A34*I$23/$D$16*$D$19)*(1+$D$17))</f>
        <v>2717000</v>
      </c>
      <c r="J34" s="7">
        <f>E34</f>
        <v>677000</v>
      </c>
      <c r="K34" s="7">
        <f t="shared" ref="K34:N34" si="6">F34</f>
        <v>1187000</v>
      </c>
      <c r="L34" s="7">
        <f t="shared" si="6"/>
        <v>1697000</v>
      </c>
      <c r="M34" s="7">
        <f t="shared" si="6"/>
        <v>2207000</v>
      </c>
      <c r="N34" s="7">
        <f t="shared" si="6"/>
        <v>2717000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771000</v>
      </c>
      <c r="K35" s="40">
        <f>LamChanHangNgan((PhiInKM4M_BHR70($A35*F$23/$D$16*$E$16)+$A34*F$23/$D$16*$D$19+PhiMayCanMang($A35*F$23/$D$16*2, $C$15/100,$D$15/100))*(1+$D$17))</f>
        <v>1323000</v>
      </c>
      <c r="L35" s="40">
        <f>LamChanHangNgan((PhiInKM4M_BHR70($A35*G$23/$D$16*$E$16)+$A34*G$23/$D$16*$D$19+PhiMayCanMang($A35*G$23/$D$16*2, $C$15/100,$D$15/100))*(1+$D$17))</f>
        <v>1875000</v>
      </c>
      <c r="M35" s="40">
        <f>LamChanHangNgan((PhiInKM4M_BHR70($A35*H$23/$D$16*$E$16)+$A34*H$23/$D$16*$D$19+PhiMayCanMang($A35*H$23/$D$16*2, $C$15/100,$D$15/100))*(1+$D$17))</f>
        <v>2428000</v>
      </c>
      <c r="N35" s="40">
        <f>LamChanHangNgan((PhiInKM4M_BHR70($A35*I$23/$D$16*$E$16)+$A34*I$23/$D$16*$D$19+PhiMayCanMang($A35*I$23/$D$16*2, $C$15/100,$D$15/100))*(1+$D$17))</f>
        <v>2980000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723000</v>
      </c>
      <c r="F36" s="7">
        <f>LamChanHangNgan((PhiInKM4M_BHR70($A36*F$23/$D$16*$E$16)+$A36*F$23/$D$16*$D$19)*(1+$D$17))</f>
        <v>1279000</v>
      </c>
      <c r="G36" s="7">
        <f>LamChanHangNgan((PhiInKM4M_BHR70($A36*G$23/$D$16*$E$16)+$A36*G$23/$D$16*$D$19)*(1+$D$17))</f>
        <v>1836000</v>
      </c>
      <c r="H36" s="7">
        <f>LamChanHangNgan((PhiInKM4M_BHR70($A36*H$23/$D$16*$E$16)+$A36*H$23/$D$16*$D$19)*(1+$D$17))</f>
        <v>2392000</v>
      </c>
      <c r="I36" s="7">
        <f>LamChanHangNgan((PhiInKM4M_BHR70($A36*I$23/$D$16*$E$16)+$A36*I$23/$D$16*$D$19)*(1+$D$17))</f>
        <v>2949000</v>
      </c>
      <c r="J36" s="7">
        <f>E36</f>
        <v>723000</v>
      </c>
      <c r="K36" s="7">
        <f t="shared" ref="K36:N36" si="7">F36</f>
        <v>1279000</v>
      </c>
      <c r="L36" s="7">
        <f t="shared" si="7"/>
        <v>1836000</v>
      </c>
      <c r="M36" s="7">
        <f t="shared" si="7"/>
        <v>2392000</v>
      </c>
      <c r="N36" s="7">
        <f t="shared" si="7"/>
        <v>2949000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821000</v>
      </c>
      <c r="K37" s="40">
        <f>LamChanHangNgan((PhiInKM4M_BHR70($A37*F$23/$D$16*$E$16)+$A36*F$23/$D$16*$D$19+PhiMayCanMang($A37*F$23/$D$16*2, $C$15/100,$D$15/100))*(1+$D$17))</f>
        <v>1424000</v>
      </c>
      <c r="L37" s="40">
        <f>LamChanHangNgan((PhiInKM4M_BHR70($A37*G$23/$D$16*$E$16)+$A36*G$23/$D$16*$D$19+PhiMayCanMang($A37*G$23/$D$16*2, $C$15/100,$D$15/100))*(1+$D$17))</f>
        <v>2026000</v>
      </c>
      <c r="M37" s="40">
        <f>LamChanHangNgan((PhiInKM4M_BHR70($A37*H$23/$D$16*$E$16)+$A36*H$23/$D$16*$D$19+PhiMayCanMang($A37*H$23/$D$16*2, $C$15/100,$D$15/100))*(1+$D$17))</f>
        <v>2628000</v>
      </c>
      <c r="N37" s="40">
        <f>LamChanHangNgan((PhiInKM4M_BHR70($A37*I$23/$D$16*$E$16)+$A36*I$23/$D$16*$D$19+PhiMayCanMang($A37*I$23/$D$16*2, $C$15/100,$D$15/100))*(1+$D$17))</f>
        <v>3231000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22022.2228</v>
      </c>
      <c r="F41" s="7">
        <f t="shared" ref="F41:I41" si="8">PhiLDPT_XepDotVoCuonLX(F$23)+$B$41*$C$13/100</f>
        <v>24911.111700000001</v>
      </c>
      <c r="G41" s="7">
        <f t="shared" si="8"/>
        <v>27800.000700000001</v>
      </c>
      <c r="H41" s="7">
        <f t="shared" si="8"/>
        <v>30688.8897</v>
      </c>
      <c r="I41" s="7">
        <f t="shared" si="8"/>
        <v>33577.778699999995</v>
      </c>
    </row>
    <row r="42" spans="1:14" x14ac:dyDescent="0.25">
      <c r="A42" s="2"/>
      <c r="D42" t="s">
        <v>317</v>
      </c>
      <c r="E42" s="7">
        <f>E$41*(1+$D$17)</f>
        <v>38538.889900000002</v>
      </c>
      <c r="F42" s="7">
        <f t="shared" ref="F42:I42" si="9">F$41*(1+$D$17)</f>
        <v>43594.445475</v>
      </c>
      <c r="G42" s="7">
        <f t="shared" si="9"/>
        <v>48650.001225</v>
      </c>
      <c r="H42" s="7">
        <f t="shared" si="9"/>
        <v>53705.556975</v>
      </c>
      <c r="I42" s="7">
        <f t="shared" si="9"/>
        <v>58761.112724999992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42794.705900000001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445000</v>
      </c>
      <c r="F24" s="7">
        <f>LamChanHangNgan((PhiInKM4M_BHR70($A24*F$23/$D$16*$E$16)+$A24*F$23/$D$16*$D$19)*(1+$D$17))</f>
        <v>723000</v>
      </c>
      <c r="G24" s="7">
        <f>LamChanHangNgan((PhiInKM4M_BHR70($A24*G$23/$D$16*$E$16)+$A24*G$23/$D$16*$D$19)*(1+$D$17))</f>
        <v>1001000</v>
      </c>
      <c r="H24" s="7">
        <f>LamChanHangNgan((PhiInKM4M_BHR70($A24*H$23/$D$16*$E$16)+$A24*H$23/$D$16*$D$19)*(1+$D$17))</f>
        <v>1279000</v>
      </c>
      <c r="I24" s="7">
        <f>LamChanHangNgan((PhiInKM4M_BHR70($A24*I$23/$D$16*$E$16)+$A24*I$23/$D$16*$D$19)*(1+$D$17))</f>
        <v>1558000</v>
      </c>
      <c r="J24" s="7">
        <f>E24</f>
        <v>445000</v>
      </c>
      <c r="K24" s="7">
        <f t="shared" ref="K24:N24" si="1">F24</f>
        <v>723000</v>
      </c>
      <c r="L24" s="7">
        <f t="shared" si="1"/>
        <v>1001000</v>
      </c>
      <c r="M24" s="7">
        <f t="shared" si="1"/>
        <v>1279000</v>
      </c>
      <c r="N24" s="7">
        <f t="shared" si="1"/>
        <v>1558000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520000</v>
      </c>
      <c r="K25" s="40">
        <f>LamChanHangNgan((PhiInKM4M_BHR70($A25*F$23/$D$16*$E$16)+$A24*F$23/$D$16*$D$19+PhiMayCanMang($A25*F$23/$D$16*2, $C$15/100,$D$15/100))*(1+$D$17))</f>
        <v>821000</v>
      </c>
      <c r="L25" s="40">
        <f>LamChanHangNgan((PhiInKM4M_BHR70($A25*G$23/$D$16*$E$16)+$A24*G$23/$D$16*$D$19+PhiMayCanMang($A25*G$23/$D$16*2, $C$15/100,$D$15/100))*(1+$D$17))</f>
        <v>1122000</v>
      </c>
      <c r="M25" s="40">
        <f>LamChanHangNgan((PhiInKM4M_BHR70($A25*H$23/$D$16*$E$16)+$A24*H$23/$D$16*$D$19+PhiMayCanMang($A25*H$23/$D$16*2, $C$15/100,$D$15/100))*(1+$D$17))</f>
        <v>1424000</v>
      </c>
      <c r="N25" s="40">
        <f>LamChanHangNgan((PhiInKM4M_BHR70($A25*I$23/$D$16*$E$16)+$A24*I$23/$D$16*$D$19+PhiMayCanMang($A25*I$23/$D$16*2, $C$15/100,$D$15/100))*(1+$D$17))</f>
        <v>1725000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491000</v>
      </c>
      <c r="F26" s="7">
        <f>LamChanHangNgan((PhiInKM4M_BHR70($A26*F$23/$D$16*$E$16)+$A26*F$23/$D$16*$D$19)*(1+$D$17))</f>
        <v>816000</v>
      </c>
      <c r="G26" s="7">
        <f>LamChanHangNgan((PhiInKM4M_BHR70($A26*G$23/$D$16*$E$16)+$A26*G$23/$D$16*$D$19)*(1+$D$17))</f>
        <v>1140000</v>
      </c>
      <c r="H26" s="7">
        <f>LamChanHangNgan((PhiInKM4M_BHR70($A26*H$23/$D$16*$E$16)+$A26*H$23/$D$16*$D$19)*(1+$D$17))</f>
        <v>1465000</v>
      </c>
      <c r="I26" s="7">
        <f>LamChanHangNgan((PhiInKM4M_BHR70($A26*I$23/$D$16*$E$16)+$A26*I$23/$D$16*$D$19)*(1+$D$17))</f>
        <v>1789000</v>
      </c>
      <c r="J26" s="7">
        <f>E26</f>
        <v>491000</v>
      </c>
      <c r="K26" s="7">
        <f t="shared" ref="K26:N26" si="2">F26</f>
        <v>816000</v>
      </c>
      <c r="L26" s="7">
        <f t="shared" si="2"/>
        <v>1140000</v>
      </c>
      <c r="M26" s="7">
        <f t="shared" si="2"/>
        <v>1465000</v>
      </c>
      <c r="N26" s="7">
        <f t="shared" si="2"/>
        <v>1789000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570000</v>
      </c>
      <c r="K27" s="40">
        <f>LamChanHangNgan((PhiInKM4M_BHR70($A27*F$23/$D$16*$E$16)+$A26*F$23/$D$16*$D$19+PhiMayCanMang($A27*F$23/$D$16*2, $C$15/100,$D$15/100))*(1+$D$17))</f>
        <v>922000</v>
      </c>
      <c r="L27" s="40">
        <f>LamChanHangNgan((PhiInKM4M_BHR70($A27*G$23/$D$16*$E$16)+$A26*G$23/$D$16*$D$19+PhiMayCanMang($A27*G$23/$D$16*2, $C$15/100,$D$15/100))*(1+$D$17))</f>
        <v>1273000</v>
      </c>
      <c r="M27" s="40">
        <f>LamChanHangNgan((PhiInKM4M_BHR70($A27*H$23/$D$16*$E$16)+$A26*H$23/$D$16*$D$19+PhiMayCanMang($A27*H$23/$D$16*2, $C$15/100,$D$15/100))*(1+$D$17))</f>
        <v>1624000</v>
      </c>
      <c r="N27" s="40">
        <f>LamChanHangNgan((PhiInKM4M_BHR70($A27*I$23/$D$16*$E$16)+$A26*I$23/$D$16*$D$19+PhiMayCanMang($A27*I$23/$D$16*2, $C$15/100,$D$15/100))*(1+$D$17))</f>
        <v>1976000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538000</v>
      </c>
      <c r="F28" s="7">
        <f>LamChanHangNgan((PhiInKM4M_BHR70($A28*F$23/$D$16*$E$16)+$A28*F$23/$D$16*$D$19)*(1+$D$17))</f>
        <v>908000</v>
      </c>
      <c r="G28" s="7">
        <f>LamChanHangNgan((PhiInKM4M_BHR70($A28*G$23/$D$16*$E$16)+$A28*G$23/$D$16*$D$19)*(1+$D$17))</f>
        <v>1279000</v>
      </c>
      <c r="H28" s="7">
        <f>LamChanHangNgan((PhiInKM4M_BHR70($A28*H$23/$D$16*$E$16)+$A28*H$23/$D$16*$D$19)*(1+$D$17))</f>
        <v>1650000</v>
      </c>
      <c r="I28" s="7">
        <f>LamChanHangNgan((PhiInKM4M_BHR70($A28*I$23/$D$16*$E$16)+$A28*I$23/$D$16*$D$19)*(1+$D$17))</f>
        <v>2021000</v>
      </c>
      <c r="J28" s="7">
        <f>E28</f>
        <v>538000</v>
      </c>
      <c r="K28" s="7">
        <f t="shared" ref="K28:N28" si="3">F28</f>
        <v>908000</v>
      </c>
      <c r="L28" s="7">
        <f t="shared" si="3"/>
        <v>1279000</v>
      </c>
      <c r="M28" s="7">
        <f t="shared" si="3"/>
        <v>1650000</v>
      </c>
      <c r="N28" s="7">
        <f t="shared" si="3"/>
        <v>2021000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620000</v>
      </c>
      <c r="K29" s="40">
        <f>LamChanHangNgan((PhiInKM4M_BHR70($A29*F$23/$D$16*$E$16)+$A28*F$23/$D$16*$D$19+PhiMayCanMang($A29*F$23/$D$16*2, $C$15/100,$D$15/100))*(1+$D$17))</f>
        <v>1022000</v>
      </c>
      <c r="L29" s="40">
        <f>LamChanHangNgan((PhiInKM4M_BHR70($A29*G$23/$D$16*$E$16)+$A28*G$23/$D$16*$D$19+PhiMayCanMang($A29*G$23/$D$16*2, $C$15/100,$D$15/100))*(1+$D$17))</f>
        <v>1424000</v>
      </c>
      <c r="M29" s="40">
        <f>LamChanHangNgan((PhiInKM4M_BHR70($A29*H$23/$D$16*$E$16)+$A28*H$23/$D$16*$D$19+PhiMayCanMang($A29*H$23/$D$16*2, $C$15/100,$D$15/100))*(1+$D$17))</f>
        <v>1825000</v>
      </c>
      <c r="N29" s="40">
        <f>LamChanHangNgan((PhiInKM4M_BHR70($A29*I$23/$D$16*$E$16)+$A28*I$23/$D$16*$D$19+PhiMayCanMang($A29*I$23/$D$16*2, $C$15/100,$D$15/100))*(1+$D$17))</f>
        <v>2227000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584000</v>
      </c>
      <c r="F30" s="7">
        <f>LamChanHangNgan((PhiInKM4M_BHR70($A30*F$23/$D$16*$E$16)+$A30*F$23/$D$16*$D$19)*(1+$D$17))</f>
        <v>1001000</v>
      </c>
      <c r="G30" s="7">
        <f>LamChanHangNgan((PhiInKM4M_BHR70($A30*G$23/$D$16*$E$16)+$A30*G$23/$D$16*$D$19)*(1+$D$17))</f>
        <v>1419000</v>
      </c>
      <c r="H30" s="7">
        <f>LamChanHangNgan((PhiInKM4M_BHR70($A30*H$23/$D$16*$E$16)+$A30*H$23/$D$16*$D$19)*(1+$D$17))</f>
        <v>1836000</v>
      </c>
      <c r="I30" s="7">
        <f>LamChanHangNgan((PhiInKM4M_BHR70($A30*I$23/$D$16*$E$16)+$A30*I$23/$D$16*$D$19)*(1+$D$17))</f>
        <v>2253000</v>
      </c>
      <c r="J30" s="7">
        <f>E30</f>
        <v>584000</v>
      </c>
      <c r="K30" s="7">
        <f t="shared" ref="K30:N30" si="4">F30</f>
        <v>1001000</v>
      </c>
      <c r="L30" s="7">
        <f t="shared" si="4"/>
        <v>1419000</v>
      </c>
      <c r="M30" s="7">
        <f t="shared" si="4"/>
        <v>1836000</v>
      </c>
      <c r="N30" s="7">
        <f t="shared" si="4"/>
        <v>2253000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671000</v>
      </c>
      <c r="K31" s="40">
        <f>LamChanHangNgan((PhiInKM4M_BHR70($A31*F$23/$D$16*$E$16)+$A30*F$23/$D$16*$D$19+PhiMayCanMang($A31*F$23/$D$16*2, $C$15/100,$D$15/100))*(1+$D$17))</f>
        <v>1122000</v>
      </c>
      <c r="L31" s="40">
        <f>LamChanHangNgan((PhiInKM4M_BHR70($A31*G$23/$D$16*$E$16)+$A30*G$23/$D$16*$D$19+PhiMayCanMang($A31*G$23/$D$16*2, $C$15/100,$D$15/100))*(1+$D$17))</f>
        <v>1574000</v>
      </c>
      <c r="M31" s="40">
        <f>LamChanHangNgan((PhiInKM4M_BHR70($A31*H$23/$D$16*$E$16)+$A30*H$23/$D$16*$D$19+PhiMayCanMang($A31*H$23/$D$16*2, $C$15/100,$D$15/100))*(1+$D$17))</f>
        <v>2026000</v>
      </c>
      <c r="N31" s="40">
        <f>LamChanHangNgan((PhiInKM4M_BHR70($A31*I$23/$D$16*$E$16)+$A30*I$23/$D$16*$D$19+PhiMayCanMang($A31*I$23/$D$16*2, $C$15/100,$D$15/100))*(1+$D$17))</f>
        <v>2478000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630000</v>
      </c>
      <c r="F32" s="7">
        <f>LamChanHangNgan((PhiInKM4M_BHR70($A32*F$23/$D$16*$E$16)+$A32*F$23/$D$16*$D$19)*(1+$D$17))</f>
        <v>1094000</v>
      </c>
      <c r="G32" s="7">
        <f>LamChanHangNgan((PhiInKM4M_BHR70($A32*G$23/$D$16*$E$16)+$A32*G$23/$D$16*$D$19)*(1+$D$17))</f>
        <v>1558000</v>
      </c>
      <c r="H32" s="7">
        <f>LamChanHangNgan((PhiInKM4M_BHR70($A32*H$23/$D$16*$E$16)+$A32*H$23/$D$16*$D$19)*(1+$D$17))</f>
        <v>2021000</v>
      </c>
      <c r="I32" s="7">
        <f>LamChanHangNgan((PhiInKM4M_BHR70($A32*I$23/$D$16*$E$16)+$A32*I$23/$D$16*$D$19)*(1+$D$17))</f>
        <v>2485000</v>
      </c>
      <c r="J32" s="7">
        <f>E32</f>
        <v>630000</v>
      </c>
      <c r="K32" s="7">
        <f t="shared" ref="K32:N32" si="5">F32</f>
        <v>1094000</v>
      </c>
      <c r="L32" s="7">
        <f t="shared" si="5"/>
        <v>1558000</v>
      </c>
      <c r="M32" s="7">
        <f t="shared" si="5"/>
        <v>2021000</v>
      </c>
      <c r="N32" s="7">
        <f t="shared" si="5"/>
        <v>2485000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721000</v>
      </c>
      <c r="K33" s="40">
        <f>LamChanHangNgan((PhiInKM4M_BHR70($A33*F$23/$D$16*$E$16)+$A32*F$23/$D$16*$D$19+PhiMayCanMang($A33*F$23/$D$16*2, $C$15/100,$D$15/100))*(1+$D$17))</f>
        <v>1223000</v>
      </c>
      <c r="L33" s="40">
        <f>LamChanHangNgan((PhiInKM4M_BHR70($A33*G$23/$D$16*$E$16)+$A32*G$23/$D$16*$D$19+PhiMayCanMang($A33*G$23/$D$16*2, $C$15/100,$D$15/100))*(1+$D$17))</f>
        <v>1725000</v>
      </c>
      <c r="M33" s="40">
        <f>LamChanHangNgan((PhiInKM4M_BHR70($A33*H$23/$D$16*$E$16)+$A32*H$23/$D$16*$D$19+PhiMayCanMang($A33*H$23/$D$16*2, $C$15/100,$D$15/100))*(1+$D$17))</f>
        <v>2227000</v>
      </c>
      <c r="N33" s="40">
        <f>LamChanHangNgan((PhiInKM4M_BHR70($A33*I$23/$D$16*$E$16)+$A32*I$23/$D$16*$D$19+PhiMayCanMang($A33*I$23/$D$16*2, $C$15/100,$D$15/100))*(1+$D$17))</f>
        <v>2729000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677000</v>
      </c>
      <c r="F34" s="7">
        <f>LamChanHangNgan((PhiInKM4M_BHR70($A34*F$23/$D$16*$E$16)+$A34*F$23/$D$16*$D$19)*(1+$D$17))</f>
        <v>1187000</v>
      </c>
      <c r="G34" s="7">
        <f>LamChanHangNgan((PhiInKM4M_BHR70($A34*G$23/$D$16*$E$16)+$A34*G$23/$D$16*$D$19)*(1+$D$17))</f>
        <v>1697000</v>
      </c>
      <c r="H34" s="7">
        <f>LamChanHangNgan((PhiInKM4M_BHR70($A34*H$23/$D$16*$E$16)+$A34*H$23/$D$16*$D$19)*(1+$D$17))</f>
        <v>2207000</v>
      </c>
      <c r="I34" s="7">
        <f>LamChanHangNgan((PhiInKM4M_BHR70($A34*I$23/$D$16*$E$16)+$A34*I$23/$D$16*$D$19)*(1+$D$17))</f>
        <v>2717000</v>
      </c>
      <c r="J34" s="7">
        <f>E34</f>
        <v>677000</v>
      </c>
      <c r="K34" s="7">
        <f t="shared" ref="K34:N34" si="6">F34</f>
        <v>1187000</v>
      </c>
      <c r="L34" s="7">
        <f t="shared" si="6"/>
        <v>1697000</v>
      </c>
      <c r="M34" s="7">
        <f t="shared" si="6"/>
        <v>2207000</v>
      </c>
      <c r="N34" s="7">
        <f t="shared" si="6"/>
        <v>2717000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771000</v>
      </c>
      <c r="K35" s="40">
        <f>LamChanHangNgan((PhiInKM4M_BHR70($A35*F$23/$D$16*$E$16)+$A34*F$23/$D$16*$D$19+PhiMayCanMang($A35*F$23/$D$16*2, $C$15/100,$D$15/100))*(1+$D$17))</f>
        <v>1323000</v>
      </c>
      <c r="L35" s="40">
        <f>LamChanHangNgan((PhiInKM4M_BHR70($A35*G$23/$D$16*$E$16)+$A34*G$23/$D$16*$D$19+PhiMayCanMang($A35*G$23/$D$16*2, $C$15/100,$D$15/100))*(1+$D$17))</f>
        <v>1875000</v>
      </c>
      <c r="M35" s="40">
        <f>LamChanHangNgan((PhiInKM4M_BHR70($A35*H$23/$D$16*$E$16)+$A34*H$23/$D$16*$D$19+PhiMayCanMang($A35*H$23/$D$16*2, $C$15/100,$D$15/100))*(1+$D$17))</f>
        <v>2428000</v>
      </c>
      <c r="N35" s="40">
        <f>LamChanHangNgan((PhiInKM4M_BHR70($A35*I$23/$D$16*$E$16)+$A34*I$23/$D$16*$D$19+PhiMayCanMang($A35*I$23/$D$16*2, $C$15/100,$D$15/100))*(1+$D$17))</f>
        <v>2980000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723000</v>
      </c>
      <c r="F36" s="7">
        <f>LamChanHangNgan((PhiInKM4M_BHR70($A36*F$23/$D$16*$E$16)+$A36*F$23/$D$16*$D$19)*(1+$D$17))</f>
        <v>1279000</v>
      </c>
      <c r="G36" s="7">
        <f>LamChanHangNgan((PhiInKM4M_BHR70($A36*G$23/$D$16*$E$16)+$A36*G$23/$D$16*$D$19)*(1+$D$17))</f>
        <v>1836000</v>
      </c>
      <c r="H36" s="7">
        <f>LamChanHangNgan((PhiInKM4M_BHR70($A36*H$23/$D$16*$E$16)+$A36*H$23/$D$16*$D$19)*(1+$D$17))</f>
        <v>2392000</v>
      </c>
      <c r="I36" s="7">
        <f>LamChanHangNgan((PhiInKM4M_BHR70($A36*I$23/$D$16*$E$16)+$A36*I$23/$D$16*$D$19)*(1+$D$17))</f>
        <v>2949000</v>
      </c>
      <c r="J36" s="7">
        <f>E36</f>
        <v>723000</v>
      </c>
      <c r="K36" s="7">
        <f t="shared" ref="K36:N36" si="7">F36</f>
        <v>1279000</v>
      </c>
      <c r="L36" s="7">
        <f t="shared" si="7"/>
        <v>1836000</v>
      </c>
      <c r="M36" s="7">
        <f t="shared" si="7"/>
        <v>2392000</v>
      </c>
      <c r="N36" s="7">
        <f t="shared" si="7"/>
        <v>2949000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821000</v>
      </c>
      <c r="K37" s="40">
        <f>LamChanHangNgan((PhiInKM4M_BHR70($A37*F$23/$D$16*$E$16)+$A36*F$23/$D$16*$D$19+PhiMayCanMang($A37*F$23/$D$16*2, $C$15/100,$D$15/100))*(1+$D$17))</f>
        <v>1424000</v>
      </c>
      <c r="L37" s="40">
        <f>LamChanHangNgan((PhiInKM4M_BHR70($A37*G$23/$D$16*$E$16)+$A36*G$23/$D$16*$D$19+PhiMayCanMang($A37*G$23/$D$16*2, $C$15/100,$D$15/100))*(1+$D$17))</f>
        <v>2026000</v>
      </c>
      <c r="M37" s="40">
        <f>LamChanHangNgan((PhiInKM4M_BHR70($A37*H$23/$D$16*$E$16)+$A36*H$23/$D$16*$D$19+PhiMayCanMang($A37*H$23/$D$16*2, $C$15/100,$D$15/100))*(1+$D$17))</f>
        <v>2628000</v>
      </c>
      <c r="N37" s="40">
        <f>LamChanHangNgan((PhiInKM4M_BHR70($A37*I$23/$D$16*$E$16)+$A36*I$23/$D$16*$D$19+PhiMayCanMang($A37*I$23/$D$16*2, $C$15/100,$D$15/100))*(1+$D$17))</f>
        <v>3231000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22262.2228</v>
      </c>
      <c r="F41" s="7">
        <f t="shared" ref="F41:I41" si="8">PhiLDPT_XepDotVoCuonLX(F$23)+$B$41*$C$13/100</f>
        <v>25151.111700000001</v>
      </c>
      <c r="G41" s="7">
        <f t="shared" si="8"/>
        <v>28040.000700000001</v>
      </c>
      <c r="H41" s="7">
        <f t="shared" si="8"/>
        <v>30928.8897</v>
      </c>
      <c r="I41" s="7">
        <f t="shared" si="8"/>
        <v>33817.778699999995</v>
      </c>
    </row>
    <row r="42" spans="1:14" x14ac:dyDescent="0.25">
      <c r="A42" s="2"/>
      <c r="D42" t="s">
        <v>317</v>
      </c>
      <c r="E42" s="7">
        <f>E$41*(1+$D$17)</f>
        <v>38958.889900000002</v>
      </c>
      <c r="F42" s="7">
        <f t="shared" ref="F42:I42" si="9">F$41*(1+$D$17)</f>
        <v>44014.445475</v>
      </c>
      <c r="G42" s="7">
        <f t="shared" si="9"/>
        <v>49070.001225</v>
      </c>
      <c r="H42" s="7">
        <f t="shared" si="9"/>
        <v>54125.556975</v>
      </c>
      <c r="I42" s="7">
        <f t="shared" si="9"/>
        <v>59181.112724999992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215337.5</v>
      </c>
      <c r="F26" s="7">
        <f>PhiInKM4M_BHR70(F$25*$E$16*2)*(1+$D$17)</f>
        <v>263550</v>
      </c>
      <c r="G26" s="7">
        <f>PhiInKM4M_BHR70(G$25*$E$16*2)*(1+$D$17)</f>
        <v>311762.5</v>
      </c>
      <c r="H26" s="7">
        <f>PhiInKM4M_BHR70(H$25*$E$16*2)*(1+$D$17)</f>
        <v>359975</v>
      </c>
      <c r="I26" s="7">
        <f>PhiInKM4M_BHR70(I$25*$E$16*2)*(1+$D$17)</f>
        <v>408187.5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62048.123375000003</v>
      </c>
      <c r="F28" s="7">
        <f>(PhiMayCanMang(F$25*2,$C$15/100,$D$15/100) + PhiMangCan(F$25*2,$C$15/100,$D$15/100,$D$21))*(1+$D$17)</f>
        <v>72441.393850000008</v>
      </c>
      <c r="G28" s="7">
        <f>(PhiMayCanMang(G$25*2,$C$15/100,$D$15/100) + PhiMangCan(G$25*2,$C$15/100,$D$15/100,$D$21))*(1+$D$17)</f>
        <v>82427.017924999993</v>
      </c>
      <c r="H28" s="7">
        <f>(PhiMayCanMang(H$25*2,$C$15/100,$D$15/100) + PhiMangCan(H$25*2,$C$15/100,$D$15/100,$D$21))*(1+$D$17)</f>
        <v>92820.287349999999</v>
      </c>
      <c r="I28" s="7">
        <f>(PhiMayCanMang(I$25*2,$C$15/100,$D$15/100) + PhiMangCan(I$25*2,$C$15/100,$D$15/100,$D$21))*(1+$D$17)</f>
        <v>102805.911775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237000</v>
      </c>
      <c r="F30" s="25">
        <f t="shared" ref="F30:I30" si="2">LamChanHangNgan(F$26+F$27+F$29)</f>
        <v>308000</v>
      </c>
      <c r="G30" s="25">
        <f t="shared" si="2"/>
        <v>378000</v>
      </c>
      <c r="H30" s="25">
        <f t="shared" si="2"/>
        <v>449000</v>
      </c>
      <c r="I30" s="25">
        <f t="shared" si="2"/>
        <v>519000</v>
      </c>
    </row>
    <row r="31" spans="1:9" x14ac:dyDescent="0.25">
      <c r="C31" t="s">
        <v>330</v>
      </c>
      <c r="E31" s="25">
        <f>LamChanHangNgan(E$26+E$27+E$28+E$29)</f>
        <v>299000</v>
      </c>
      <c r="F31" s="25">
        <f t="shared" ref="F31:I31" si="3">LamChanHangNgan(F$26+F$27+F$28+F$29)</f>
        <v>380000</v>
      </c>
      <c r="G31" s="25">
        <f t="shared" si="3"/>
        <v>460000</v>
      </c>
      <c r="H31" s="25">
        <f t="shared" si="3"/>
        <v>541000</v>
      </c>
      <c r="I31" s="25">
        <f t="shared" si="3"/>
        <v>622000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223774.6875</v>
      </c>
      <c r="F33" s="26">
        <f>PhiInKM4M_BHR70(F32*$E$16*2)*(1+$D$17)</f>
        <v>279219.0625</v>
      </c>
      <c r="G33" s="26">
        <f>PhiInKM4M_BHR70(G32*$E$16*2)*(1+$D$17)</f>
        <v>335868.75</v>
      </c>
      <c r="H33" s="26">
        <f>PhiInKM4M_BHR70(H32*$E$16*2)*(1+$D$17)</f>
        <v>392518.4375</v>
      </c>
      <c r="I33" s="26">
        <f>PhiInKM4M_BHR70(I32*$E$16*2)*(1+$D$17)</f>
        <v>447962.8125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63810.937400000003</v>
      </c>
      <c r="F35" s="26">
        <f>(PhiMayCanMang(F32*2,$C$15/100,$D$15/100) + PhiMangCan(F32*2,$C$15/100,$D$15/100,$D$21))*(1+$D$17)</f>
        <v>75875.215324999997</v>
      </c>
      <c r="G35" s="26">
        <f>(PhiMayCanMang(G32*2,$C$15/100,$D$15/100) + PhiMangCan(G32*2,$C$15/100,$D$15/100,$D$21))*(1+$D$17)</f>
        <v>87623.652724999993</v>
      </c>
      <c r="H35" s="26">
        <f>(PhiMayCanMang(H32*2,$C$15/100,$D$15/100) + PhiMangCan(H32*2,$C$15/100,$D$15/100,$D$21))*(1+$D$17)</f>
        <v>99372.090125000002</v>
      </c>
      <c r="I35" s="26">
        <f>(PhiMayCanMang(I32*2,$C$15/100,$D$15/100) + PhiMangCan(I32*2,$C$15/100,$D$15/100,$D$21))*(1+$D$17)</f>
        <v>111436.367875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249000</v>
      </c>
      <c r="F37" s="42">
        <f t="shared" ref="F37:I37" si="6">LamChanHangNgan(F33+F34+F36)</f>
        <v>331000</v>
      </c>
      <c r="G37" s="42">
        <f t="shared" si="6"/>
        <v>413000</v>
      </c>
      <c r="H37" s="42">
        <f t="shared" si="6"/>
        <v>496000</v>
      </c>
      <c r="I37" s="42">
        <f t="shared" si="6"/>
        <v>577000</v>
      </c>
    </row>
    <row r="38" spans="1:9" x14ac:dyDescent="0.25">
      <c r="C38" t="s">
        <v>330</v>
      </c>
      <c r="E38" s="42">
        <f>LamChanHangNgan(E33+E34+E35+E36)</f>
        <v>313000</v>
      </c>
      <c r="F38" s="42">
        <f t="shared" ref="F38:I38" si="7">LamChanHangNgan(F33+F34+F35+F36)</f>
        <v>407000</v>
      </c>
      <c r="G38" s="42">
        <f t="shared" si="7"/>
        <v>501000</v>
      </c>
      <c r="H38" s="42">
        <f t="shared" si="7"/>
        <v>595000</v>
      </c>
      <c r="I38" s="42">
        <f t="shared" si="7"/>
        <v>689000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231006.5625</v>
      </c>
      <c r="F40">
        <f>PhiInKM4M_BHR70(F39*$E$16*2)*(1+$D$17)</f>
        <v>296093.4375</v>
      </c>
      <c r="G40">
        <f>PhiInKM4M_BHR70(G39*$E$16*2)*(1+$D$17)</f>
        <v>359975</v>
      </c>
      <c r="H40">
        <f>PhiInKM4M_BHR70(H39*$E$16*2)*(1+$D$17)</f>
        <v>423856.5625</v>
      </c>
      <c r="I40">
        <f>PhiInKM4M_BHR70(I39*$E$16*2)*(1+$D$17)</f>
        <v>488943.4375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65889.591950000002</v>
      </c>
      <c r="F42">
        <f>(PhiMayCanMang(F39*2,$C$15/100,$D$15/100) + PhiMangCan(F39*2,$C$15/100,$D$15/100,$D$21))*(1+$D$17)</f>
        <v>78993.196450000003</v>
      </c>
      <c r="G42">
        <f>(PhiMayCanMang(G39*2,$C$15/100,$D$15/100) + PhiMangCan(G39*2,$C$15/100,$D$15/100,$D$21))*(1+$D$17)</f>
        <v>92820.287349999999</v>
      </c>
      <c r="H42">
        <f>(PhiMayCanMang(H39*2,$C$15/100,$D$15/100) + PhiMangCan(H39*2,$C$15/100,$D$15/100,$D$21))*(1+$D$17)</f>
        <v>106239.73324999999</v>
      </c>
      <c r="I42">
        <f>(PhiMayCanMang(I39*2,$C$15/100,$D$15/100) + PhiMangCan(I39*2,$C$15/100,$D$15/100,$D$21))*(1+$D$17)</f>
        <v>119750.9817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260000</v>
      </c>
      <c r="F44" s="25">
        <f t="shared" ref="F44:I44" si="10">LamChanHangNgan(F40+F41+F43)</f>
        <v>355000</v>
      </c>
      <c r="G44" s="25">
        <f t="shared" si="10"/>
        <v>449000</v>
      </c>
      <c r="H44" s="25">
        <f t="shared" si="10"/>
        <v>542000</v>
      </c>
      <c r="I44" s="25">
        <f t="shared" si="10"/>
        <v>637000</v>
      </c>
    </row>
    <row r="45" spans="1:9" x14ac:dyDescent="0.25">
      <c r="C45" t="s">
        <v>330</v>
      </c>
      <c r="E45" s="25">
        <f>LamChanHangNgan(E40+E41+E42+E43)</f>
        <v>326000</v>
      </c>
      <c r="F45" s="25">
        <f t="shared" ref="F45:I45" si="11">LamChanHangNgan(F40+F41+F42+F43)</f>
        <v>434000</v>
      </c>
      <c r="G45" s="25">
        <f t="shared" si="11"/>
        <v>541000</v>
      </c>
      <c r="H45" s="25">
        <f t="shared" si="11"/>
        <v>648000</v>
      </c>
      <c r="I45" s="25">
        <f t="shared" si="11"/>
        <v>757000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239443.75</v>
      </c>
      <c r="F47">
        <f>PhiInKM4M_BHR70(F46*$E$16*2)*(1+$D$17)</f>
        <v>311762.5</v>
      </c>
      <c r="G47">
        <f>PhiInKM4M_BHR70(G46*$E$16*2)*(1+$D$17)</f>
        <v>384081.25</v>
      </c>
      <c r="H47">
        <f>PhiInKM4M_BHR70(H46*$E$16*2)*(1+$D$17)</f>
        <v>456400</v>
      </c>
      <c r="I47">
        <f>PhiInKM4M_BHR70(I46*$E$16*2)*(1+$D$17)</f>
        <v>528718.75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67244.759049999993</v>
      </c>
      <c r="F49">
        <f>(PhiMayCanMang(F46*2,$C$15/100,$D$15/100) + PhiMangCan(F46*2,$C$15/100,$D$15/100,$D$21))*(1+$D$17)</f>
        <v>82427.017924999993</v>
      </c>
      <c r="G49">
        <f>(PhiMayCanMang(G46*2,$C$15/100,$D$15/100) + PhiMangCan(G46*2,$C$15/100,$D$15/100,$D$21))*(1+$D$17)</f>
        <v>97609.275049999997</v>
      </c>
      <c r="H49">
        <f>(PhiMayCanMang(H46*2,$C$15/100,$D$15/100) + PhiMangCan(H46*2,$C$15/100,$D$15/100,$D$21))*(1+$D$17)</f>
        <v>112791.53602499999</v>
      </c>
      <c r="I49">
        <f>(PhiMayCanMang(I46*2,$C$15/100,$D$15/100) + PhiMangCan(I46*2,$C$15/100,$D$15/100,$D$21))*(1+$D$17)</f>
        <v>127973.79315000001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272000</v>
      </c>
      <c r="F51" s="25">
        <f t="shared" ref="F51:I51" si="14">LamChanHangNgan(F47+F48+F50)</f>
        <v>378000</v>
      </c>
      <c r="G51" s="25">
        <f t="shared" si="14"/>
        <v>484000</v>
      </c>
      <c r="H51" s="25">
        <f t="shared" si="14"/>
        <v>589000</v>
      </c>
      <c r="I51" s="25">
        <f t="shared" si="14"/>
        <v>695000</v>
      </c>
    </row>
    <row r="52" spans="1:9" x14ac:dyDescent="0.25">
      <c r="C52" t="s">
        <v>330</v>
      </c>
      <c r="E52" s="25">
        <f>LamChanHangNgan(E47+E48+E49+E50)</f>
        <v>340000</v>
      </c>
      <c r="F52" s="25">
        <f t="shared" ref="F52:I52" si="15">LamChanHangNgan(F47+F48+F49+F50)</f>
        <v>460000</v>
      </c>
      <c r="G52" s="25">
        <f t="shared" si="15"/>
        <v>581000</v>
      </c>
      <c r="H52" s="25">
        <f t="shared" si="15"/>
        <v>702000</v>
      </c>
      <c r="I52" s="25">
        <f t="shared" si="15"/>
        <v>823000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247880.9375</v>
      </c>
      <c r="F54">
        <f>PhiInKM4M_BHR70(F53*$E$16*2)*(1+$D$17)</f>
        <v>327431.5625</v>
      </c>
      <c r="G54">
        <f>PhiInKM4M_BHR70(G53*$E$16*2)*(1+$D$17)</f>
        <v>408187.5</v>
      </c>
      <c r="H54">
        <f>PhiInKM4M_BHR70(H53*$E$16*2)*(1+$D$17)</f>
        <v>488943.4375</v>
      </c>
      <c r="I54">
        <f>PhiInKM4M_BHR70(I53*$E$16*2)*(1+$D$17)</f>
        <v>568494.0625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69007.573074999993</v>
      </c>
      <c r="F56">
        <f>(PhiMayCanMang(F53*2,$C$15/100,$D$15/100) + PhiMangCan(F53*2,$C$15/100,$D$15/100,$D$21))*(1+$D$17)</f>
        <v>85860.837650000001</v>
      </c>
      <c r="G56">
        <f>(PhiMayCanMang(G53*2,$C$15/100,$D$15/100) + PhiMangCan(G53*2,$C$15/100,$D$15/100,$D$21))*(1+$D$17)</f>
        <v>102805.911775</v>
      </c>
      <c r="H56">
        <f>(PhiMayCanMang(H53*2,$C$15/100,$D$15/100) + PhiMangCan(H53*2,$C$15/100,$D$15/100,$D$21))*(1+$D$17)</f>
        <v>119750.9817</v>
      </c>
      <c r="I56">
        <f>(PhiMayCanMang(I53*2,$C$15/100,$D$15/100) + PhiMangCan(I53*2,$C$15/100,$D$15/100,$D$21))*(1+$D$17)</f>
        <v>136604.25134999998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284000</v>
      </c>
      <c r="F58" s="25">
        <f t="shared" ref="F58:I58" si="18">LamChanHangNgan(F54+F55+F57)</f>
        <v>401000</v>
      </c>
      <c r="G58" s="25">
        <f t="shared" si="18"/>
        <v>519000</v>
      </c>
      <c r="H58" s="25">
        <f t="shared" si="18"/>
        <v>637000</v>
      </c>
      <c r="I58" s="25">
        <f t="shared" si="18"/>
        <v>753000</v>
      </c>
    </row>
    <row r="59" spans="1:9" ht="14.25" customHeight="1" x14ac:dyDescent="0.25">
      <c r="C59" t="s">
        <v>330</v>
      </c>
      <c r="E59" s="25">
        <f>LamChanHangNgan(E54+E55+E56+E57)</f>
        <v>353000</v>
      </c>
      <c r="F59" s="25">
        <f t="shared" ref="F59:I59" si="19">LamChanHangNgan(F54+F55+F56+F57)</f>
        <v>487000</v>
      </c>
      <c r="G59" s="25">
        <f t="shared" si="19"/>
        <v>622000</v>
      </c>
      <c r="H59" s="25">
        <f t="shared" si="19"/>
        <v>757000</v>
      </c>
      <c r="I59" s="25">
        <f t="shared" si="19"/>
        <v>890000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255112.8125</v>
      </c>
      <c r="F61">
        <f>PhiInKM4M_BHR70(F60*$E$16*2)*(1+$D$17)</f>
        <v>344305.9375</v>
      </c>
      <c r="G61">
        <f>PhiInKM4M_BHR70(G60*$E$16*2)*(1+$D$17)</f>
        <v>432293.75</v>
      </c>
      <c r="H61">
        <f>PhiInKM4M_BHR70(H60*$E$16*2)*(1+$D$17)</f>
        <v>520281.5625</v>
      </c>
      <c r="I61">
        <f>PhiInKM4M_BHR70(I60*$E$16*2)*(1+$D$17)</f>
        <v>609474.6875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70678.579475000006</v>
      </c>
      <c r="F63">
        <f>(PhiMayCanMang(F60*2,$C$15/100,$D$15/100) + PhiMangCan(F60*2,$C$15/100,$D$15/100,$D$21))*(1+$D$17)</f>
        <v>88978.818775000007</v>
      </c>
      <c r="G63">
        <f>(PhiMayCanMang(G60*2,$C$15/100,$D$15/100) + PhiMangCan(G60*2,$C$15/100,$D$15/100,$D$21))*(1+$D$17)</f>
        <v>108002.544475</v>
      </c>
      <c r="H63">
        <f>(PhiMayCanMang(H60*2,$C$15/100,$D$15/100) + PhiMangCan(H60*2,$C$15/100,$D$15/100,$D$21))*(1+$D$17)</f>
        <v>126618.625</v>
      </c>
      <c r="I63">
        <f>(PhiMayCanMang(I60*2,$C$15/100,$D$15/100) + PhiMangCan(I60*2,$C$15/100,$D$15/100,$D$21))*(1+$D$17)</f>
        <v>144918.86517500001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295000</v>
      </c>
      <c r="F65" s="25">
        <f t="shared" ref="F65:I65" si="22">LamChanHangNgan(F61+F62+F64)</f>
        <v>425000</v>
      </c>
      <c r="G65" s="25">
        <f t="shared" si="22"/>
        <v>554000</v>
      </c>
      <c r="H65" s="25">
        <f t="shared" si="22"/>
        <v>683000</v>
      </c>
      <c r="I65" s="25">
        <f t="shared" si="22"/>
        <v>813000</v>
      </c>
    </row>
    <row r="66" spans="1:9" x14ac:dyDescent="0.25">
      <c r="C66" t="s">
        <v>330</v>
      </c>
      <c r="E66" s="25">
        <f>LamChanHangNgan(E61+E62+E63+E64)</f>
        <v>366000</v>
      </c>
      <c r="F66" s="25">
        <f t="shared" ref="F66:I66" si="23">LamChanHangNgan(F61+F62+F63+F64)</f>
        <v>514000</v>
      </c>
      <c r="G66" s="25">
        <f t="shared" si="23"/>
        <v>662000</v>
      </c>
      <c r="H66" s="25">
        <f t="shared" si="23"/>
        <v>810000</v>
      </c>
      <c r="I66" s="25">
        <f t="shared" si="23"/>
        <v>958000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263550</v>
      </c>
      <c r="F68">
        <f>PhiInKM4M_BHR70(F67*$E$16*2)*(1+$D$17)</f>
        <v>359975</v>
      </c>
      <c r="G68">
        <f>PhiInKM4M_BHR70(G67*$E$16*2)*(1+$D$17)</f>
        <v>456400</v>
      </c>
      <c r="H68">
        <f>PhiInKM4M_BHR70(H67*$E$16*2)*(1+$D$17)</f>
        <v>552825</v>
      </c>
      <c r="I68">
        <f>PhiInKM4M_BHR70(I67*$E$16*2)*(1+$D$17)</f>
        <v>649250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72441.393850000008</v>
      </c>
      <c r="F70">
        <f>(PhiMayCanMang(F67*2,$C$15/100,$D$15/100) + PhiMangCan(F67*2,$C$15/100,$D$15/100,$D$21))*(1+$D$17)</f>
        <v>92820.287349999999</v>
      </c>
      <c r="G70">
        <f>(PhiMayCanMang(G67*2,$C$15/100,$D$15/100) + PhiMangCan(G67*2,$C$15/100,$D$15/100,$D$21))*(1+$D$17)</f>
        <v>112791.53602499999</v>
      </c>
      <c r="H70">
        <f>(PhiMayCanMang(H67*2,$C$15/100,$D$15/100) + PhiMangCan(H67*2,$C$15/100,$D$15/100,$D$21))*(1+$D$17)</f>
        <v>133170.4276</v>
      </c>
      <c r="I70">
        <f>(PhiMayCanMang(I67*2,$C$15/100,$D$15/100) + PhiMangCan(I67*2,$C$15/100,$D$15/100,$D$21))*(1+$D$17)</f>
        <v>153549.32337499998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308000</v>
      </c>
      <c r="F72" s="25">
        <f t="shared" ref="F72:I72" si="26">LamChanHangNgan(F68+F69+F71)</f>
        <v>449000</v>
      </c>
      <c r="G72" s="25">
        <f t="shared" si="26"/>
        <v>589000</v>
      </c>
      <c r="H72" s="25">
        <f t="shared" si="26"/>
        <v>730000</v>
      </c>
      <c r="I72" s="25">
        <f t="shared" si="26"/>
        <v>871000</v>
      </c>
    </row>
    <row r="73" spans="1:9" x14ac:dyDescent="0.25">
      <c r="C73" t="s">
        <v>330</v>
      </c>
      <c r="E73" s="25">
        <f>LamChanHangNgan(E68+E69+E70+E71)</f>
        <v>380000</v>
      </c>
      <c r="F73" s="25">
        <f t="shared" ref="F73:I73" si="27">LamChanHangNgan(F68+F69+F70+F71)</f>
        <v>541000</v>
      </c>
      <c r="G73" s="25">
        <f t="shared" si="27"/>
        <v>702000</v>
      </c>
      <c r="H73" s="25">
        <f t="shared" si="27"/>
        <v>864000</v>
      </c>
      <c r="I73" s="25">
        <f t="shared" si="27"/>
        <v>1025000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G19" sqref="G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363</v>
      </c>
    </row>
    <row r="2" spans="1:13" x14ac:dyDescent="0.25">
      <c r="A2" t="s">
        <v>364</v>
      </c>
      <c r="D2" t="s">
        <v>365</v>
      </c>
    </row>
    <row r="3" spans="1:13" x14ac:dyDescent="0.25">
      <c r="A3" t="s">
        <v>366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371</v>
      </c>
      <c r="E18" t="s">
        <v>217</v>
      </c>
    </row>
    <row r="19" spans="1:9" x14ac:dyDescent="0.25">
      <c r="A19" t="s">
        <v>368</v>
      </c>
      <c r="B19" t="s">
        <v>369</v>
      </c>
      <c r="C19" t="s">
        <v>370</v>
      </c>
      <c r="D19">
        <v>6000</v>
      </c>
      <c r="E19" s="7">
        <f>D19*(1+D17)</f>
        <v>10500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367</v>
      </c>
      <c r="E25" s="7">
        <f>PhiLDPT_XepDotVoCuonLX(E$24)</f>
        <v>20222.2228</v>
      </c>
      <c r="F25" s="7">
        <f t="shared" ref="F25:I25" si="0">PhiLDPT_XepDotVoCuonLX(F$24)</f>
        <v>23111.111700000001</v>
      </c>
      <c r="G25" s="7">
        <f t="shared" si="0"/>
        <v>26000.000700000001</v>
      </c>
      <c r="H25" s="7">
        <f t="shared" si="0"/>
        <v>28888.8897</v>
      </c>
      <c r="I25" s="7">
        <f t="shared" si="0"/>
        <v>31777.778699999999</v>
      </c>
    </row>
    <row r="26" spans="1:9" x14ac:dyDescent="0.25">
      <c r="D26" t="s">
        <v>372</v>
      </c>
      <c r="E26" s="7">
        <f>$D$19*0.3*E$24</f>
        <v>18000</v>
      </c>
      <c r="F26" s="7">
        <f t="shared" ref="F26:I26" si="1">$D$19*0.3*F$24</f>
        <v>36000</v>
      </c>
      <c r="G26" s="7">
        <f t="shared" si="1"/>
        <v>54000</v>
      </c>
      <c r="H26" s="7">
        <f t="shared" si="1"/>
        <v>72000</v>
      </c>
      <c r="I26" s="7">
        <f t="shared" si="1"/>
        <v>90000</v>
      </c>
    </row>
    <row r="27" spans="1:9" x14ac:dyDescent="0.25">
      <c r="D27" t="s">
        <v>317</v>
      </c>
      <c r="E27" s="7">
        <f>(E$25+E$26)*(1+$D$17)</f>
        <v>66888.889900000009</v>
      </c>
      <c r="F27" s="7">
        <f t="shared" ref="F27:I27" si="2">(F$25+F$26)*(1+$D$17)</f>
        <v>103444.445475</v>
      </c>
      <c r="G27" s="7">
        <f t="shared" si="2"/>
        <v>140000.00122500001</v>
      </c>
      <c r="H27" s="7">
        <f t="shared" si="2"/>
        <v>176555.55697500001</v>
      </c>
      <c r="I27" s="7">
        <f t="shared" si="2"/>
        <v>213111.11272499998</v>
      </c>
    </row>
    <row r="28" spans="1:9" x14ac:dyDescent="0.25">
      <c r="D28" t="s">
        <v>356</v>
      </c>
      <c r="E28" s="7">
        <f>E$27/E$24</f>
        <v>6688.8889900000013</v>
      </c>
      <c r="F28" s="7">
        <f t="shared" ref="F28:I28" si="3">F$27/F$24</f>
        <v>5172.2222737499997</v>
      </c>
      <c r="G28" s="7">
        <f t="shared" si="3"/>
        <v>4666.6667075000005</v>
      </c>
      <c r="H28" s="7">
        <f t="shared" si="3"/>
        <v>4413.888924375</v>
      </c>
      <c r="I28" s="7">
        <f t="shared" si="3"/>
        <v>4262.2222544999995</v>
      </c>
    </row>
    <row r="29" spans="1:9" x14ac:dyDescent="0.25">
      <c r="D29" t="s">
        <v>373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239443.75</v>
      </c>
      <c r="F26" s="7">
        <f>PhiInKM4M_BHR70(F$25*$E$16*2)*(1+$D$17)</f>
        <v>311762.5</v>
      </c>
      <c r="G26" s="7">
        <f>PhiInKM4M_BHR70(G$25*$E$16*2)*(1+$D$17)</f>
        <v>384081.25</v>
      </c>
      <c r="H26" s="7">
        <f>PhiInKM4M_BHR70(H$25*$E$16*2)*(1+$D$17)</f>
        <v>456400</v>
      </c>
      <c r="I26" s="7">
        <f>PhiInKM4M_BHR70(I$25*$E$16*2)*(1+$D$17)</f>
        <v>528718.75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67244.759049999993</v>
      </c>
      <c r="F28" s="7">
        <f>(PhiMayCanMang(F$25*2,$C$15/100,$D$15/100) + PhiMangCan(F$25*2,$C$15/100,$D$15/100,$D$21))*(1+$D$17)</f>
        <v>82427.017924999993</v>
      </c>
      <c r="G28" s="7">
        <f>(PhiMayCanMang(G$25*2,$C$15/100,$D$15/100) + PhiMangCan(G$25*2,$C$15/100,$D$15/100,$D$21))*(1+$D$17)</f>
        <v>97609.275049999997</v>
      </c>
      <c r="H28" s="7">
        <f>(PhiMayCanMang(H$25*2,$C$15/100,$D$15/100) + PhiMangCan(H$25*2,$C$15/100,$D$15/100,$D$21))*(1+$D$17)</f>
        <v>112791.53602499999</v>
      </c>
      <c r="I28" s="7">
        <f>(PhiMayCanMang(I$25*2,$C$15/100,$D$15/100) + PhiMangCan(I$25*2,$C$15/100,$D$15/100,$D$21))*(1+$D$17)</f>
        <v>127973.79315000001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272000</v>
      </c>
      <c r="F30" s="25">
        <f t="shared" ref="F30:I30" si="2">LamChanHangNgan(F$26+F$27+F$29)</f>
        <v>378000</v>
      </c>
      <c r="G30" s="25">
        <f t="shared" si="2"/>
        <v>484000</v>
      </c>
      <c r="H30" s="25">
        <f t="shared" si="2"/>
        <v>589000</v>
      </c>
      <c r="I30" s="25">
        <f t="shared" si="2"/>
        <v>695000</v>
      </c>
    </row>
    <row r="31" spans="1:9" x14ac:dyDescent="0.25">
      <c r="C31" t="s">
        <v>330</v>
      </c>
      <c r="E31" s="25">
        <f>LamChanHangNgan(E$26+E$27+E$28+E$29)</f>
        <v>340000</v>
      </c>
      <c r="F31" s="25">
        <f t="shared" ref="F31:I31" si="3">LamChanHangNgan(F$26+F$27+F$28+F$29)</f>
        <v>460000</v>
      </c>
      <c r="G31" s="25">
        <f t="shared" si="3"/>
        <v>581000</v>
      </c>
      <c r="H31" s="25">
        <f t="shared" si="3"/>
        <v>702000</v>
      </c>
      <c r="I31" s="25">
        <f t="shared" si="3"/>
        <v>823000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251496.875</v>
      </c>
      <c r="F33" s="26">
        <f>PhiInKM4M_BHR70(F32*$E$16*2)*(1+$D$17)</f>
        <v>335868.75</v>
      </c>
      <c r="G33" s="26">
        <f>PhiInKM4M_BHR70(G32*$E$16*2)*(1+$D$17)</f>
        <v>420240.625</v>
      </c>
      <c r="H33" s="26">
        <f>PhiInKM4M_BHR70(H32*$E$16*2)*(1+$D$17)</f>
        <v>504612.5</v>
      </c>
      <c r="I33" s="26">
        <f>PhiInKM4M_BHR70(I32*$E$16*2)*(1+$D$17)</f>
        <v>588984.375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69639.252724999998</v>
      </c>
      <c r="F35" s="26">
        <f>(PhiMayCanMang(F32*2,$C$15/100,$D$15/100) + PhiMangCan(F32*2,$C$15/100,$D$15/100,$D$21))*(1+$D$17)</f>
        <v>87623.652724999993</v>
      </c>
      <c r="G35" s="26">
        <f>(PhiMayCanMang(G32*2,$C$15/100,$D$15/100) + PhiMangCan(G32*2,$C$15/100,$D$15/100,$D$21))*(1+$D$17)</f>
        <v>105200.40544999999</v>
      </c>
      <c r="H35" s="26">
        <f>(PhiMayCanMang(H32*2,$C$15/100,$D$15/100) + PhiMangCan(H32*2,$C$15/100,$D$15/100,$D$21))*(1+$D$17)</f>
        <v>123184.80527499999</v>
      </c>
      <c r="I35" s="26">
        <f>(PhiMayCanMang(I32*2,$C$15/100,$D$15/100) + PhiMangCan(I32*2,$C$15/100,$D$15/100,$D$21))*(1+$D$17)</f>
        <v>140761.55817499998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290000</v>
      </c>
      <c r="F37" s="42">
        <f t="shared" ref="F37:I37" si="6">LamChanHangNgan(F33+F34+F36)</f>
        <v>413000</v>
      </c>
      <c r="G37" s="42">
        <f t="shared" si="6"/>
        <v>537000</v>
      </c>
      <c r="H37" s="42">
        <f t="shared" si="6"/>
        <v>660000</v>
      </c>
      <c r="I37" s="42">
        <f t="shared" si="6"/>
        <v>783000</v>
      </c>
    </row>
    <row r="38" spans="1:9" x14ac:dyDescent="0.25">
      <c r="C38" t="s">
        <v>330</v>
      </c>
      <c r="E38" s="42">
        <f>LamChanHangNgan(E33+E34+E35+E36)</f>
        <v>360000</v>
      </c>
      <c r="F38" s="42">
        <f t="shared" ref="F38:I38" si="7">LamChanHangNgan(F33+F34+F35+F36)</f>
        <v>501000</v>
      </c>
      <c r="G38" s="42">
        <f t="shared" si="7"/>
        <v>642000</v>
      </c>
      <c r="H38" s="42">
        <f t="shared" si="7"/>
        <v>783000</v>
      </c>
      <c r="I38" s="42">
        <f t="shared" si="7"/>
        <v>924000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263550</v>
      </c>
      <c r="F40">
        <f>PhiInKM4M_BHR70(F39*$E$16*2)*(1+$D$17)</f>
        <v>359975</v>
      </c>
      <c r="G40">
        <f>PhiInKM4M_BHR70(G39*$E$16*2)*(1+$D$17)</f>
        <v>456400</v>
      </c>
      <c r="H40">
        <f>PhiInKM4M_BHR70(H39*$E$16*2)*(1+$D$17)</f>
        <v>552825</v>
      </c>
      <c r="I40">
        <f>PhiInKM4M_BHR70(I39*$E$16*2)*(1+$D$17)</f>
        <v>649250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72441.393850000008</v>
      </c>
      <c r="F42">
        <f>(PhiMayCanMang(F39*2,$C$15/100,$D$15/100) + PhiMangCan(F39*2,$C$15/100,$D$15/100,$D$21))*(1+$D$17)</f>
        <v>92820.287349999999</v>
      </c>
      <c r="G42">
        <f>(PhiMayCanMang(G39*2,$C$15/100,$D$15/100) + PhiMangCan(G39*2,$C$15/100,$D$15/100,$D$21))*(1+$D$17)</f>
        <v>112791.53602499999</v>
      </c>
      <c r="H42">
        <f>(PhiMayCanMang(H39*2,$C$15/100,$D$15/100) + PhiMangCan(H39*2,$C$15/100,$D$15/100,$D$21))*(1+$D$17)</f>
        <v>133170.4276</v>
      </c>
      <c r="I42">
        <f>(PhiMayCanMang(I39*2,$C$15/100,$D$15/100) + PhiMangCan(I39*2,$C$15/100,$D$15/100,$D$21))*(1+$D$17)</f>
        <v>153549.32337499998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308000</v>
      </c>
      <c r="F44" s="25">
        <f t="shared" ref="F44:I44" si="10">LamChanHangNgan(F40+F41+F43)</f>
        <v>449000</v>
      </c>
      <c r="G44" s="25">
        <f t="shared" si="10"/>
        <v>589000</v>
      </c>
      <c r="H44" s="25">
        <f t="shared" si="10"/>
        <v>730000</v>
      </c>
      <c r="I44" s="25">
        <f t="shared" si="10"/>
        <v>871000</v>
      </c>
    </row>
    <row r="45" spans="1:9" x14ac:dyDescent="0.25">
      <c r="C45" t="s">
        <v>330</v>
      </c>
      <c r="E45" s="25">
        <f>LamChanHangNgan(E40+E41+E42+E43)</f>
        <v>380000</v>
      </c>
      <c r="F45" s="25">
        <f t="shared" ref="F45:I45" si="11">LamChanHangNgan(F40+F41+F42+F43)</f>
        <v>541000</v>
      </c>
      <c r="G45" s="25">
        <f t="shared" si="11"/>
        <v>702000</v>
      </c>
      <c r="H45" s="25">
        <f t="shared" si="11"/>
        <v>864000</v>
      </c>
      <c r="I45" s="25">
        <f t="shared" si="11"/>
        <v>1025000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275603.125</v>
      </c>
      <c r="F47">
        <f>PhiInKM4M_BHR70(F46*$E$16*2)*(1+$D$17)</f>
        <v>384081.25</v>
      </c>
      <c r="G47">
        <f>PhiInKM4M_BHR70(G46*$E$16*2)*(1+$D$17)</f>
        <v>492559.375</v>
      </c>
      <c r="H47">
        <f>PhiInKM4M_BHR70(H46*$E$16*2)*(1+$D$17)</f>
        <v>601037.5</v>
      </c>
      <c r="I47">
        <f>PhiInKM4M_BHR70(I46*$E$16*2)*(1+$D$17)</f>
        <v>709515.625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74835.887524999998</v>
      </c>
      <c r="F49">
        <f>(PhiMayCanMang(F46*2,$C$15/100,$D$15/100) + PhiMangCan(F46*2,$C$15/100,$D$15/100,$D$21))*(1+$D$17)</f>
        <v>97609.275049999997</v>
      </c>
      <c r="G49">
        <f>(PhiMayCanMang(G46*2,$C$15/100,$D$15/100) + PhiMangCan(G46*2,$C$15/100,$D$15/100,$D$21))*(1+$D$17)</f>
        <v>120382.6624</v>
      </c>
      <c r="H49">
        <f>(PhiMayCanMang(H46*2,$C$15/100,$D$15/100) + PhiMangCan(H46*2,$C$15/100,$D$15/100,$D$21))*(1+$D$17)</f>
        <v>143563.697025</v>
      </c>
      <c r="I49">
        <f>(PhiMayCanMang(I46*2,$C$15/100,$D$15/100) + PhiMangCan(I46*2,$C$15/100,$D$15/100,$D$21))*(1+$D$17)</f>
        <v>166337.088575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325000</v>
      </c>
      <c r="F51" s="25">
        <f t="shared" ref="F51:I51" si="14">LamChanHangNgan(F47+F48+F50)</f>
        <v>484000</v>
      </c>
      <c r="G51" s="25">
        <f t="shared" si="14"/>
        <v>642000</v>
      </c>
      <c r="H51" s="25">
        <f t="shared" si="14"/>
        <v>801000</v>
      </c>
      <c r="I51" s="25">
        <f t="shared" si="14"/>
        <v>959000</v>
      </c>
    </row>
    <row r="52" spans="1:9" x14ac:dyDescent="0.25">
      <c r="C52" t="s">
        <v>330</v>
      </c>
      <c r="E52" s="25">
        <f>LamChanHangNgan(E47+E48+E49+E50)</f>
        <v>400000</v>
      </c>
      <c r="F52" s="25">
        <f t="shared" ref="F52:I52" si="15">LamChanHangNgan(F47+F48+F49+F50)</f>
        <v>581000</v>
      </c>
      <c r="G52" s="25">
        <f t="shared" si="15"/>
        <v>763000</v>
      </c>
      <c r="H52" s="25">
        <f t="shared" si="15"/>
        <v>944000</v>
      </c>
      <c r="I52" s="25">
        <f t="shared" si="15"/>
        <v>1126000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287656.25</v>
      </c>
      <c r="F54">
        <f>PhiInKM4M_BHR70(F53*$E$16*2)*(1+$D$17)</f>
        <v>408187.5</v>
      </c>
      <c r="G54">
        <f>PhiInKM4M_BHR70(G53*$E$16*2)*(1+$D$17)</f>
        <v>528718.75</v>
      </c>
      <c r="H54">
        <f>PhiInKM4M_BHR70(H53*$E$16*2)*(1+$D$17)</f>
        <v>649250</v>
      </c>
      <c r="I54">
        <f>PhiInKM4M_BHR70(I53*$E$16*2)*(1+$D$17)</f>
        <v>769781.25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77230.382425000003</v>
      </c>
      <c r="F56">
        <f>(PhiMayCanMang(F53*2,$C$15/100,$D$15/100) + PhiMangCan(F53*2,$C$15/100,$D$15/100,$D$21))*(1+$D$17)</f>
        <v>102805.911775</v>
      </c>
      <c r="G56">
        <f>(PhiMayCanMang(G53*2,$C$15/100,$D$15/100) + PhiMangCan(G53*2,$C$15/100,$D$15/100,$D$21))*(1+$D$17)</f>
        <v>127973.79315000001</v>
      </c>
      <c r="H56">
        <f>(PhiMayCanMang(H53*2,$C$15/100,$D$15/100) + PhiMangCan(H53*2,$C$15/100,$D$15/100,$D$21))*(1+$D$17)</f>
        <v>153549.32337499998</v>
      </c>
      <c r="I56">
        <f>(PhiMayCanMang(I53*2,$C$15/100,$D$15/100) + PhiMangCan(I53*2,$C$15/100,$D$15/100,$D$21))*(1+$D$17)</f>
        <v>178717.20264999999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343000</v>
      </c>
      <c r="F58" s="25">
        <f t="shared" ref="F58:I58" si="18">LamChanHangNgan(F54+F55+F57)</f>
        <v>519000</v>
      </c>
      <c r="G58" s="25">
        <f t="shared" si="18"/>
        <v>695000</v>
      </c>
      <c r="H58" s="25">
        <f t="shared" si="18"/>
        <v>871000</v>
      </c>
      <c r="I58" s="25">
        <f t="shared" si="18"/>
        <v>1048000</v>
      </c>
    </row>
    <row r="59" spans="1:9" ht="14.25" customHeight="1" x14ac:dyDescent="0.25">
      <c r="C59" t="s">
        <v>330</v>
      </c>
      <c r="E59" s="25">
        <f>LamChanHangNgan(E54+E55+E56+E57)</f>
        <v>420000</v>
      </c>
      <c r="F59" s="25">
        <f t="shared" ref="F59:I59" si="19">LamChanHangNgan(F54+F55+F56+F57)</f>
        <v>622000</v>
      </c>
      <c r="G59" s="25">
        <f t="shared" si="19"/>
        <v>823000</v>
      </c>
      <c r="H59" s="25">
        <f t="shared" si="19"/>
        <v>1025000</v>
      </c>
      <c r="I59" s="25">
        <f t="shared" si="19"/>
        <v>1226000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299709.375</v>
      </c>
      <c r="F61">
        <f>PhiInKM4M_BHR70(F60*$E$16*2)*(1+$D$17)</f>
        <v>432293.75</v>
      </c>
      <c r="G61">
        <f>PhiInKM4M_BHR70(G60*$E$16*2)*(1+$D$17)</f>
        <v>564878.125</v>
      </c>
      <c r="H61">
        <f>PhiInKM4M_BHR70(H60*$E$16*2)*(1+$D$17)</f>
        <v>697462.5</v>
      </c>
      <c r="I61">
        <f>PhiInKM4M_BHR70(I60*$E$16*2)*(1+$D$17)</f>
        <v>830046.875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80032.522150000004</v>
      </c>
      <c r="F63">
        <f>(PhiMayCanMang(F60*2,$C$15/100,$D$15/100) + PhiMangCan(F60*2,$C$15/100,$D$15/100,$D$21))*(1+$D$17)</f>
        <v>108002.544475</v>
      </c>
      <c r="G63">
        <f>(PhiMayCanMang(G60*2,$C$15/100,$D$15/100) + PhiMangCan(G60*2,$C$15/100,$D$15/100,$D$21))*(1+$D$17)</f>
        <v>135972.57065000001</v>
      </c>
      <c r="H63">
        <f>(PhiMayCanMang(H60*2,$C$15/100,$D$15/100) + PhiMangCan(H60*2,$C$15/100,$D$15/100,$D$21))*(1+$D$17)</f>
        <v>163534.94167500001</v>
      </c>
      <c r="I63">
        <f>(PhiMayCanMang(I60*2,$C$15/100,$D$15/100) + PhiMangCan(I60*2,$C$15/100,$D$15/100,$D$21))*(1+$D$17)</f>
        <v>191504.97187500002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360000</v>
      </c>
      <c r="F65" s="25">
        <f t="shared" ref="F65:I65" si="22">LamChanHangNgan(F61+F62+F64)</f>
        <v>554000</v>
      </c>
      <c r="G65" s="25">
        <f t="shared" si="22"/>
        <v>748000</v>
      </c>
      <c r="H65" s="25">
        <f t="shared" si="22"/>
        <v>942000</v>
      </c>
      <c r="I65" s="25">
        <f t="shared" si="22"/>
        <v>1136000</v>
      </c>
    </row>
    <row r="66" spans="1:9" x14ac:dyDescent="0.25">
      <c r="C66" t="s">
        <v>330</v>
      </c>
      <c r="E66" s="25">
        <f>LamChanHangNgan(E61+E62+E63+E64)</f>
        <v>440000</v>
      </c>
      <c r="F66" s="25">
        <f t="shared" ref="F66:I66" si="23">LamChanHangNgan(F61+F62+F63+F64)</f>
        <v>662000</v>
      </c>
      <c r="G66" s="25">
        <f t="shared" si="23"/>
        <v>884000</v>
      </c>
      <c r="H66" s="25">
        <f t="shared" si="23"/>
        <v>1105000</v>
      </c>
      <c r="I66" s="25">
        <f t="shared" si="23"/>
        <v>1327000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311762.5</v>
      </c>
      <c r="F68">
        <f>PhiInKM4M_BHR70(F67*$E$16*2)*(1+$D$17)</f>
        <v>456400</v>
      </c>
      <c r="G68">
        <f>PhiInKM4M_BHR70(G67*$E$16*2)*(1+$D$17)</f>
        <v>601037.5</v>
      </c>
      <c r="H68">
        <f>PhiInKM4M_BHR70(H67*$E$16*2)*(1+$D$17)</f>
        <v>745675</v>
      </c>
      <c r="I68">
        <f>PhiInKM4M_BHR70(I67*$E$16*2)*(1+$D$17)</f>
        <v>890312.5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82427.017924999993</v>
      </c>
      <c r="F70">
        <f>(PhiMayCanMang(F67*2,$C$15/100,$D$15/100) + PhiMangCan(F67*2,$C$15/100,$D$15/100,$D$21))*(1+$D$17)</f>
        <v>112791.53602499999</v>
      </c>
      <c r="G70">
        <f>(PhiMayCanMang(G67*2,$C$15/100,$D$15/100) + PhiMangCan(G67*2,$C$15/100,$D$15/100,$D$21))*(1+$D$17)</f>
        <v>143563.697025</v>
      </c>
      <c r="H70">
        <f>(PhiMayCanMang(H67*2,$C$15/100,$D$15/100) + PhiMangCan(H67*2,$C$15/100,$D$15/100,$D$21))*(1+$D$17)</f>
        <v>173928.21897499997</v>
      </c>
      <c r="I70">
        <f>(PhiMayCanMang(I67*2,$C$15/100,$D$15/100) + PhiMangCan(I67*2,$C$15/100,$D$15/100,$D$21))*(1+$D$17)</f>
        <v>204292.73304999998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378000</v>
      </c>
      <c r="F72" s="25">
        <f t="shared" ref="F72:I72" si="26">LamChanHangNgan(F68+F69+F71)</f>
        <v>589000</v>
      </c>
      <c r="G72" s="25">
        <f t="shared" si="26"/>
        <v>801000</v>
      </c>
      <c r="H72" s="25">
        <f t="shared" si="26"/>
        <v>1012000</v>
      </c>
      <c r="I72" s="25">
        <f t="shared" si="26"/>
        <v>1224000</v>
      </c>
    </row>
    <row r="73" spans="1:9" x14ac:dyDescent="0.25">
      <c r="C73" t="s">
        <v>330</v>
      </c>
      <c r="E73" s="25">
        <f>LamChanHangNgan(E68+E69+E70+E71)</f>
        <v>460000</v>
      </c>
      <c r="F73" s="25">
        <f t="shared" ref="F73:I73" si="27">LamChanHangNgan(F68+F69+F70+F71)</f>
        <v>702000</v>
      </c>
      <c r="G73" s="25">
        <f t="shared" si="27"/>
        <v>944000</v>
      </c>
      <c r="H73" s="25">
        <f t="shared" si="27"/>
        <v>1186000</v>
      </c>
      <c r="I73" s="25">
        <f t="shared" si="27"/>
        <v>1428000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311762.5</v>
      </c>
      <c r="F26" s="7">
        <f>PhiInKM4M_BHR70(F$25*$E$16*2)*(1+$D$17)</f>
        <v>456400</v>
      </c>
      <c r="G26" s="7">
        <f>PhiInKM4M_BHR70(G$25*$E$16*2)*(1+$D$17)</f>
        <v>601037.5</v>
      </c>
      <c r="H26" s="7">
        <f>PhiInKM4M_BHR70(H$25*$E$16*2)*(1+$D$17)</f>
        <v>745675</v>
      </c>
      <c r="I26" s="7">
        <f>PhiInKM4M_BHR70(I$25*$E$16*2)*(1+$D$17)</f>
        <v>890312.5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82427.017924999993</v>
      </c>
      <c r="F28" s="7">
        <f>(PhiMayCanMang(F$25*2,$C$15/100,$D$15/100) + PhiMangCan(F$25*2,$C$15/100,$D$15/100,$D$21))*(1+$D$17)</f>
        <v>112791.53602499999</v>
      </c>
      <c r="G28" s="7">
        <f>(PhiMayCanMang(G$25*2,$C$15/100,$D$15/100) + PhiMangCan(G$25*2,$C$15/100,$D$15/100,$D$21))*(1+$D$17)</f>
        <v>143563.697025</v>
      </c>
      <c r="H28" s="7">
        <f>(PhiMayCanMang(H$25*2,$C$15/100,$D$15/100) + PhiMangCan(H$25*2,$C$15/100,$D$15/100,$D$21))*(1+$D$17)</f>
        <v>173928.21897499997</v>
      </c>
      <c r="I28" s="7">
        <f>(PhiMayCanMang(I$25*2,$C$15/100,$D$15/100) + PhiMangCan(I$25*2,$C$15/100,$D$15/100,$D$21))*(1+$D$17)</f>
        <v>204292.73304999998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378000</v>
      </c>
      <c r="F30" s="25">
        <f t="shared" ref="F30:I30" si="2">LamChanHangNgan(F$26+F$27+F$29)</f>
        <v>589000</v>
      </c>
      <c r="G30" s="25">
        <f t="shared" si="2"/>
        <v>801000</v>
      </c>
      <c r="H30" s="25">
        <f t="shared" si="2"/>
        <v>1012000</v>
      </c>
      <c r="I30" s="25">
        <f t="shared" si="2"/>
        <v>1224000</v>
      </c>
    </row>
    <row r="31" spans="1:9" x14ac:dyDescent="0.25">
      <c r="C31" t="s">
        <v>330</v>
      </c>
      <c r="E31" s="25">
        <f>LamChanHangNgan(E$26+E$27+E$28+E$29)</f>
        <v>460000</v>
      </c>
      <c r="F31" s="25">
        <f t="shared" ref="F31:I31" si="3">LamChanHangNgan(F$26+F$27+F$28+F$29)</f>
        <v>702000</v>
      </c>
      <c r="G31" s="25">
        <f t="shared" si="3"/>
        <v>944000</v>
      </c>
      <c r="H31" s="25">
        <f t="shared" si="3"/>
        <v>1186000</v>
      </c>
      <c r="I31" s="25">
        <f t="shared" si="3"/>
        <v>1428000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335868.75</v>
      </c>
      <c r="F33" s="26">
        <f>PhiInKM4M_BHR70(F32*$E$16*2)*(1+$D$17)</f>
        <v>504612.5</v>
      </c>
      <c r="G33" s="26">
        <f>PhiInKM4M_BHR70(G32*$E$16*2)*(1+$D$17)</f>
        <v>673356.25</v>
      </c>
      <c r="H33" s="26">
        <f>PhiInKM4M_BHR70(H32*$E$16*2)*(1+$D$17)</f>
        <v>842100</v>
      </c>
      <c r="I33" s="26">
        <f>PhiInKM4M_BHR70(I32*$E$16*2)*(1+$D$17)</f>
        <v>1010843.75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87623.652724999993</v>
      </c>
      <c r="F35" s="26">
        <f>(PhiMayCanMang(F32*2,$C$15/100,$D$15/100) + PhiMangCan(F32*2,$C$15/100,$D$15/100,$D$21))*(1+$D$17)</f>
        <v>123184.80527499999</v>
      </c>
      <c r="G35" s="26">
        <f>(PhiMayCanMang(G32*2,$C$15/100,$D$15/100) + PhiMangCan(G32*2,$C$15/100,$D$15/100,$D$21))*(1+$D$17)</f>
        <v>158745.95817500001</v>
      </c>
      <c r="H35" s="26">
        <f>(PhiMayCanMang(H32*2,$C$15/100,$D$15/100) + PhiMangCan(H32*2,$C$15/100,$D$15/100,$D$21))*(1+$D$17)</f>
        <v>194307.11072499998</v>
      </c>
      <c r="I35" s="26">
        <f>(PhiMayCanMang(I32*2,$C$15/100,$D$15/100) + PhiMangCan(I32*2,$C$15/100,$D$15/100,$D$21))*(1+$D$17)</f>
        <v>229460.61635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413000</v>
      </c>
      <c r="F37" s="42">
        <f t="shared" ref="F37:I37" si="6">LamChanHangNgan(F33+F34+F36)</f>
        <v>660000</v>
      </c>
      <c r="G37" s="42">
        <f t="shared" si="6"/>
        <v>907000</v>
      </c>
      <c r="H37" s="42">
        <f t="shared" si="6"/>
        <v>1153000</v>
      </c>
      <c r="I37" s="42">
        <f t="shared" si="6"/>
        <v>1400000</v>
      </c>
    </row>
    <row r="38" spans="1:9" x14ac:dyDescent="0.25">
      <c r="C38" t="s">
        <v>330</v>
      </c>
      <c r="E38" s="42">
        <f>LamChanHangNgan(E33+E34+E35+E36)</f>
        <v>501000</v>
      </c>
      <c r="F38" s="42">
        <f t="shared" ref="F38:I38" si="7">LamChanHangNgan(F33+F34+F35+F36)</f>
        <v>783000</v>
      </c>
      <c r="G38" s="42">
        <f t="shared" si="7"/>
        <v>1065000</v>
      </c>
      <c r="H38" s="42">
        <f t="shared" si="7"/>
        <v>1348000</v>
      </c>
      <c r="I38" s="42">
        <f t="shared" si="7"/>
        <v>1629000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359975</v>
      </c>
      <c r="F40">
        <f>PhiInKM4M_BHR70(F39*$E$16*2)*(1+$D$17)</f>
        <v>552825</v>
      </c>
      <c r="G40">
        <f>PhiInKM4M_BHR70(G39*$E$16*2)*(1+$D$17)</f>
        <v>745675</v>
      </c>
      <c r="H40">
        <f>PhiInKM4M_BHR70(H39*$E$16*2)*(1+$D$17)</f>
        <v>938525</v>
      </c>
      <c r="I40">
        <f>PhiInKM4M_BHR70(I39*$E$16*2)*(1+$D$17)</f>
        <v>1131375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92820.287349999999</v>
      </c>
      <c r="F42">
        <f>(PhiMayCanMang(F39*2,$C$15/100,$D$15/100) + PhiMangCan(F39*2,$C$15/100,$D$15/100,$D$21))*(1+$D$17)</f>
        <v>133170.4276</v>
      </c>
      <c r="G42">
        <f>(PhiMayCanMang(G39*2,$C$15/100,$D$15/100) + PhiMangCan(G39*2,$C$15/100,$D$15/100,$D$21))*(1+$D$17)</f>
        <v>173928.21897499997</v>
      </c>
      <c r="H42">
        <f>(PhiMayCanMang(H39*2,$C$15/100,$D$15/100) + PhiMangCan(H39*2,$C$15/100,$D$15/100,$D$21))*(1+$D$17)</f>
        <v>214278.35537499998</v>
      </c>
      <c r="I42">
        <f>(PhiMayCanMang(I39*2,$C$15/100,$D$15/100) + PhiMangCan(I39*2,$C$15/100,$D$15/100,$D$21))*(1+$D$17)</f>
        <v>255036.14674999999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449000</v>
      </c>
      <c r="F44" s="25">
        <f t="shared" ref="F44:I44" si="10">LamChanHangNgan(F40+F41+F43)</f>
        <v>730000</v>
      </c>
      <c r="G44" s="25">
        <f t="shared" si="10"/>
        <v>1012000</v>
      </c>
      <c r="H44" s="25">
        <f t="shared" si="10"/>
        <v>1294000</v>
      </c>
      <c r="I44" s="25">
        <f t="shared" si="10"/>
        <v>1576000</v>
      </c>
    </row>
    <row r="45" spans="1:9" x14ac:dyDescent="0.25">
      <c r="C45" t="s">
        <v>330</v>
      </c>
      <c r="E45" s="25">
        <f>LamChanHangNgan(E40+E41+E42+E43)</f>
        <v>541000</v>
      </c>
      <c r="F45" s="25">
        <f t="shared" ref="F45:I45" si="11">LamChanHangNgan(F40+F41+F42+F43)</f>
        <v>864000</v>
      </c>
      <c r="G45" s="25">
        <f t="shared" si="11"/>
        <v>1186000</v>
      </c>
      <c r="H45" s="25">
        <f t="shared" si="11"/>
        <v>1508000</v>
      </c>
      <c r="I45" s="25">
        <f t="shared" si="11"/>
        <v>1831000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384081.25</v>
      </c>
      <c r="F47">
        <f>PhiInKM4M_BHR70(F46*$E$16*2)*(1+$D$17)</f>
        <v>601037.5</v>
      </c>
      <c r="G47">
        <f>PhiInKM4M_BHR70(G46*$E$16*2)*(1+$D$17)</f>
        <v>817993.75</v>
      </c>
      <c r="H47">
        <f>PhiInKM4M_BHR70(H46*$E$16*2)*(1+$D$17)</f>
        <v>1034950</v>
      </c>
      <c r="I47">
        <f>PhiInKM4M_BHR70(I46*$E$16*2)*(1+$D$17)</f>
        <v>1251906.25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97609.275049999997</v>
      </c>
      <c r="F49">
        <f>(PhiMayCanMang(F46*2,$C$15/100,$D$15/100) + PhiMangCan(F46*2,$C$15/100,$D$15/100,$D$21))*(1+$D$17)</f>
        <v>143563.697025</v>
      </c>
      <c r="G49">
        <f>(PhiMayCanMang(G46*2,$C$15/100,$D$15/100) + PhiMangCan(G46*2,$C$15/100,$D$15/100,$D$21))*(1+$D$17)</f>
        <v>189110.472075</v>
      </c>
      <c r="H49">
        <f>(PhiMayCanMang(H46*2,$C$15/100,$D$15/100) + PhiMangCan(H46*2,$C$15/100,$D$15/100,$D$21))*(1+$D$17)</f>
        <v>234657.24695</v>
      </c>
      <c r="I49">
        <f>(PhiMayCanMang(I46*2,$C$15/100,$D$15/100) + PhiMangCan(I46*2,$C$15/100,$D$15/100,$D$21))*(1+$D$17)</f>
        <v>280204.03005000006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484000</v>
      </c>
      <c r="F51" s="25">
        <f t="shared" ref="F51:I51" si="14">LamChanHangNgan(F47+F48+F50)</f>
        <v>801000</v>
      </c>
      <c r="G51" s="25">
        <f t="shared" si="14"/>
        <v>1118000</v>
      </c>
      <c r="H51" s="25">
        <f t="shared" si="14"/>
        <v>1435000</v>
      </c>
      <c r="I51" s="25">
        <f t="shared" si="14"/>
        <v>1752000</v>
      </c>
    </row>
    <row r="52" spans="1:9" x14ac:dyDescent="0.25">
      <c r="C52" t="s">
        <v>330</v>
      </c>
      <c r="E52" s="25">
        <f>LamChanHangNgan(E47+E48+E49+E50)</f>
        <v>581000</v>
      </c>
      <c r="F52" s="25">
        <f t="shared" ref="F52:I52" si="15">LamChanHangNgan(F47+F48+F49+F50)</f>
        <v>944000</v>
      </c>
      <c r="G52" s="25">
        <f t="shared" si="15"/>
        <v>1307000</v>
      </c>
      <c r="H52" s="25">
        <f t="shared" si="15"/>
        <v>1670000</v>
      </c>
      <c r="I52" s="25">
        <f t="shared" si="15"/>
        <v>2032000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408187.5</v>
      </c>
      <c r="F54">
        <f>PhiInKM4M_BHR70(F53*$E$16*2)*(1+$D$17)</f>
        <v>649250</v>
      </c>
      <c r="G54">
        <f>PhiInKM4M_BHR70(G53*$E$16*2)*(1+$D$17)</f>
        <v>890312.5</v>
      </c>
      <c r="H54">
        <f>PhiInKM4M_BHR70(H53*$E$16*2)*(1+$D$17)</f>
        <v>1131375</v>
      </c>
      <c r="I54">
        <f>PhiInKM4M_BHR70(I53*$E$16*2)*(1+$D$17)</f>
        <v>1372437.5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102805.911775</v>
      </c>
      <c r="F56">
        <f>(PhiMayCanMang(F53*2,$C$15/100,$D$15/100) + PhiMangCan(F53*2,$C$15/100,$D$15/100,$D$21))*(1+$D$17)</f>
        <v>153549.32337499998</v>
      </c>
      <c r="G56">
        <f>(PhiMayCanMang(G53*2,$C$15/100,$D$15/100) + PhiMangCan(G53*2,$C$15/100,$D$15/100,$D$21))*(1+$D$17)</f>
        <v>204292.73304999998</v>
      </c>
      <c r="H56">
        <f>(PhiMayCanMang(H53*2,$C$15/100,$D$15/100) + PhiMangCan(H53*2,$C$15/100,$D$15/100,$D$21))*(1+$D$17)</f>
        <v>255036.14674999999</v>
      </c>
      <c r="I56">
        <f>(PhiMayCanMang(I53*2,$C$15/100,$D$15/100) + PhiMangCan(I53*2,$C$15/100,$D$15/100,$D$21))*(1+$D$17)</f>
        <v>305779.55239999999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519000</v>
      </c>
      <c r="F58" s="25">
        <f t="shared" ref="F58:I58" si="18">LamChanHangNgan(F54+F55+F57)</f>
        <v>871000</v>
      </c>
      <c r="G58" s="25">
        <f t="shared" si="18"/>
        <v>1224000</v>
      </c>
      <c r="H58" s="25">
        <f t="shared" si="18"/>
        <v>1576000</v>
      </c>
      <c r="I58" s="25">
        <f t="shared" si="18"/>
        <v>1928000</v>
      </c>
    </row>
    <row r="59" spans="1:9" ht="14.25" customHeight="1" x14ac:dyDescent="0.25">
      <c r="C59" t="s">
        <v>330</v>
      </c>
      <c r="E59" s="25">
        <f>LamChanHangNgan(E54+E55+E56+E57)</f>
        <v>622000</v>
      </c>
      <c r="F59" s="25">
        <f t="shared" ref="F59:I59" si="19">LamChanHangNgan(F54+F55+F56+F57)</f>
        <v>1025000</v>
      </c>
      <c r="G59" s="25">
        <f t="shared" si="19"/>
        <v>1428000</v>
      </c>
      <c r="H59" s="25">
        <f t="shared" si="19"/>
        <v>1831000</v>
      </c>
      <c r="I59" s="25">
        <f t="shared" si="19"/>
        <v>2234000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432293.75</v>
      </c>
      <c r="F61">
        <f>PhiInKM4M_BHR70(F60*$E$16*2)*(1+$D$17)</f>
        <v>697462.5</v>
      </c>
      <c r="G61">
        <f>PhiInKM4M_BHR70(G60*$E$16*2)*(1+$D$17)</f>
        <v>962631.25</v>
      </c>
      <c r="H61">
        <f>PhiInKM4M_BHR70(H60*$E$16*2)*(1+$D$17)</f>
        <v>1227800</v>
      </c>
      <c r="I61">
        <f>PhiInKM4M_BHR70(I60*$E$16*2)*(1+$D$17)</f>
        <v>1492968.75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108002.544475</v>
      </c>
      <c r="F63">
        <f>(PhiMayCanMang(F60*2,$C$15/100,$D$15/100) + PhiMangCan(F60*2,$C$15/100,$D$15/100,$D$21))*(1+$D$17)</f>
        <v>163534.94167500001</v>
      </c>
      <c r="G63">
        <f>(PhiMayCanMang(G60*2,$C$15/100,$D$15/100) + PhiMangCan(G60*2,$C$15/100,$D$15/100,$D$21))*(1+$D$17)</f>
        <v>219474.99419999999</v>
      </c>
      <c r="H63">
        <f>(PhiMayCanMang(H60*2,$C$15/100,$D$15/100) + PhiMangCan(H60*2,$C$15/100,$D$15/100,$D$21))*(1+$D$17)</f>
        <v>275415.03027500003</v>
      </c>
      <c r="I63">
        <f>(PhiMayCanMang(I60*2,$C$15/100,$D$15/100) + PhiMangCan(I60*2,$C$15/100,$D$15/100,$D$21))*(1+$D$17)</f>
        <v>330947.44375000003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554000</v>
      </c>
      <c r="F65" s="25">
        <f t="shared" ref="F65:I65" si="22">LamChanHangNgan(F61+F62+F64)</f>
        <v>942000</v>
      </c>
      <c r="G65" s="25">
        <f t="shared" si="22"/>
        <v>1329000</v>
      </c>
      <c r="H65" s="25">
        <f t="shared" si="22"/>
        <v>1717000</v>
      </c>
      <c r="I65" s="25">
        <f t="shared" si="22"/>
        <v>2105000</v>
      </c>
    </row>
    <row r="66" spans="1:9" x14ac:dyDescent="0.25">
      <c r="C66" t="s">
        <v>330</v>
      </c>
      <c r="E66" s="25">
        <f>LamChanHangNgan(E61+E62+E63+E64)</f>
        <v>662000</v>
      </c>
      <c r="F66" s="25">
        <f t="shared" ref="F66:I66" si="23">LamChanHangNgan(F61+F62+F63+F64)</f>
        <v>1105000</v>
      </c>
      <c r="G66" s="25">
        <f t="shared" si="23"/>
        <v>1549000</v>
      </c>
      <c r="H66" s="25">
        <f t="shared" si="23"/>
        <v>1992000</v>
      </c>
      <c r="I66" s="25">
        <f t="shared" si="23"/>
        <v>2436000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456400</v>
      </c>
      <c r="F68">
        <f>PhiInKM4M_BHR70(F67*$E$16*2)*(1+$D$17)</f>
        <v>745675</v>
      </c>
      <c r="G68">
        <f>PhiInKM4M_BHR70(G67*$E$16*2)*(1+$D$17)</f>
        <v>1034950</v>
      </c>
      <c r="H68">
        <f>PhiInKM4M_BHR70(H67*$E$16*2)*(1+$D$17)</f>
        <v>1324225</v>
      </c>
      <c r="I68">
        <f>PhiInKM4M_BHR70(I67*$E$16*2)*(1+$D$17)</f>
        <v>1613500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112791.53602499999</v>
      </c>
      <c r="F70">
        <f>(PhiMayCanMang(F67*2,$C$15/100,$D$15/100) + PhiMangCan(F67*2,$C$15/100,$D$15/100,$D$21))*(1+$D$17)</f>
        <v>173928.21897499997</v>
      </c>
      <c r="G70">
        <f>(PhiMayCanMang(G67*2,$C$15/100,$D$15/100) + PhiMangCan(G67*2,$C$15/100,$D$15/100,$D$21))*(1+$D$17)</f>
        <v>234657.24695</v>
      </c>
      <c r="H70">
        <f>(PhiMayCanMang(H67*2,$C$15/100,$D$15/100) + PhiMangCan(H67*2,$C$15/100,$D$15/100,$D$21))*(1+$D$17)</f>
        <v>295793.93812499999</v>
      </c>
      <c r="I70">
        <f>(PhiMayCanMang(I67*2,$C$15/100,$D$15/100) + PhiMangCan(I67*2,$C$15/100,$D$15/100,$D$21))*(1+$D$17)</f>
        <v>356522.96609999996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589000</v>
      </c>
      <c r="F72" s="25">
        <f t="shared" ref="F72:I72" si="26">LamChanHangNgan(F68+F69+F71)</f>
        <v>1012000</v>
      </c>
      <c r="G72" s="25">
        <f t="shared" si="26"/>
        <v>1435000</v>
      </c>
      <c r="H72" s="25">
        <f t="shared" si="26"/>
        <v>1858000</v>
      </c>
      <c r="I72" s="25">
        <f t="shared" si="26"/>
        <v>2281000</v>
      </c>
    </row>
    <row r="73" spans="1:9" x14ac:dyDescent="0.25">
      <c r="C73" t="s">
        <v>330</v>
      </c>
      <c r="E73" s="25">
        <f>LamChanHangNgan(E68+E69+E70+E71)</f>
        <v>702000</v>
      </c>
      <c r="F73" s="25">
        <f t="shared" ref="F73:I73" si="27">LamChanHangNgan(F68+F69+F70+F71)</f>
        <v>1186000</v>
      </c>
      <c r="G73" s="25">
        <f t="shared" si="27"/>
        <v>1670000</v>
      </c>
      <c r="H73" s="25">
        <f t="shared" si="27"/>
        <v>2154000</v>
      </c>
      <c r="I73" s="25">
        <f t="shared" si="27"/>
        <v>2637000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F35" sqref="F3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311762.5</v>
      </c>
      <c r="F26" s="7">
        <f>PhiInKM4M_BHR70(F$25*$E$16*2)*(1+$D$17)</f>
        <v>456400</v>
      </c>
      <c r="G26" s="7">
        <f>PhiInKM4M_BHR70(G$25*$E$16*2)*(1+$D$17)</f>
        <v>601037.5</v>
      </c>
      <c r="H26" s="7">
        <f>PhiInKM4M_BHR70(H$25*$E$16*2)*(1+$D$17)</f>
        <v>745675</v>
      </c>
      <c r="I26" s="7">
        <f>PhiInKM4M_BHR70(I$25*$E$16*2)*(1+$D$17)</f>
        <v>890312.5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82427.017924999993</v>
      </c>
      <c r="F28" s="7">
        <f>(PhiMayCanMang(F$25*2,$C$15/100,$D$15/100) + PhiMangCan(F$25*2,$C$15/100,$D$15/100,$D$21))*(1+$D$17)</f>
        <v>112791.53602499999</v>
      </c>
      <c r="G28" s="7">
        <f>(PhiMayCanMang(G$25*2,$C$15/100,$D$15/100) + PhiMangCan(G$25*2,$C$15/100,$D$15/100,$D$21))*(1+$D$17)</f>
        <v>143563.697025</v>
      </c>
      <c r="H28" s="7">
        <f>(PhiMayCanMang(H$25*2,$C$15/100,$D$15/100) + PhiMangCan(H$25*2,$C$15/100,$D$15/100,$D$21))*(1+$D$17)</f>
        <v>173928.21897499997</v>
      </c>
      <c r="I28" s="7">
        <f>(PhiMayCanMang(I$25*2,$C$15/100,$D$15/100) + PhiMangCan(I$25*2,$C$15/100,$D$15/100,$D$21))*(1+$D$17)</f>
        <v>204292.73304999998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378000</v>
      </c>
      <c r="F30" s="25">
        <f t="shared" ref="F30:I30" si="2">LamChanHangNgan(F$26+F$27+F$29)</f>
        <v>589000</v>
      </c>
      <c r="G30" s="25">
        <f t="shared" si="2"/>
        <v>801000</v>
      </c>
      <c r="H30" s="25">
        <f t="shared" si="2"/>
        <v>1012000</v>
      </c>
      <c r="I30" s="25">
        <f t="shared" si="2"/>
        <v>1224000</v>
      </c>
    </row>
    <row r="31" spans="1:9" x14ac:dyDescent="0.25">
      <c r="C31" t="s">
        <v>330</v>
      </c>
      <c r="E31" s="25">
        <f>LamChanHangNgan(E$26+E$27+E$28+E$29)</f>
        <v>460000</v>
      </c>
      <c r="F31" s="25">
        <f t="shared" ref="F31:I31" si="3">LamChanHangNgan(F$26+F$27+F$28+F$29)</f>
        <v>702000</v>
      </c>
      <c r="G31" s="25">
        <f t="shared" si="3"/>
        <v>944000</v>
      </c>
      <c r="H31" s="25">
        <f t="shared" si="3"/>
        <v>1186000</v>
      </c>
      <c r="I31" s="25">
        <f t="shared" si="3"/>
        <v>1428000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335868.75</v>
      </c>
      <c r="F33" s="26">
        <f>PhiInKM4M_BHR70(F32*$E$16*2)*(1+$D$17)</f>
        <v>504612.5</v>
      </c>
      <c r="G33" s="26">
        <f>PhiInKM4M_BHR70(G32*$E$16*2)*(1+$D$17)</f>
        <v>673356.25</v>
      </c>
      <c r="H33" s="26">
        <f>PhiInKM4M_BHR70(H32*$E$16*2)*(1+$D$17)</f>
        <v>842100</v>
      </c>
      <c r="I33" s="26">
        <f>PhiInKM4M_BHR70(I32*$E$16*2)*(1+$D$17)</f>
        <v>1010843.75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87623.652724999993</v>
      </c>
      <c r="F35" s="26">
        <f>(PhiMayCanMang(F32*2,$C$15/100,$D$15/100) + PhiMangCan(F32*2,$C$15/100,$D$15/100,$D$21))*(1+$D$17)</f>
        <v>123184.80527499999</v>
      </c>
      <c r="G35" s="26">
        <f>(PhiMayCanMang(G32*2,$C$15/100,$D$15/100) + PhiMangCan(G32*2,$C$15/100,$D$15/100,$D$21))*(1+$D$17)</f>
        <v>158745.95817500001</v>
      </c>
      <c r="H35" s="26">
        <f>(PhiMayCanMang(H32*2,$C$15/100,$D$15/100) + PhiMangCan(H32*2,$C$15/100,$D$15/100,$D$21))*(1+$D$17)</f>
        <v>194307.11072499998</v>
      </c>
      <c r="I35" s="26">
        <f>(PhiMayCanMang(I32*2,$C$15/100,$D$15/100) + PhiMangCan(I32*2,$C$15/100,$D$15/100,$D$21))*(1+$D$17)</f>
        <v>229460.61635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413000</v>
      </c>
      <c r="F37" s="42">
        <f t="shared" ref="F37:I37" si="6">LamChanHangNgan(F33+F34+F36)</f>
        <v>660000</v>
      </c>
      <c r="G37" s="42">
        <f t="shared" si="6"/>
        <v>907000</v>
      </c>
      <c r="H37" s="42">
        <f t="shared" si="6"/>
        <v>1153000</v>
      </c>
      <c r="I37" s="42">
        <f t="shared" si="6"/>
        <v>1400000</v>
      </c>
    </row>
    <row r="38" spans="1:9" x14ac:dyDescent="0.25">
      <c r="C38" t="s">
        <v>330</v>
      </c>
      <c r="E38" s="42">
        <f>LamChanHangNgan(E33+E34+E35+E36)</f>
        <v>501000</v>
      </c>
      <c r="F38" s="42">
        <f t="shared" ref="F38:I38" si="7">LamChanHangNgan(F33+F34+F35+F36)</f>
        <v>783000</v>
      </c>
      <c r="G38" s="42">
        <f t="shared" si="7"/>
        <v>1065000</v>
      </c>
      <c r="H38" s="42">
        <f t="shared" si="7"/>
        <v>1348000</v>
      </c>
      <c r="I38" s="42">
        <f t="shared" si="7"/>
        <v>1629000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359975</v>
      </c>
      <c r="F40">
        <f>PhiInKM4M_BHR70(F39*$E$16*2)*(1+$D$17)</f>
        <v>552825</v>
      </c>
      <c r="G40">
        <f>PhiInKM4M_BHR70(G39*$E$16*2)*(1+$D$17)</f>
        <v>745675</v>
      </c>
      <c r="H40">
        <f>PhiInKM4M_BHR70(H39*$E$16*2)*(1+$D$17)</f>
        <v>938525</v>
      </c>
      <c r="I40">
        <f>PhiInKM4M_BHR70(I39*$E$16*2)*(1+$D$17)</f>
        <v>1131375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92820.287349999999</v>
      </c>
      <c r="F42">
        <f>(PhiMayCanMang(F39*2,$C$15/100,$D$15/100) + PhiMangCan(F39*2,$C$15/100,$D$15/100,$D$21))*(1+$D$17)</f>
        <v>133170.4276</v>
      </c>
      <c r="G42">
        <f>(PhiMayCanMang(G39*2,$C$15/100,$D$15/100) + PhiMangCan(G39*2,$C$15/100,$D$15/100,$D$21))*(1+$D$17)</f>
        <v>173928.21897499997</v>
      </c>
      <c r="H42">
        <f>(PhiMayCanMang(H39*2,$C$15/100,$D$15/100) + PhiMangCan(H39*2,$C$15/100,$D$15/100,$D$21))*(1+$D$17)</f>
        <v>214278.35537499998</v>
      </c>
      <c r="I42">
        <f>(PhiMayCanMang(I39*2,$C$15/100,$D$15/100) + PhiMangCan(I39*2,$C$15/100,$D$15/100,$D$21))*(1+$D$17)</f>
        <v>255036.14674999999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449000</v>
      </c>
      <c r="F44" s="25">
        <f t="shared" ref="F44:I44" si="10">LamChanHangNgan(F40+F41+F43)</f>
        <v>730000</v>
      </c>
      <c r="G44" s="25">
        <f t="shared" si="10"/>
        <v>1012000</v>
      </c>
      <c r="H44" s="25">
        <f t="shared" si="10"/>
        <v>1294000</v>
      </c>
      <c r="I44" s="25">
        <f t="shared" si="10"/>
        <v>1576000</v>
      </c>
    </row>
    <row r="45" spans="1:9" x14ac:dyDescent="0.25">
      <c r="C45" t="s">
        <v>330</v>
      </c>
      <c r="E45" s="25">
        <f>LamChanHangNgan(E40+E41+E42+E43)</f>
        <v>541000</v>
      </c>
      <c r="F45" s="25">
        <f t="shared" ref="F45:I45" si="11">LamChanHangNgan(F40+F41+F42+F43)</f>
        <v>864000</v>
      </c>
      <c r="G45" s="25">
        <f t="shared" si="11"/>
        <v>1186000</v>
      </c>
      <c r="H45" s="25">
        <f t="shared" si="11"/>
        <v>1508000</v>
      </c>
      <c r="I45" s="25">
        <f t="shared" si="11"/>
        <v>1831000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384081.25</v>
      </c>
      <c r="F47">
        <f>PhiInKM4M_BHR70(F46*$E$16*2)*(1+$D$17)</f>
        <v>601037.5</v>
      </c>
      <c r="G47">
        <f>PhiInKM4M_BHR70(G46*$E$16*2)*(1+$D$17)</f>
        <v>817993.75</v>
      </c>
      <c r="H47">
        <f>PhiInKM4M_BHR70(H46*$E$16*2)*(1+$D$17)</f>
        <v>1034950</v>
      </c>
      <c r="I47">
        <f>PhiInKM4M_BHR70(I46*$E$16*2)*(1+$D$17)</f>
        <v>1251906.25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97609.275049999997</v>
      </c>
      <c r="F49">
        <f>(PhiMayCanMang(F46*2,$C$15/100,$D$15/100) + PhiMangCan(F46*2,$C$15/100,$D$15/100,$D$21))*(1+$D$17)</f>
        <v>143563.697025</v>
      </c>
      <c r="G49">
        <f>(PhiMayCanMang(G46*2,$C$15/100,$D$15/100) + PhiMangCan(G46*2,$C$15/100,$D$15/100,$D$21))*(1+$D$17)</f>
        <v>189110.472075</v>
      </c>
      <c r="H49">
        <f>(PhiMayCanMang(H46*2,$C$15/100,$D$15/100) + PhiMangCan(H46*2,$C$15/100,$D$15/100,$D$21))*(1+$D$17)</f>
        <v>234657.24695</v>
      </c>
      <c r="I49">
        <f>(PhiMayCanMang(I46*2,$C$15/100,$D$15/100) + PhiMangCan(I46*2,$C$15/100,$D$15/100,$D$21))*(1+$D$17)</f>
        <v>280204.03005000006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484000</v>
      </c>
      <c r="F51" s="25">
        <f t="shared" ref="F51:I51" si="14">LamChanHangNgan(F47+F48+F50)</f>
        <v>801000</v>
      </c>
      <c r="G51" s="25">
        <f t="shared" si="14"/>
        <v>1118000</v>
      </c>
      <c r="H51" s="25">
        <f t="shared" si="14"/>
        <v>1435000</v>
      </c>
      <c r="I51" s="25">
        <f t="shared" si="14"/>
        <v>1752000</v>
      </c>
    </row>
    <row r="52" spans="1:9" x14ac:dyDescent="0.25">
      <c r="C52" t="s">
        <v>330</v>
      </c>
      <c r="E52" s="25">
        <f>LamChanHangNgan(E47+E48+E49+E50)</f>
        <v>581000</v>
      </c>
      <c r="F52" s="25">
        <f t="shared" ref="F52:I52" si="15">LamChanHangNgan(F47+F48+F49+F50)</f>
        <v>944000</v>
      </c>
      <c r="G52" s="25">
        <f t="shared" si="15"/>
        <v>1307000</v>
      </c>
      <c r="H52" s="25">
        <f t="shared" si="15"/>
        <v>1670000</v>
      </c>
      <c r="I52" s="25">
        <f t="shared" si="15"/>
        <v>2032000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408187.5</v>
      </c>
      <c r="F54">
        <f>PhiInKM4M_BHR70(F53*$E$16*2)*(1+$D$17)</f>
        <v>649250</v>
      </c>
      <c r="G54">
        <f>PhiInKM4M_BHR70(G53*$E$16*2)*(1+$D$17)</f>
        <v>890312.5</v>
      </c>
      <c r="H54">
        <f>PhiInKM4M_BHR70(H53*$E$16*2)*(1+$D$17)</f>
        <v>1131375</v>
      </c>
      <c r="I54">
        <f>PhiInKM4M_BHR70(I53*$E$16*2)*(1+$D$17)</f>
        <v>1372437.5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102805.911775</v>
      </c>
      <c r="F56">
        <f>(PhiMayCanMang(F53*2,$C$15/100,$D$15/100) + PhiMangCan(F53*2,$C$15/100,$D$15/100,$D$21))*(1+$D$17)</f>
        <v>153549.32337499998</v>
      </c>
      <c r="G56">
        <f>(PhiMayCanMang(G53*2,$C$15/100,$D$15/100) + PhiMangCan(G53*2,$C$15/100,$D$15/100,$D$21))*(1+$D$17)</f>
        <v>204292.73304999998</v>
      </c>
      <c r="H56">
        <f>(PhiMayCanMang(H53*2,$C$15/100,$D$15/100) + PhiMangCan(H53*2,$C$15/100,$D$15/100,$D$21))*(1+$D$17)</f>
        <v>255036.14674999999</v>
      </c>
      <c r="I56">
        <f>(PhiMayCanMang(I53*2,$C$15/100,$D$15/100) + PhiMangCan(I53*2,$C$15/100,$D$15/100,$D$21))*(1+$D$17)</f>
        <v>305779.55239999999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519000</v>
      </c>
      <c r="F58" s="25">
        <f t="shared" ref="F58:I58" si="18">LamChanHangNgan(F54+F55+F57)</f>
        <v>871000</v>
      </c>
      <c r="G58" s="25">
        <f t="shared" si="18"/>
        <v>1224000</v>
      </c>
      <c r="H58" s="25">
        <f t="shared" si="18"/>
        <v>1576000</v>
      </c>
      <c r="I58" s="25">
        <f t="shared" si="18"/>
        <v>1928000</v>
      </c>
    </row>
    <row r="59" spans="1:9" ht="14.25" customHeight="1" x14ac:dyDescent="0.25">
      <c r="C59" t="s">
        <v>330</v>
      </c>
      <c r="E59" s="25">
        <f>LamChanHangNgan(E54+E55+E56+E57)</f>
        <v>622000</v>
      </c>
      <c r="F59" s="25">
        <f t="shared" ref="F59:I59" si="19">LamChanHangNgan(F54+F55+F56+F57)</f>
        <v>1025000</v>
      </c>
      <c r="G59" s="25">
        <f t="shared" si="19"/>
        <v>1428000</v>
      </c>
      <c r="H59" s="25">
        <f t="shared" si="19"/>
        <v>1831000</v>
      </c>
      <c r="I59" s="25">
        <f t="shared" si="19"/>
        <v>2234000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432293.75</v>
      </c>
      <c r="F61">
        <f>PhiInKM4M_BHR70(F60*$E$16*2)*(1+$D$17)</f>
        <v>697462.5</v>
      </c>
      <c r="G61">
        <f>PhiInKM4M_BHR70(G60*$E$16*2)*(1+$D$17)</f>
        <v>962631.25</v>
      </c>
      <c r="H61">
        <f>PhiInKM4M_BHR70(H60*$E$16*2)*(1+$D$17)</f>
        <v>1227800</v>
      </c>
      <c r="I61">
        <f>PhiInKM4M_BHR70(I60*$E$16*2)*(1+$D$17)</f>
        <v>1492968.75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108002.544475</v>
      </c>
      <c r="F63">
        <f>(PhiMayCanMang(F60*2,$C$15/100,$D$15/100) + PhiMangCan(F60*2,$C$15/100,$D$15/100,$D$21))*(1+$D$17)</f>
        <v>163534.94167500001</v>
      </c>
      <c r="G63">
        <f>(PhiMayCanMang(G60*2,$C$15/100,$D$15/100) + PhiMangCan(G60*2,$C$15/100,$D$15/100,$D$21))*(1+$D$17)</f>
        <v>219474.99419999999</v>
      </c>
      <c r="H63">
        <f>(PhiMayCanMang(H60*2,$C$15/100,$D$15/100) + PhiMangCan(H60*2,$C$15/100,$D$15/100,$D$21))*(1+$D$17)</f>
        <v>275415.03027500003</v>
      </c>
      <c r="I63">
        <f>(PhiMayCanMang(I60*2,$C$15/100,$D$15/100) + PhiMangCan(I60*2,$C$15/100,$D$15/100,$D$21))*(1+$D$17)</f>
        <v>330947.44375000003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554000</v>
      </c>
      <c r="F65" s="25">
        <f t="shared" ref="F65:I65" si="22">LamChanHangNgan(F61+F62+F64)</f>
        <v>942000</v>
      </c>
      <c r="G65" s="25">
        <f t="shared" si="22"/>
        <v>1329000</v>
      </c>
      <c r="H65" s="25">
        <f t="shared" si="22"/>
        <v>1717000</v>
      </c>
      <c r="I65" s="25">
        <f t="shared" si="22"/>
        <v>2105000</v>
      </c>
    </row>
    <row r="66" spans="1:9" x14ac:dyDescent="0.25">
      <c r="C66" t="s">
        <v>330</v>
      </c>
      <c r="E66" s="25">
        <f>LamChanHangNgan(E61+E62+E63+E64)</f>
        <v>662000</v>
      </c>
      <c r="F66" s="25">
        <f t="shared" ref="F66:I66" si="23">LamChanHangNgan(F61+F62+F63+F64)</f>
        <v>1105000</v>
      </c>
      <c r="G66" s="25">
        <f t="shared" si="23"/>
        <v>1549000</v>
      </c>
      <c r="H66" s="25">
        <f t="shared" si="23"/>
        <v>1992000</v>
      </c>
      <c r="I66" s="25">
        <f t="shared" si="23"/>
        <v>2436000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456400</v>
      </c>
      <c r="F68">
        <f>PhiInKM4M_BHR70(F67*$E$16*2)*(1+$D$17)</f>
        <v>745675</v>
      </c>
      <c r="G68">
        <f>PhiInKM4M_BHR70(G67*$E$16*2)*(1+$D$17)</f>
        <v>1034950</v>
      </c>
      <c r="H68">
        <f>PhiInKM4M_BHR70(H67*$E$16*2)*(1+$D$17)</f>
        <v>1324225</v>
      </c>
      <c r="I68">
        <f>PhiInKM4M_BHR70(I67*$E$16*2)*(1+$D$17)</f>
        <v>1613500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112791.53602499999</v>
      </c>
      <c r="F70">
        <f>(PhiMayCanMang(F67*2,$C$15/100,$D$15/100) + PhiMangCan(F67*2,$C$15/100,$D$15/100,$D$21))*(1+$D$17)</f>
        <v>173928.21897499997</v>
      </c>
      <c r="G70">
        <f>(PhiMayCanMang(G67*2,$C$15/100,$D$15/100) + PhiMangCan(G67*2,$C$15/100,$D$15/100,$D$21))*(1+$D$17)</f>
        <v>234657.24695</v>
      </c>
      <c r="H70">
        <f>(PhiMayCanMang(H67*2,$C$15/100,$D$15/100) + PhiMangCan(H67*2,$C$15/100,$D$15/100,$D$21))*(1+$D$17)</f>
        <v>295793.93812499999</v>
      </c>
      <c r="I70">
        <f>(PhiMayCanMang(I67*2,$C$15/100,$D$15/100) + PhiMangCan(I67*2,$C$15/100,$D$15/100,$D$21))*(1+$D$17)</f>
        <v>356522.96609999996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589000</v>
      </c>
      <c r="F72" s="25">
        <f t="shared" ref="F72:I72" si="26">LamChanHangNgan(F68+F69+F71)</f>
        <v>1012000</v>
      </c>
      <c r="G72" s="25">
        <f t="shared" si="26"/>
        <v>1435000</v>
      </c>
      <c r="H72" s="25">
        <f t="shared" si="26"/>
        <v>1858000</v>
      </c>
      <c r="I72" s="25">
        <f t="shared" si="26"/>
        <v>2281000</v>
      </c>
    </row>
    <row r="73" spans="1:9" x14ac:dyDescent="0.25">
      <c r="C73" t="s">
        <v>330</v>
      </c>
      <c r="E73" s="25">
        <f>LamChanHangNgan(E68+E69+E70+E71)</f>
        <v>702000</v>
      </c>
      <c r="F73" s="25">
        <f t="shared" ref="F73:I73" si="27">LamChanHangNgan(F68+F69+F70+F71)</f>
        <v>1186000</v>
      </c>
      <c r="G73" s="25">
        <f t="shared" si="27"/>
        <v>1670000</v>
      </c>
      <c r="H73" s="25">
        <f t="shared" si="27"/>
        <v>2154000</v>
      </c>
      <c r="I73" s="25">
        <f t="shared" si="27"/>
        <v>2637000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opLeftCell="A19" workbookViewId="0">
      <selection activeCell="E42" sqref="E42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311762.5</v>
      </c>
      <c r="F26" s="7">
        <f>PhiInKM4M_BHR70(F$25*$E$16*2)*(1+$D$17)</f>
        <v>456400</v>
      </c>
      <c r="G26" s="7">
        <f>PhiInKM4M_BHR70(G$25*$E$16*2)*(1+$D$17)</f>
        <v>601037.5</v>
      </c>
      <c r="H26" s="7">
        <f>PhiInKM4M_BHR70(H$25*$E$16*2)*(1+$D$17)</f>
        <v>745675</v>
      </c>
      <c r="I26" s="7">
        <f>PhiInKM4M_BHR70(I$25*$E$16*2)*(1+$D$17)</f>
        <v>890312.5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82427.017924999993</v>
      </c>
      <c r="F28" s="7">
        <f>(PhiMayCanMang(F$25*2,$C$15/100,$D$15/100) + PhiMangCan(F$25*2,$C$15/100,$D$15/100,$D$21))*(1+$D$17)</f>
        <v>112791.53602499999</v>
      </c>
      <c r="G28" s="7">
        <f>(PhiMayCanMang(G$25*2,$C$15/100,$D$15/100) + PhiMangCan(G$25*2,$C$15/100,$D$15/100,$D$21))*(1+$D$17)</f>
        <v>143563.697025</v>
      </c>
      <c r="H28" s="7">
        <f>(PhiMayCanMang(H$25*2,$C$15/100,$D$15/100) + PhiMangCan(H$25*2,$C$15/100,$D$15/100,$D$21))*(1+$D$17)</f>
        <v>173928.21897499997</v>
      </c>
      <c r="I28" s="7">
        <f>(PhiMayCanMang(I$25*2,$C$15/100,$D$15/100) + PhiMangCan(I$25*2,$C$15/100,$D$15/100,$D$21))*(1+$D$17)</f>
        <v>204292.73304999998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493000</v>
      </c>
      <c r="F30" s="25">
        <f t="shared" ref="F30:I30" si="3">LamChanHangNgan(F$26+F$27+F$29)</f>
        <v>711000</v>
      </c>
      <c r="G30" s="25">
        <f t="shared" si="3"/>
        <v>928000</v>
      </c>
      <c r="H30" s="25">
        <f t="shared" si="3"/>
        <v>1146000</v>
      </c>
      <c r="I30" s="25">
        <f t="shared" si="3"/>
        <v>1364000</v>
      </c>
    </row>
    <row r="31" spans="1:9" x14ac:dyDescent="0.25">
      <c r="C31" t="s">
        <v>330</v>
      </c>
      <c r="E31" s="25">
        <f>LamChanHangNgan(E$26+E$27+E$28+E$29)</f>
        <v>575000</v>
      </c>
      <c r="F31" s="25">
        <f t="shared" ref="F31:I31" si="4">LamChanHangNgan(F$26+F$27+F$28+F$29)</f>
        <v>823000</v>
      </c>
      <c r="G31" s="25">
        <f t="shared" si="4"/>
        <v>1072000</v>
      </c>
      <c r="H31" s="25">
        <f t="shared" si="4"/>
        <v>1320000</v>
      </c>
      <c r="I31" s="25">
        <f t="shared" si="4"/>
        <v>1569000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335868.75</v>
      </c>
      <c r="F33" s="26">
        <f>PhiInKM4M_BHR70(F32*$E$16*2)*(1+$D$17)</f>
        <v>504612.5</v>
      </c>
      <c r="G33" s="26">
        <f>PhiInKM4M_BHR70(G32*$E$16*2)*(1+$D$17)</f>
        <v>673356.25</v>
      </c>
      <c r="H33" s="26">
        <f>PhiInKM4M_BHR70(H32*$E$16*2)*(1+$D$17)</f>
        <v>842100</v>
      </c>
      <c r="I33" s="26">
        <f>PhiInKM4M_BHR70(I32*$E$16*2)*(1+$D$17)</f>
        <v>1010843.75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87623.652724999993</v>
      </c>
      <c r="F35" s="26">
        <f>(PhiMayCanMang(F32*2,$C$15/100,$D$15/100) + PhiMangCan(F32*2,$C$15/100,$D$15/100,$D$21))*(1+$D$17)</f>
        <v>123184.80527499999</v>
      </c>
      <c r="G35" s="26">
        <f>(PhiMayCanMang(G32*2,$C$15/100,$D$15/100) + PhiMangCan(G32*2,$C$15/100,$D$15/100,$D$21))*(1+$D$17)</f>
        <v>158745.95817500001</v>
      </c>
      <c r="H35" s="26">
        <f>(PhiMayCanMang(H32*2,$C$15/100,$D$15/100) + PhiMangCan(H32*2,$C$15/100,$D$15/100,$D$21))*(1+$D$17)</f>
        <v>194307.11072499998</v>
      </c>
      <c r="I35" s="26">
        <f>(PhiMayCanMang(I32*2,$C$15/100,$D$15/100) + PhiMangCan(I32*2,$C$15/100,$D$15/100,$D$21))*(1+$D$17)</f>
        <v>229460.61635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529000</v>
      </c>
      <c r="F37" s="42">
        <f t="shared" ref="F37:I37" si="8">LamChanHangNgan(F33+F34+F36)</f>
        <v>783000</v>
      </c>
      <c r="G37" s="42">
        <f t="shared" si="8"/>
        <v>1037000</v>
      </c>
      <c r="H37" s="42">
        <f t="shared" si="8"/>
        <v>1292000</v>
      </c>
      <c r="I37" s="42">
        <f t="shared" si="8"/>
        <v>1546000</v>
      </c>
    </row>
    <row r="38" spans="1:9" x14ac:dyDescent="0.25">
      <c r="C38" t="s">
        <v>330</v>
      </c>
      <c r="E38" s="42">
        <f>LamChanHangNgan(E33+E34+E35+E36)</f>
        <v>616000</v>
      </c>
      <c r="F38" s="42">
        <f t="shared" ref="F38:I38" si="9">LamChanHangNgan(F33+F34+F35+F36)</f>
        <v>906000</v>
      </c>
      <c r="G38" s="42">
        <f t="shared" si="9"/>
        <v>1196000</v>
      </c>
      <c r="H38" s="42">
        <f t="shared" si="9"/>
        <v>1486000</v>
      </c>
      <c r="I38" s="42">
        <f t="shared" si="9"/>
        <v>1776000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359975</v>
      </c>
      <c r="F40">
        <f>PhiInKM4M_BHR70(F39*$E$16*2)*(1+$D$17)</f>
        <v>552825</v>
      </c>
      <c r="G40">
        <f>PhiInKM4M_BHR70(G39*$E$16*2)*(1+$D$17)</f>
        <v>745675</v>
      </c>
      <c r="H40">
        <f>PhiInKM4M_BHR70(H39*$E$16*2)*(1+$D$17)</f>
        <v>938525</v>
      </c>
      <c r="I40">
        <f>PhiInKM4M_BHR70(I39*$E$16*2)*(1+$D$17)</f>
        <v>1131375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92820.287349999999</v>
      </c>
      <c r="F42">
        <f>(PhiMayCanMang(F39*2,$C$15/100,$D$15/100) + PhiMangCan(F39*2,$C$15/100,$D$15/100,$D$21))*(1+$D$17)</f>
        <v>133170.4276</v>
      </c>
      <c r="G42">
        <f>(PhiMayCanMang(G39*2,$C$15/100,$D$15/100) + PhiMangCan(G39*2,$C$15/100,$D$15/100,$D$21))*(1+$D$17)</f>
        <v>173928.21897499997</v>
      </c>
      <c r="H42">
        <f>(PhiMayCanMang(H39*2,$C$15/100,$D$15/100) + PhiMangCan(H39*2,$C$15/100,$D$15/100,$D$21))*(1+$D$17)</f>
        <v>214278.35537499998</v>
      </c>
      <c r="I42">
        <f>(PhiMayCanMang(I39*2,$C$15/100,$D$15/100) + PhiMangCan(I39*2,$C$15/100,$D$15/100,$D$21))*(1+$D$17)</f>
        <v>255036.14674999999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565000</v>
      </c>
      <c r="F44" s="25">
        <f t="shared" ref="F44" si="13">LamChanHangNgan(F40+F41+F43)</f>
        <v>856000</v>
      </c>
      <c r="G44" s="25">
        <f t="shared" ref="G44" si="14">LamChanHangNgan(G40+G41+G43)</f>
        <v>1146000</v>
      </c>
      <c r="H44" s="25">
        <f t="shared" ref="H44" si="15">LamChanHangNgan(H40+H41+H43)</f>
        <v>1437000</v>
      </c>
      <c r="I44" s="25">
        <f t="shared" ref="I44" si="16">LamChanHangNgan(I40+I41+I43)</f>
        <v>1728000</v>
      </c>
    </row>
    <row r="45" spans="1:9" x14ac:dyDescent="0.25">
      <c r="C45" t="s">
        <v>330</v>
      </c>
      <c r="E45" s="25">
        <f>LamChanHangNgan(E40+E41+E42+E43)</f>
        <v>658000</v>
      </c>
      <c r="F45" s="25">
        <f t="shared" ref="F45:I45" si="17">LamChanHangNgan(F40+F41+F42+F43)</f>
        <v>989000</v>
      </c>
      <c r="G45" s="25">
        <f t="shared" si="17"/>
        <v>1320000</v>
      </c>
      <c r="H45" s="25">
        <f t="shared" si="17"/>
        <v>1651000</v>
      </c>
      <c r="I45" s="25">
        <f t="shared" si="17"/>
        <v>1983000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384081.25</v>
      </c>
      <c r="F47">
        <f>PhiInKM4M_BHR70(F46*$E$16*2)*(1+$D$17)</f>
        <v>601037.5</v>
      </c>
      <c r="G47">
        <f>PhiInKM4M_BHR70(G46*$E$16*2)*(1+$D$17)</f>
        <v>817993.75</v>
      </c>
      <c r="H47">
        <f>PhiInKM4M_BHR70(H46*$E$16*2)*(1+$D$17)</f>
        <v>1034950</v>
      </c>
      <c r="I47">
        <f>PhiInKM4M_BHR70(I46*$E$16*2)*(1+$D$17)</f>
        <v>1251906.25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97609.275049999997</v>
      </c>
      <c r="F49">
        <f>(PhiMayCanMang(F46*2,$C$15/100,$D$15/100) + PhiMangCan(F46*2,$C$15/100,$D$15/100,$D$21))*(1+$D$17)</f>
        <v>143563.697025</v>
      </c>
      <c r="G49">
        <f>(PhiMayCanMang(G46*2,$C$15/100,$D$15/100) + PhiMangCan(G46*2,$C$15/100,$D$15/100,$D$21))*(1+$D$17)</f>
        <v>189110.472075</v>
      </c>
      <c r="H49">
        <f>(PhiMayCanMang(H46*2,$C$15/100,$D$15/100) + PhiMangCan(H46*2,$C$15/100,$D$15/100,$D$21))*(1+$D$17)</f>
        <v>234657.24695</v>
      </c>
      <c r="I49">
        <f>(PhiMayCanMang(I46*2,$C$15/100,$D$15/100) + PhiMangCan(I46*2,$C$15/100,$D$15/100,$D$21))*(1+$D$17)</f>
        <v>280204.03005000006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602000</v>
      </c>
      <c r="F51" s="25">
        <f t="shared" ref="F51" si="21">LamChanHangNgan(F47+F48+F50)</f>
        <v>928000</v>
      </c>
      <c r="G51" s="25">
        <f t="shared" ref="G51" si="22">LamChanHangNgan(G47+G48+G50)</f>
        <v>1255000</v>
      </c>
      <c r="H51" s="25">
        <f t="shared" ref="H51" si="23">LamChanHangNgan(H47+H48+H50)</f>
        <v>1582000</v>
      </c>
      <c r="I51" s="25">
        <f t="shared" ref="I51" si="24">LamChanHangNgan(I47+I48+I50)</f>
        <v>1909000</v>
      </c>
    </row>
    <row r="52" spans="1:9" x14ac:dyDescent="0.25">
      <c r="C52" t="s">
        <v>330</v>
      </c>
      <c r="E52" s="25">
        <f>LamChanHangNgan(E47+E48+E49+E50)</f>
        <v>699000</v>
      </c>
      <c r="F52" s="25">
        <f t="shared" ref="F52:I52" si="25">LamChanHangNgan(F47+F48+F49+F50)</f>
        <v>1072000</v>
      </c>
      <c r="G52" s="25">
        <f t="shared" si="25"/>
        <v>1445000</v>
      </c>
      <c r="H52" s="25">
        <f t="shared" si="25"/>
        <v>1817000</v>
      </c>
      <c r="I52" s="25">
        <f t="shared" si="25"/>
        <v>2190000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408187.5</v>
      </c>
      <c r="F54">
        <f>PhiInKM4M_BHR70(F53*$E$16*2)*(1+$D$17)</f>
        <v>649250</v>
      </c>
      <c r="G54">
        <f>PhiInKM4M_BHR70(G53*$E$16*2)*(1+$D$17)</f>
        <v>890312.5</v>
      </c>
      <c r="H54">
        <f>PhiInKM4M_BHR70(H53*$E$16*2)*(1+$D$17)</f>
        <v>1131375</v>
      </c>
      <c r="I54">
        <f>PhiInKM4M_BHR70(I53*$E$16*2)*(1+$D$17)</f>
        <v>1372437.5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102805.911775</v>
      </c>
      <c r="F56">
        <f>(PhiMayCanMang(F53*2,$C$15/100,$D$15/100) + PhiMangCan(F53*2,$C$15/100,$D$15/100,$D$21))*(1+$D$17)</f>
        <v>153549.32337499998</v>
      </c>
      <c r="G56">
        <f>(PhiMayCanMang(G53*2,$C$15/100,$D$15/100) + PhiMangCan(G53*2,$C$15/100,$D$15/100,$D$21))*(1+$D$17)</f>
        <v>204292.73304999998</v>
      </c>
      <c r="H56">
        <f>(PhiMayCanMang(H53*2,$C$15/100,$D$15/100) + PhiMangCan(H53*2,$C$15/100,$D$15/100,$D$21))*(1+$D$17)</f>
        <v>255036.14674999999</v>
      </c>
      <c r="I56">
        <f>(PhiMayCanMang(I53*2,$C$15/100,$D$15/100) + PhiMangCan(I53*2,$C$15/100,$D$15/100,$D$21))*(1+$D$17)</f>
        <v>305779.55239999999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638000</v>
      </c>
      <c r="F58" s="25">
        <f t="shared" ref="F58" si="29">LamChanHangNgan(F54+F55+F57)</f>
        <v>1001000</v>
      </c>
      <c r="G58" s="25">
        <f t="shared" ref="G58" si="30">LamChanHangNgan(G54+G55+G57)</f>
        <v>1364000</v>
      </c>
      <c r="H58" s="25">
        <f t="shared" ref="H58" si="31">LamChanHangNgan(H54+H55+H57)</f>
        <v>1728000</v>
      </c>
      <c r="I58" s="25">
        <f t="shared" ref="I58" si="32">LamChanHangNgan(I54+I55+I57)</f>
        <v>2091000</v>
      </c>
    </row>
    <row r="59" spans="1:9" ht="14.25" customHeight="1" x14ac:dyDescent="0.25">
      <c r="C59" t="s">
        <v>330</v>
      </c>
      <c r="E59" s="25">
        <f>LamChanHangNgan(E54+E55+E56+E57)</f>
        <v>741000</v>
      </c>
      <c r="F59" s="25">
        <f t="shared" ref="F59:I59" si="33">LamChanHangNgan(F54+F55+F56+F57)</f>
        <v>1155000</v>
      </c>
      <c r="G59" s="25">
        <f t="shared" si="33"/>
        <v>1569000</v>
      </c>
      <c r="H59" s="25">
        <f t="shared" si="33"/>
        <v>1983000</v>
      </c>
      <c r="I59" s="25">
        <f t="shared" si="33"/>
        <v>2397000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432293.75</v>
      </c>
      <c r="F61">
        <f>PhiInKM4M_BHR70(F60*$E$16*2)*(1+$D$17)</f>
        <v>697462.5</v>
      </c>
      <c r="G61">
        <f>PhiInKM4M_BHR70(G60*$E$16*2)*(1+$D$17)</f>
        <v>962631.25</v>
      </c>
      <c r="H61">
        <f>PhiInKM4M_BHR70(H60*$E$16*2)*(1+$D$17)</f>
        <v>1227800</v>
      </c>
      <c r="I61">
        <f>PhiInKM4M_BHR70(I60*$E$16*2)*(1+$D$17)</f>
        <v>1492968.75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108002.544475</v>
      </c>
      <c r="F63">
        <f>(PhiMayCanMang(F60*2,$C$15/100,$D$15/100) + PhiMangCan(F60*2,$C$15/100,$D$15/100,$D$21))*(1+$D$17)</f>
        <v>163534.94167500001</v>
      </c>
      <c r="G63">
        <f>(PhiMayCanMang(G60*2,$C$15/100,$D$15/100) + PhiMangCan(G60*2,$C$15/100,$D$15/100,$D$21))*(1+$D$17)</f>
        <v>219474.99419999999</v>
      </c>
      <c r="H63">
        <f>(PhiMayCanMang(H60*2,$C$15/100,$D$15/100) + PhiMangCan(H60*2,$C$15/100,$D$15/100,$D$21))*(1+$D$17)</f>
        <v>275415.03027500003</v>
      </c>
      <c r="I63">
        <f>(PhiMayCanMang(I60*2,$C$15/100,$D$15/100) + PhiMangCan(I60*2,$C$15/100,$D$15/100,$D$21))*(1+$D$17)</f>
        <v>330947.44375000003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674000</v>
      </c>
      <c r="F65" s="25">
        <f t="shared" ref="F65" si="37">LamChanHangNgan(F61+F62+F64)</f>
        <v>1074000</v>
      </c>
      <c r="G65" s="25">
        <f t="shared" ref="G65" si="38">LamChanHangNgan(G61+G62+G64)</f>
        <v>1473000</v>
      </c>
      <c r="H65" s="25">
        <f t="shared" ref="H65" si="39">LamChanHangNgan(H61+H62+H64)</f>
        <v>1873000</v>
      </c>
      <c r="I65" s="25">
        <f t="shared" ref="I65" si="40">LamChanHangNgan(I61+I62+I64)</f>
        <v>2273000</v>
      </c>
    </row>
    <row r="66" spans="1:9" x14ac:dyDescent="0.25">
      <c r="C66" t="s">
        <v>330</v>
      </c>
      <c r="E66" s="25">
        <f>LamChanHangNgan(E61+E62+E63+E64)</f>
        <v>782000</v>
      </c>
      <c r="F66" s="25">
        <f t="shared" ref="F66:I66" si="41">LamChanHangNgan(F61+F62+F63+F64)</f>
        <v>1237000</v>
      </c>
      <c r="G66" s="25">
        <f t="shared" si="41"/>
        <v>1693000</v>
      </c>
      <c r="H66" s="25">
        <f t="shared" si="41"/>
        <v>2148000</v>
      </c>
      <c r="I66" s="25">
        <f t="shared" si="41"/>
        <v>2604000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456400</v>
      </c>
      <c r="F68">
        <f>PhiInKM4M_BHR70(F67*$E$16*2)*(1+$D$17)</f>
        <v>745675</v>
      </c>
      <c r="G68">
        <f>PhiInKM4M_BHR70(G67*$E$16*2)*(1+$D$17)</f>
        <v>1034950</v>
      </c>
      <c r="H68">
        <f>PhiInKM4M_BHR70(H67*$E$16*2)*(1+$D$17)</f>
        <v>1324225</v>
      </c>
      <c r="I68">
        <f>PhiInKM4M_BHR70(I67*$E$16*2)*(1+$D$17)</f>
        <v>1613500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112791.53602499999</v>
      </c>
      <c r="F70">
        <f>(PhiMayCanMang(F67*2,$C$15/100,$D$15/100) + PhiMangCan(F67*2,$C$15/100,$D$15/100,$D$21))*(1+$D$17)</f>
        <v>173928.21897499997</v>
      </c>
      <c r="G70">
        <f>(PhiMayCanMang(G67*2,$C$15/100,$D$15/100) + PhiMangCan(G67*2,$C$15/100,$D$15/100,$D$21))*(1+$D$17)</f>
        <v>234657.24695</v>
      </c>
      <c r="H70">
        <f>(PhiMayCanMang(H67*2,$C$15/100,$D$15/100) + PhiMangCan(H67*2,$C$15/100,$D$15/100,$D$21))*(1+$D$17)</f>
        <v>295793.93812499999</v>
      </c>
      <c r="I70">
        <f>(PhiMayCanMang(I67*2,$C$15/100,$D$15/100) + PhiMangCan(I67*2,$C$15/100,$D$15/100,$D$21))*(1+$D$17)</f>
        <v>356522.96609999996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711000</v>
      </c>
      <c r="F72" s="25">
        <f t="shared" ref="F72" si="45">LamChanHangNgan(F68+F69+F71)</f>
        <v>1146000</v>
      </c>
      <c r="G72" s="25">
        <f t="shared" ref="G72" si="46">LamChanHangNgan(G68+G69+G71)</f>
        <v>1582000</v>
      </c>
      <c r="H72" s="25">
        <f t="shared" ref="H72" si="47">LamChanHangNgan(H68+H69+H71)</f>
        <v>2018000</v>
      </c>
      <c r="I72" s="25">
        <f t="shared" ref="I72" si="48">LamChanHangNgan(I68+I69+I71)</f>
        <v>2454000</v>
      </c>
    </row>
    <row r="73" spans="1:9" x14ac:dyDescent="0.25">
      <c r="C73" t="s">
        <v>330</v>
      </c>
      <c r="E73" s="25">
        <f>LamChanHangNgan(E68+E69+E70+E71)</f>
        <v>823000</v>
      </c>
      <c r="F73" s="25">
        <f t="shared" ref="F73:I73" si="49">LamChanHangNgan(F68+F69+F70+F71)</f>
        <v>1320000</v>
      </c>
      <c r="G73" s="25">
        <f t="shared" si="49"/>
        <v>1817000</v>
      </c>
      <c r="H73" s="25">
        <f t="shared" si="49"/>
        <v>2314000</v>
      </c>
      <c r="I73" s="25">
        <f t="shared" si="49"/>
        <v>2811000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931B8-C14D-4C57-8D99-4B7C084A3C9D}">
  <sheetPr codeName="Trang_tính22"/>
  <dimension ref="A1:J89"/>
  <sheetViews>
    <sheetView topLeftCell="A54" workbookViewId="0">
      <selection activeCell="H84" sqref="H84"/>
    </sheetView>
  </sheetViews>
  <sheetFormatPr defaultRowHeight="15" x14ac:dyDescent="0.25"/>
  <cols>
    <col min="1" max="1" width="20" bestFit="1" customWidth="1"/>
    <col min="2" max="2" width="21" customWidth="1"/>
    <col min="3" max="3" width="21.42578125" customWidth="1"/>
    <col min="4" max="4" width="15.85546875" bestFit="1" customWidth="1"/>
    <col min="5" max="5" width="24.140625" customWidth="1"/>
    <col min="6" max="9" width="16" bestFit="1" customWidth="1"/>
    <col min="10" max="10" width="1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  <c r="C2" t="s">
        <v>325</v>
      </c>
    </row>
    <row r="3" spans="1:7" x14ac:dyDescent="0.25">
      <c r="A3" t="s">
        <v>410</v>
      </c>
      <c r="B3">
        <v>2</v>
      </c>
      <c r="C3" t="s">
        <v>411</v>
      </c>
    </row>
    <row r="4" spans="1:7" x14ac:dyDescent="0.25">
      <c r="A4" t="s">
        <v>214</v>
      </c>
      <c r="B4" t="s">
        <v>412</v>
      </c>
    </row>
    <row r="5" spans="1:7" x14ac:dyDescent="0.25">
      <c r="A5" t="s">
        <v>286</v>
      </c>
      <c r="B5" t="s">
        <v>376</v>
      </c>
    </row>
    <row r="6" spans="1:7" x14ac:dyDescent="0.25">
      <c r="A6" t="s">
        <v>293</v>
      </c>
      <c r="B6" t="s">
        <v>409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43737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10" ht="45" x14ac:dyDescent="0.25">
      <c r="A17" t="s">
        <v>135</v>
      </c>
      <c r="D17" s="33">
        <v>1</v>
      </c>
      <c r="E17" s="45" t="s">
        <v>407</v>
      </c>
    </row>
    <row r="18" spans="1:10" x14ac:dyDescent="0.25">
      <c r="B18" t="s">
        <v>215</v>
      </c>
      <c r="C18" t="s">
        <v>216</v>
      </c>
      <c r="D18" t="s">
        <v>218</v>
      </c>
      <c r="E18" t="s">
        <v>217</v>
      </c>
    </row>
    <row r="19" spans="1:10" x14ac:dyDescent="0.25">
      <c r="A19" t="s">
        <v>301</v>
      </c>
      <c r="B19" t="s">
        <v>155</v>
      </c>
      <c r="C19" t="s">
        <v>148</v>
      </c>
      <c r="D19">
        <v>1272</v>
      </c>
      <c r="E19" s="7"/>
    </row>
    <row r="21" spans="1:10" x14ac:dyDescent="0.25">
      <c r="A21" t="s">
        <v>331</v>
      </c>
      <c r="B21" t="s">
        <v>98</v>
      </c>
      <c r="C21" t="s">
        <v>99</v>
      </c>
      <c r="D21">
        <v>1200</v>
      </c>
    </row>
    <row r="23" spans="1:10" x14ac:dyDescent="0.25">
      <c r="A23" t="s">
        <v>305</v>
      </c>
    </row>
    <row r="24" spans="1:10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  <c r="J24" s="1">
        <v>100</v>
      </c>
    </row>
    <row r="25" spans="1:10" x14ac:dyDescent="0.25">
      <c r="A25" s="19" t="s">
        <v>406</v>
      </c>
      <c r="B25" s="19"/>
      <c r="C25" s="46" t="s">
        <v>394</v>
      </c>
      <c r="E25">
        <f>15/60</f>
        <v>0.25</v>
      </c>
      <c r="F25">
        <f t="shared" ref="F25:J25" si="0">15/60</f>
        <v>0.25</v>
      </c>
      <c r="G25">
        <f t="shared" si="0"/>
        <v>0.25</v>
      </c>
      <c r="H25">
        <f t="shared" si="0"/>
        <v>0.25</v>
      </c>
      <c r="I25">
        <f t="shared" si="0"/>
        <v>0.25</v>
      </c>
      <c r="J25">
        <f t="shared" si="0"/>
        <v>0.25</v>
      </c>
    </row>
    <row r="26" spans="1:10" x14ac:dyDescent="0.25">
      <c r="C26" t="s">
        <v>395</v>
      </c>
      <c r="E26" s="7">
        <f>PhiKyThuatIn(E$25)</f>
        <v>44000</v>
      </c>
      <c r="F26" s="7">
        <f t="shared" ref="F26:J26" si="1">PhiKyThuatIn(F$25)</f>
        <v>44000</v>
      </c>
      <c r="G26" s="7">
        <f t="shared" si="1"/>
        <v>44000</v>
      </c>
      <c r="H26" s="7">
        <f t="shared" si="1"/>
        <v>44000</v>
      </c>
      <c r="I26" s="7">
        <f t="shared" si="1"/>
        <v>44000</v>
      </c>
      <c r="J26" s="7">
        <f t="shared" si="1"/>
        <v>44000</v>
      </c>
    </row>
    <row r="27" spans="1:10" x14ac:dyDescent="0.25">
      <c r="A27">
        <v>12</v>
      </c>
      <c r="C27" s="46" t="s">
        <v>413</v>
      </c>
      <c r="E27">
        <f>($A27*E$24/2)</f>
        <v>60</v>
      </c>
      <c r="F27">
        <f t="shared" ref="F27:J27" si="2">($A27*F$24/2)</f>
        <v>120</v>
      </c>
      <c r="G27">
        <f t="shared" si="2"/>
        <v>180</v>
      </c>
      <c r="H27">
        <f t="shared" si="2"/>
        <v>240</v>
      </c>
      <c r="I27">
        <f t="shared" si="2"/>
        <v>300</v>
      </c>
      <c r="J27">
        <f t="shared" si="2"/>
        <v>600</v>
      </c>
    </row>
    <row r="28" spans="1:10" x14ac:dyDescent="0.25">
      <c r="C28" s="46" t="s">
        <v>332</v>
      </c>
      <c r="E28">
        <f>E27/$D$16</f>
        <v>30</v>
      </c>
      <c r="F28">
        <f t="shared" ref="F28:I28" si="3">F27/$D$16</f>
        <v>60</v>
      </c>
      <c r="G28">
        <f t="shared" si="3"/>
        <v>90</v>
      </c>
      <c r="H28">
        <f t="shared" si="3"/>
        <v>120</v>
      </c>
      <c r="I28">
        <f t="shared" si="3"/>
        <v>150</v>
      </c>
      <c r="J28">
        <f t="shared" ref="J28" si="4">J27/$D$16</f>
        <v>300</v>
      </c>
    </row>
    <row r="29" spans="1:10" x14ac:dyDescent="0.25">
      <c r="C29" t="s">
        <v>408</v>
      </c>
      <c r="E29" s="7">
        <f>PhiInKM4M_BHR70(E28*$E$16*2)</f>
        <v>178150</v>
      </c>
      <c r="F29" s="7">
        <f>PhiInKM4M_BHR70(F28*$E$16*2)</f>
        <v>260800</v>
      </c>
      <c r="G29" s="7">
        <f>PhiInKM4M_BHR70(G28*$E$16*2)</f>
        <v>343450</v>
      </c>
      <c r="H29" s="7">
        <f>PhiInKM4M_BHR70(H28*$E$16*2)</f>
        <v>426100</v>
      </c>
      <c r="I29" s="7">
        <f>PhiInKM4M_BHR70(I28*$E$16*2)</f>
        <v>508750</v>
      </c>
      <c r="J29" s="7">
        <f>PhiInKM4M_BHR70(J28*$E$16*2)</f>
        <v>922000</v>
      </c>
    </row>
    <row r="30" spans="1:10" x14ac:dyDescent="0.25">
      <c r="C30" t="s">
        <v>396</v>
      </c>
      <c r="E30" s="7">
        <f>E$28*$D$19</f>
        <v>38160</v>
      </c>
      <c r="F30" s="7">
        <f t="shared" ref="F30:J30" si="5">F$28*$D$19</f>
        <v>76320</v>
      </c>
      <c r="G30" s="7">
        <f t="shared" si="5"/>
        <v>114480</v>
      </c>
      <c r="H30" s="7">
        <f t="shared" si="5"/>
        <v>152640</v>
      </c>
      <c r="I30" s="7">
        <f t="shared" si="5"/>
        <v>190800</v>
      </c>
      <c r="J30" s="7">
        <f t="shared" si="5"/>
        <v>381600</v>
      </c>
    </row>
    <row r="31" spans="1:10" x14ac:dyDescent="0.25">
      <c r="C31" t="s">
        <v>397</v>
      </c>
      <c r="E31" s="7">
        <f>PhiMayCanMang_R2(E28*2,$C$15/100,$D$15/100)</f>
        <v>47101.153100000003</v>
      </c>
      <c r="F31" s="7">
        <f t="shared" ref="F31:I31" si="6">PhiMayCanMang_R2(F28*2,$C$15/100,$D$15/100)</f>
        <v>64452.306299999997</v>
      </c>
      <c r="G31" s="7">
        <f t="shared" si="6"/>
        <v>82036.398300000001</v>
      </c>
      <c r="H31" s="7">
        <f t="shared" si="6"/>
        <v>99387.553700000004</v>
      </c>
      <c r="I31" s="7">
        <f t="shared" si="6"/>
        <v>116738.7046</v>
      </c>
      <c r="J31" s="7">
        <f t="shared" ref="J31" si="7">PhiMayCanMang_R2(J28*2,$C$15/100,$D$15/100)</f>
        <v>203727.40919999999</v>
      </c>
    </row>
    <row r="32" spans="1:10" x14ac:dyDescent="0.25">
      <c r="C32" t="s">
        <v>398</v>
      </c>
      <c r="E32" s="7">
        <f>PhiMay_AccSlit(E27, $G$13/100)</f>
        <v>132475.3333</v>
      </c>
      <c r="F32" s="7">
        <f t="shared" ref="F32:I32" si="8">PhiMay_AccSlit(F27, $G$13/100)</f>
        <v>176200.6667</v>
      </c>
      <c r="G32" s="7">
        <f t="shared" si="8"/>
        <v>219926</v>
      </c>
      <c r="H32" s="7">
        <f t="shared" si="8"/>
        <v>263651.3333</v>
      </c>
      <c r="I32" s="7">
        <f t="shared" si="8"/>
        <v>307376.6667</v>
      </c>
      <c r="J32" s="7">
        <f t="shared" ref="J32" si="9">PhiMay_AccSlit(J27, $G$13/100)</f>
        <v>526003.33330000006</v>
      </c>
    </row>
    <row r="33" spans="1:10" x14ac:dyDescent="0.25">
      <c r="C33" t="s">
        <v>399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</row>
    <row r="34" spans="1:10" x14ac:dyDescent="0.25">
      <c r="C34" t="s">
        <v>400</v>
      </c>
      <c r="E34" s="25">
        <f>LamChanHangNgan((E$26+E29+E30+E32)*(1+$D$17))</f>
        <v>785000</v>
      </c>
      <c r="F34" s="25">
        <f t="shared" ref="F34:I34" si="10">LamChanHangNgan((F$26+F29+F30+F32)*(1+$D$17))</f>
        <v>1114000</v>
      </c>
      <c r="G34" s="25">
        <f t="shared" si="10"/>
        <v>1443000</v>
      </c>
      <c r="H34" s="25">
        <f t="shared" si="10"/>
        <v>1772000</v>
      </c>
      <c r="I34" s="25">
        <f t="shared" si="10"/>
        <v>2101000</v>
      </c>
      <c r="J34" s="25">
        <f t="shared" ref="J34" si="11">LamChanHangNgan((J$26+J29+J30+J32)*(1+$D$17))</f>
        <v>3747000</v>
      </c>
    </row>
    <row r="35" spans="1:10" x14ac:dyDescent="0.25">
      <c r="C35" t="s">
        <v>401</v>
      </c>
      <c r="E35" s="25">
        <f>LamChanHangNgan((E$26+E29+E30+E31+E32)*(1+$D$17))</f>
        <v>879000</v>
      </c>
      <c r="F35" s="25">
        <f t="shared" ref="F35:I35" si="12">LamChanHangNgan((F$26+F29+F30+F31+F32)*(1+$D$17))</f>
        <v>1243000</v>
      </c>
      <c r="G35" s="25">
        <f t="shared" si="12"/>
        <v>1607000</v>
      </c>
      <c r="H35" s="25">
        <f t="shared" si="12"/>
        <v>1971000</v>
      </c>
      <c r="I35" s="25">
        <f t="shared" si="12"/>
        <v>2335000</v>
      </c>
      <c r="J35" s="25">
        <f t="shared" ref="J35" si="13">LamChanHangNgan((J$26+J29+J30+J31+J32)*(1+$D$17))</f>
        <v>4154000</v>
      </c>
    </row>
    <row r="36" spans="1:10" x14ac:dyDescent="0.25">
      <c r="A36">
        <v>14</v>
      </c>
      <c r="C36" s="46" t="s">
        <v>413</v>
      </c>
      <c r="E36">
        <f>($A36*E$24/2)</f>
        <v>70</v>
      </c>
      <c r="F36">
        <f t="shared" ref="F36:J36" si="14">($A36*F$24/2)</f>
        <v>140</v>
      </c>
      <c r="G36">
        <f t="shared" si="14"/>
        <v>210</v>
      </c>
      <c r="H36">
        <f t="shared" si="14"/>
        <v>280</v>
      </c>
      <c r="I36">
        <f t="shared" si="14"/>
        <v>350</v>
      </c>
      <c r="J36">
        <f t="shared" si="14"/>
        <v>700</v>
      </c>
    </row>
    <row r="37" spans="1:10" x14ac:dyDescent="0.25">
      <c r="C37" s="46" t="s">
        <v>332</v>
      </c>
      <c r="E37">
        <f>E36/$D$16</f>
        <v>35</v>
      </c>
      <c r="F37">
        <f t="shared" ref="F37:I37" si="15">F36/$D$16</f>
        <v>70</v>
      </c>
      <c r="G37">
        <f t="shared" si="15"/>
        <v>105</v>
      </c>
      <c r="H37">
        <f t="shared" si="15"/>
        <v>140</v>
      </c>
      <c r="I37">
        <f t="shared" si="15"/>
        <v>175</v>
      </c>
      <c r="J37">
        <f t="shared" ref="J37" si="16">J36/$D$16</f>
        <v>350</v>
      </c>
    </row>
    <row r="38" spans="1:10" x14ac:dyDescent="0.25">
      <c r="C38" t="s">
        <v>408</v>
      </c>
      <c r="E38" s="7">
        <f>PhiInKM4M_BHR70(E37*$E$16*2)</f>
        <v>191925</v>
      </c>
      <c r="F38" s="7">
        <f>PhiInKM4M_BHR70(F37*$E$16*2)</f>
        <v>288350</v>
      </c>
      <c r="G38" s="7">
        <f>PhiInKM4M_BHR70(G37*$E$16*2)</f>
        <v>384775</v>
      </c>
      <c r="H38" s="7">
        <f>PhiInKM4M_BHR70(H37*$E$16*2)</f>
        <v>481200</v>
      </c>
      <c r="I38" s="7">
        <f>PhiInKM4M_BHR70(I37*$E$16*2)</f>
        <v>577625</v>
      </c>
      <c r="J38" s="7">
        <f>PhiInKM4M_BHR70(J37*$E$16*2)</f>
        <v>1059750</v>
      </c>
    </row>
    <row r="39" spans="1:10" x14ac:dyDescent="0.25">
      <c r="C39" t="s">
        <v>396</v>
      </c>
      <c r="E39" s="7">
        <f>E$28*$D$19</f>
        <v>38160</v>
      </c>
      <c r="F39" s="7">
        <f t="shared" ref="F39:J39" si="17">F$28*$D$19</f>
        <v>76320</v>
      </c>
      <c r="G39" s="7">
        <f t="shared" si="17"/>
        <v>114480</v>
      </c>
      <c r="H39" s="7">
        <f t="shared" si="17"/>
        <v>152640</v>
      </c>
      <c r="I39" s="7">
        <f t="shared" si="17"/>
        <v>190800</v>
      </c>
      <c r="J39" s="7">
        <f t="shared" si="17"/>
        <v>381600</v>
      </c>
    </row>
    <row r="40" spans="1:10" x14ac:dyDescent="0.25">
      <c r="C40" t="s">
        <v>397</v>
      </c>
      <c r="E40" s="7">
        <f>PhiMayCanMang_R2(E37*2,$C$15/100,$D$15/100)</f>
        <v>50070.6587</v>
      </c>
      <c r="F40" s="7">
        <f t="shared" ref="F40:I40" si="18">PhiMayCanMang_R2(F37*2,$C$15/100,$D$15/100)</f>
        <v>70391.317299999995</v>
      </c>
      <c r="G40" s="7">
        <f t="shared" si="18"/>
        <v>90711.9761</v>
      </c>
      <c r="H40" s="7">
        <f t="shared" si="18"/>
        <v>111032.6347</v>
      </c>
      <c r="I40" s="7">
        <f t="shared" si="18"/>
        <v>131120.35219999999</v>
      </c>
      <c r="J40" s="7">
        <f t="shared" ref="J40" si="19">PhiMayCanMang_R2(J37*2,$C$15/100,$D$15/100)</f>
        <v>232723.64559999999</v>
      </c>
    </row>
    <row r="41" spans="1:10" x14ac:dyDescent="0.25">
      <c r="C41" t="s">
        <v>398</v>
      </c>
      <c r="E41" s="7">
        <f>PhiMay_AccSlit(E36, $G$13/100)</f>
        <v>139762.88889999999</v>
      </c>
      <c r="F41" s="7">
        <f t="shared" ref="F41:I41" si="20">PhiMay_AccSlit(F36, $G$13/100)</f>
        <v>190775.77780000001</v>
      </c>
      <c r="G41" s="7">
        <f t="shared" si="20"/>
        <v>241788.6667</v>
      </c>
      <c r="H41" s="7">
        <f t="shared" si="20"/>
        <v>292801.55560000002</v>
      </c>
      <c r="I41" s="7">
        <f t="shared" si="20"/>
        <v>343814.44439999998</v>
      </c>
      <c r="J41" s="7">
        <f t="shared" ref="J41" si="21">PhiMay_AccSlit(J36, $G$13/100)</f>
        <v>598878.88890000002</v>
      </c>
    </row>
    <row r="42" spans="1:10" x14ac:dyDescent="0.25">
      <c r="C42" t="s">
        <v>399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</row>
    <row r="43" spans="1:10" x14ac:dyDescent="0.25">
      <c r="C43" t="s">
        <v>400</v>
      </c>
      <c r="E43" s="25">
        <f>LamChanHangNgan((E$26+E38+E39+E41)*(1+$D$17))</f>
        <v>827000</v>
      </c>
      <c r="F43" s="25">
        <f t="shared" ref="F43:I43" si="22">LamChanHangNgan((F$26+F38+F39+F41)*(1+$D$17))</f>
        <v>1198000</v>
      </c>
      <c r="G43" s="25">
        <f t="shared" si="22"/>
        <v>1570000</v>
      </c>
      <c r="H43" s="25">
        <f t="shared" si="22"/>
        <v>1941000</v>
      </c>
      <c r="I43" s="25">
        <f t="shared" si="22"/>
        <v>2312000</v>
      </c>
      <c r="J43" s="25">
        <f t="shared" ref="J43" si="23">LamChanHangNgan((J$26+J38+J39+J41)*(1+$D$17))</f>
        <v>4168000</v>
      </c>
    </row>
    <row r="44" spans="1:10" x14ac:dyDescent="0.25">
      <c r="C44" t="s">
        <v>401</v>
      </c>
      <c r="E44" s="25">
        <f>LamChanHangNgan((E$26+E38+E39+E40+E41)*(1+$D$17))</f>
        <v>927000</v>
      </c>
      <c r="F44" s="25">
        <f t="shared" ref="F44:I44" si="24">LamChanHangNgan((F$26+F38+F39+F40+F41)*(1+$D$17))</f>
        <v>1339000</v>
      </c>
      <c r="G44" s="25">
        <f t="shared" si="24"/>
        <v>1751000</v>
      </c>
      <c r="H44" s="25">
        <f t="shared" si="24"/>
        <v>2163000</v>
      </c>
      <c r="I44" s="25">
        <f t="shared" si="24"/>
        <v>2574000</v>
      </c>
      <c r="J44" s="25">
        <f t="shared" ref="J44" si="25">LamChanHangNgan((J$26+J38+J39+J40+J41)*(1+$D$17))</f>
        <v>4633000</v>
      </c>
    </row>
    <row r="45" spans="1:10" x14ac:dyDescent="0.25">
      <c r="A45">
        <v>16</v>
      </c>
      <c r="C45" s="46" t="s">
        <v>413</v>
      </c>
      <c r="E45">
        <f>($A45*E$24/2)</f>
        <v>80</v>
      </c>
      <c r="F45">
        <f t="shared" ref="F45:J45" si="26">($A45*F$24/2)</f>
        <v>160</v>
      </c>
      <c r="G45">
        <f t="shared" si="26"/>
        <v>240</v>
      </c>
      <c r="H45">
        <f t="shared" si="26"/>
        <v>320</v>
      </c>
      <c r="I45">
        <f t="shared" si="26"/>
        <v>400</v>
      </c>
      <c r="J45">
        <f t="shared" si="26"/>
        <v>800</v>
      </c>
    </row>
    <row r="46" spans="1:10" x14ac:dyDescent="0.25">
      <c r="C46" s="46" t="s">
        <v>332</v>
      </c>
      <c r="E46">
        <f>E45/$D$16</f>
        <v>40</v>
      </c>
      <c r="F46">
        <f t="shared" ref="F46:I46" si="27">F45/$D$16</f>
        <v>80</v>
      </c>
      <c r="G46">
        <f t="shared" si="27"/>
        <v>120</v>
      </c>
      <c r="H46">
        <f t="shared" si="27"/>
        <v>160</v>
      </c>
      <c r="I46">
        <f t="shared" si="27"/>
        <v>200</v>
      </c>
      <c r="J46">
        <f t="shared" ref="J46" si="28">J45/$D$16</f>
        <v>400</v>
      </c>
    </row>
    <row r="47" spans="1:10" x14ac:dyDescent="0.25">
      <c r="C47" t="s">
        <v>408</v>
      </c>
      <c r="E47" s="7">
        <f>PhiInKM4M_BHR70(E46*$E$16*2)</f>
        <v>205700</v>
      </c>
      <c r="F47" s="7">
        <f>PhiInKM4M_BHR70(F46*$E$16*2)</f>
        <v>315900</v>
      </c>
      <c r="G47" s="7">
        <f>PhiInKM4M_BHR70(G46*$E$16*2)</f>
        <v>426100</v>
      </c>
      <c r="H47" s="7">
        <f>PhiInKM4M_BHR70(H46*$E$16*2)</f>
        <v>536300</v>
      </c>
      <c r="I47" s="7">
        <f>PhiInKM4M_BHR70(I46*$E$16*2)</f>
        <v>646500</v>
      </c>
      <c r="J47" s="7">
        <f>PhiInKM4M_BHR70(J46*$E$16*2)</f>
        <v>1197500</v>
      </c>
    </row>
    <row r="48" spans="1:10" x14ac:dyDescent="0.25">
      <c r="C48" t="s">
        <v>396</v>
      </c>
      <c r="E48" s="7">
        <f>E$28*$D$19</f>
        <v>38160</v>
      </c>
      <c r="F48" s="7">
        <f t="shared" ref="F48:J48" si="29">F$28*$D$19</f>
        <v>76320</v>
      </c>
      <c r="G48" s="7">
        <f t="shared" si="29"/>
        <v>114480</v>
      </c>
      <c r="H48" s="7">
        <f t="shared" si="29"/>
        <v>152640</v>
      </c>
      <c r="I48" s="7">
        <f t="shared" si="29"/>
        <v>190800</v>
      </c>
      <c r="J48" s="7">
        <f t="shared" si="29"/>
        <v>381600</v>
      </c>
    </row>
    <row r="49" spans="1:10" x14ac:dyDescent="0.25">
      <c r="C49" t="s">
        <v>397</v>
      </c>
      <c r="E49" s="7">
        <f>PhiMayCanMang_R2(E46*2,$C$15/100,$D$15/100)</f>
        <v>53040.164199999999</v>
      </c>
      <c r="F49" s="7">
        <f t="shared" ref="F49:I49" si="30">PhiMayCanMang_R2(F46*2,$C$15/100,$D$15/100)</f>
        <v>76097.387199999997</v>
      </c>
      <c r="G49" s="7">
        <f t="shared" si="30"/>
        <v>99387.553700000004</v>
      </c>
      <c r="H49" s="7">
        <f t="shared" si="30"/>
        <v>122444.7745</v>
      </c>
      <c r="I49" s="7">
        <f t="shared" si="30"/>
        <v>145734.94099999999</v>
      </c>
      <c r="J49" s="7">
        <f t="shared" ref="J49" si="31">PhiMayCanMang_R2(J46*2,$C$15/100,$D$15/100)</f>
        <v>261719.88200000001</v>
      </c>
    </row>
    <row r="50" spans="1:10" x14ac:dyDescent="0.25">
      <c r="C50" t="s">
        <v>398</v>
      </c>
      <c r="E50" s="7">
        <f>PhiMay_AccSlit(E45, $G$13/100)</f>
        <v>147050.44440000001</v>
      </c>
      <c r="F50" s="7">
        <f t="shared" ref="F50:I50" si="32">PhiMay_AccSlit(F45, $G$13/100)</f>
        <v>205350.88889999999</v>
      </c>
      <c r="G50" s="7">
        <f t="shared" si="32"/>
        <v>263651.3333</v>
      </c>
      <c r="H50" s="7">
        <f t="shared" si="32"/>
        <v>321951.77779999998</v>
      </c>
      <c r="I50" s="7">
        <f t="shared" si="32"/>
        <v>380252.22220000002</v>
      </c>
      <c r="J50" s="7">
        <f t="shared" ref="J50" si="33">PhiMay_AccSlit(J45, $G$13/100)</f>
        <v>671754.44440000004</v>
      </c>
    </row>
    <row r="51" spans="1:10" x14ac:dyDescent="0.25">
      <c r="C51" t="s">
        <v>399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</row>
    <row r="52" spans="1:10" x14ac:dyDescent="0.25">
      <c r="C52" t="s">
        <v>400</v>
      </c>
      <c r="E52" s="25">
        <f>LamChanHangNgan((E$26+E47+E48+E50)*(1+$D$17))</f>
        <v>869000</v>
      </c>
      <c r="F52" s="25">
        <f t="shared" ref="F52:I52" si="34">LamChanHangNgan((F$26+F47+F48+F50)*(1+$D$17))</f>
        <v>1283000</v>
      </c>
      <c r="G52" s="25">
        <f t="shared" si="34"/>
        <v>1696000</v>
      </c>
      <c r="H52" s="25">
        <f t="shared" si="34"/>
        <v>2109000</v>
      </c>
      <c r="I52" s="25">
        <f t="shared" si="34"/>
        <v>2523000</v>
      </c>
      <c r="J52" s="25">
        <f t="shared" ref="J52" si="35">LamChanHangNgan((J$26+J47+J48+J50)*(1+$D$17))</f>
        <v>4589000</v>
      </c>
    </row>
    <row r="53" spans="1:10" x14ac:dyDescent="0.25">
      <c r="C53" t="s">
        <v>401</v>
      </c>
      <c r="E53" s="25">
        <f>LamChanHangNgan((E$26+E47+E48+E49+E50)*(1+$D$17))</f>
        <v>975000</v>
      </c>
      <c r="F53" s="25">
        <f t="shared" ref="F53:I53" si="36">LamChanHangNgan((F$26+F47+F48+F49+F50)*(1+$D$17))</f>
        <v>1435000</v>
      </c>
      <c r="G53" s="25">
        <f t="shared" si="36"/>
        <v>1895000</v>
      </c>
      <c r="H53" s="25">
        <f t="shared" si="36"/>
        <v>2354000</v>
      </c>
      <c r="I53" s="25">
        <f t="shared" si="36"/>
        <v>2814000</v>
      </c>
      <c r="J53" s="25">
        <f t="shared" ref="J53" si="37">LamChanHangNgan((J$26+J47+J48+J49+J50)*(1+$D$17))</f>
        <v>5113000</v>
      </c>
    </row>
    <row r="54" spans="1:10" x14ac:dyDescent="0.25">
      <c r="A54">
        <v>18</v>
      </c>
      <c r="C54" s="46" t="s">
        <v>413</v>
      </c>
      <c r="E54">
        <f>($A54*E$24/2)</f>
        <v>90</v>
      </c>
      <c r="F54">
        <f t="shared" ref="F54:J54" si="38">($A54*F$24/2)</f>
        <v>180</v>
      </c>
      <c r="G54">
        <f t="shared" si="38"/>
        <v>270</v>
      </c>
      <c r="H54">
        <f t="shared" si="38"/>
        <v>360</v>
      </c>
      <c r="I54">
        <f t="shared" si="38"/>
        <v>450</v>
      </c>
      <c r="J54">
        <f t="shared" si="38"/>
        <v>900</v>
      </c>
    </row>
    <row r="55" spans="1:10" x14ac:dyDescent="0.25">
      <c r="C55" s="46" t="s">
        <v>332</v>
      </c>
      <c r="E55">
        <f>E54/$D$16</f>
        <v>45</v>
      </c>
      <c r="F55">
        <f t="shared" ref="F55:J55" si="39">F54/$D$16</f>
        <v>90</v>
      </c>
      <c r="G55">
        <f t="shared" si="39"/>
        <v>135</v>
      </c>
      <c r="H55">
        <f t="shared" si="39"/>
        <v>180</v>
      </c>
      <c r="I55">
        <f t="shared" si="39"/>
        <v>225</v>
      </c>
      <c r="J55">
        <f t="shared" si="39"/>
        <v>450</v>
      </c>
    </row>
    <row r="56" spans="1:10" x14ac:dyDescent="0.25">
      <c r="C56" t="s">
        <v>408</v>
      </c>
      <c r="E56" s="7">
        <f>PhiInKM4M_BHR70(E55*$E$16*2)</f>
        <v>219475</v>
      </c>
      <c r="F56" s="7">
        <f>PhiInKM4M_BHR70(F55*$E$16*2)</f>
        <v>343450</v>
      </c>
      <c r="G56" s="7">
        <f>PhiInKM4M_BHR70(G55*$E$16*2)</f>
        <v>467425</v>
      </c>
      <c r="H56" s="7">
        <f>PhiInKM4M_BHR70(H55*$E$16*2)</f>
        <v>591400</v>
      </c>
      <c r="I56" s="7">
        <f>PhiInKM4M_BHR70(I55*$E$16*2)</f>
        <v>715375</v>
      </c>
      <c r="J56" s="7">
        <f>PhiInKM4M_BHR70(J55*$E$16*2)</f>
        <v>1335250</v>
      </c>
    </row>
    <row r="57" spans="1:10" x14ac:dyDescent="0.25">
      <c r="C57" t="s">
        <v>396</v>
      </c>
      <c r="E57" s="7">
        <f>E$28*$D$19</f>
        <v>38160</v>
      </c>
      <c r="F57" s="7">
        <f t="shared" ref="F57:J57" si="40">F$28*$D$19</f>
        <v>76320</v>
      </c>
      <c r="G57" s="7">
        <f t="shared" si="40"/>
        <v>114480</v>
      </c>
      <c r="H57" s="7">
        <f t="shared" si="40"/>
        <v>152640</v>
      </c>
      <c r="I57" s="7">
        <f t="shared" si="40"/>
        <v>190800</v>
      </c>
      <c r="J57" s="7">
        <f t="shared" si="40"/>
        <v>381600</v>
      </c>
    </row>
    <row r="58" spans="1:10" x14ac:dyDescent="0.25">
      <c r="C58" t="s">
        <v>397</v>
      </c>
      <c r="E58" s="7">
        <f>PhiMayCanMang_R2(E55*2,$C$15/100,$D$15/100)</f>
        <v>55776.728600000002</v>
      </c>
      <c r="F58" s="7">
        <f t="shared" ref="F58:J58" si="41">PhiMayCanMang_R2(F55*2,$C$15/100,$D$15/100)</f>
        <v>82036.398300000001</v>
      </c>
      <c r="G58" s="7">
        <f t="shared" si="41"/>
        <v>108063.1269</v>
      </c>
      <c r="H58" s="7">
        <f t="shared" si="41"/>
        <v>134089.8554</v>
      </c>
      <c r="I58" s="7">
        <f t="shared" si="41"/>
        <v>160116.58859999999</v>
      </c>
      <c r="J58" s="7">
        <f t="shared" si="41"/>
        <v>290716.11829999997</v>
      </c>
    </row>
    <row r="59" spans="1:10" x14ac:dyDescent="0.25">
      <c r="C59" t="s">
        <v>398</v>
      </c>
      <c r="E59" s="7">
        <f>PhiMay_AccSlit(E54, $G$13/100)</f>
        <v>154338</v>
      </c>
      <c r="F59" s="7">
        <f t="shared" ref="F59:J59" si="42">PhiMay_AccSlit(F54, $G$13/100)</f>
        <v>219926</v>
      </c>
      <c r="G59" s="7">
        <f t="shared" si="42"/>
        <v>285514</v>
      </c>
      <c r="H59" s="7">
        <f t="shared" si="42"/>
        <v>351102</v>
      </c>
      <c r="I59" s="7">
        <f t="shared" si="42"/>
        <v>416690</v>
      </c>
      <c r="J59" s="7">
        <f t="shared" si="42"/>
        <v>744630</v>
      </c>
    </row>
    <row r="60" spans="1:10" x14ac:dyDescent="0.25">
      <c r="C60" t="s">
        <v>399</v>
      </c>
      <c r="E60" s="7">
        <v>0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</row>
    <row r="61" spans="1:10" x14ac:dyDescent="0.25">
      <c r="C61" t="s">
        <v>400</v>
      </c>
      <c r="E61" s="25">
        <f>LamChanHangNgan((E$26+E56+E57+E59)*(1+$D$17))</f>
        <v>911000</v>
      </c>
      <c r="F61" s="25">
        <f t="shared" ref="F61:J61" si="43">LamChanHangNgan((F$26+F56+F57+F59)*(1+$D$17))</f>
        <v>1367000</v>
      </c>
      <c r="G61" s="25">
        <f t="shared" si="43"/>
        <v>1822000</v>
      </c>
      <c r="H61" s="25">
        <f t="shared" si="43"/>
        <v>2278000</v>
      </c>
      <c r="I61" s="25">
        <f t="shared" si="43"/>
        <v>2733000</v>
      </c>
      <c r="J61" s="25">
        <f t="shared" si="43"/>
        <v>5010000</v>
      </c>
    </row>
    <row r="62" spans="1:10" x14ac:dyDescent="0.25">
      <c r="C62" t="s">
        <v>401</v>
      </c>
      <c r="E62" s="25">
        <f>LamChanHangNgan((E$26+E56+E57+E58+E59)*(1+$D$17))</f>
        <v>1023000</v>
      </c>
      <c r="F62" s="25">
        <f t="shared" ref="F62:J62" si="44">LamChanHangNgan((F$26+F56+F57+F58+F59)*(1+$D$17))</f>
        <v>1531000</v>
      </c>
      <c r="G62" s="25">
        <f t="shared" si="44"/>
        <v>2038000</v>
      </c>
      <c r="H62" s="25">
        <f t="shared" si="44"/>
        <v>2546000</v>
      </c>
      <c r="I62" s="25">
        <f t="shared" si="44"/>
        <v>3053000</v>
      </c>
      <c r="J62" s="25">
        <f t="shared" si="44"/>
        <v>5592000</v>
      </c>
    </row>
    <row r="63" spans="1:10" x14ac:dyDescent="0.25">
      <c r="A63">
        <v>20</v>
      </c>
      <c r="C63" s="46" t="s">
        <v>413</v>
      </c>
      <c r="E63">
        <f>($A63*E$24/2)</f>
        <v>100</v>
      </c>
      <c r="F63">
        <f t="shared" ref="F63:J63" si="45">($A63*F$24/2)</f>
        <v>200</v>
      </c>
      <c r="G63">
        <f t="shared" si="45"/>
        <v>300</v>
      </c>
      <c r="H63">
        <f t="shared" si="45"/>
        <v>400</v>
      </c>
      <c r="I63">
        <f t="shared" si="45"/>
        <v>500</v>
      </c>
      <c r="J63">
        <f t="shared" si="45"/>
        <v>1000</v>
      </c>
    </row>
    <row r="64" spans="1:10" x14ac:dyDescent="0.25">
      <c r="C64" s="46" t="s">
        <v>332</v>
      </c>
      <c r="E64">
        <f>E63/$D$16</f>
        <v>50</v>
      </c>
      <c r="F64">
        <f t="shared" ref="F64:I64" si="46">F63/$D$16</f>
        <v>100</v>
      </c>
      <c r="G64">
        <f t="shared" si="46"/>
        <v>150</v>
      </c>
      <c r="H64">
        <f t="shared" si="46"/>
        <v>200</v>
      </c>
      <c r="I64">
        <f t="shared" si="46"/>
        <v>250</v>
      </c>
      <c r="J64">
        <f t="shared" ref="J64" si="47">J63/$D$16</f>
        <v>500</v>
      </c>
    </row>
    <row r="65" spans="1:10" x14ac:dyDescent="0.25">
      <c r="C65" t="s">
        <v>408</v>
      </c>
      <c r="E65" s="7">
        <f>PhiInKM4M_BHR70(E64*$E$16*2)</f>
        <v>233250</v>
      </c>
      <c r="F65" s="7">
        <f>PhiInKM4M_BHR70(F64*$E$16*2)</f>
        <v>371000</v>
      </c>
      <c r="G65" s="7">
        <f>PhiInKM4M_BHR70(G64*$E$16*2)</f>
        <v>508750</v>
      </c>
      <c r="H65" s="7">
        <f>PhiInKM4M_BHR70(H64*$E$16*2)</f>
        <v>646500</v>
      </c>
      <c r="I65" s="7">
        <f>PhiInKM4M_BHR70(I64*$E$16*2)</f>
        <v>784250</v>
      </c>
      <c r="J65" s="7">
        <f>PhiInKM4M_BHR70(J64*$E$16*2)</f>
        <v>1473000</v>
      </c>
    </row>
    <row r="66" spans="1:10" x14ac:dyDescent="0.25">
      <c r="C66" t="s">
        <v>396</v>
      </c>
      <c r="E66" s="7">
        <f>E$28*$D$19</f>
        <v>38160</v>
      </c>
      <c r="F66" s="7">
        <f t="shared" ref="F66:J66" si="48">F$28*$D$19</f>
        <v>76320</v>
      </c>
      <c r="G66" s="7">
        <f t="shared" si="48"/>
        <v>114480</v>
      </c>
      <c r="H66" s="7">
        <f t="shared" si="48"/>
        <v>152640</v>
      </c>
      <c r="I66" s="7">
        <f t="shared" si="48"/>
        <v>190800</v>
      </c>
      <c r="J66" s="7">
        <f t="shared" si="48"/>
        <v>381600</v>
      </c>
    </row>
    <row r="67" spans="1:10" x14ac:dyDescent="0.25">
      <c r="C67" t="s">
        <v>397</v>
      </c>
      <c r="E67" s="7">
        <f>PhiMayCanMang_R2(E64*2,$C$15/100,$D$15/100)</f>
        <v>58746.2353</v>
      </c>
      <c r="F67" s="7">
        <f t="shared" ref="F67:I67" si="49">PhiMayCanMang_R2(F64*2,$C$15/100,$D$15/100)</f>
        <v>87742.470499999996</v>
      </c>
      <c r="G67" s="7">
        <f t="shared" si="49"/>
        <v>116738.7046</v>
      </c>
      <c r="H67" s="7">
        <f t="shared" si="49"/>
        <v>145734.94099999999</v>
      </c>
      <c r="I67" s="7">
        <f t="shared" si="49"/>
        <v>174731.1728</v>
      </c>
      <c r="J67" s="7">
        <f t="shared" ref="J67" si="50">PhiMayCanMang_R2(J64*2,$C$15/100,$D$15/100)</f>
        <v>319712.3456</v>
      </c>
    </row>
    <row r="68" spans="1:10" x14ac:dyDescent="0.25">
      <c r="C68" t="s">
        <v>398</v>
      </c>
      <c r="E68" s="7">
        <f>PhiMay_AccSlit(E63, $G$13/100)</f>
        <v>161625.55559999999</v>
      </c>
      <c r="F68" s="7">
        <f t="shared" ref="F68:I68" si="51">PhiMay_AccSlit(F63, $G$13/100)</f>
        <v>234501.11110000001</v>
      </c>
      <c r="G68" s="7">
        <f t="shared" si="51"/>
        <v>307376.6667</v>
      </c>
      <c r="H68" s="7">
        <f t="shared" si="51"/>
        <v>380252.22220000002</v>
      </c>
      <c r="I68" s="7">
        <f t="shared" si="51"/>
        <v>453127.77779999998</v>
      </c>
      <c r="J68" s="7">
        <f t="shared" ref="J68" si="52">PhiMay_AccSlit(J63, $G$13/100)</f>
        <v>817505.55559999996</v>
      </c>
    </row>
    <row r="69" spans="1:10" x14ac:dyDescent="0.25">
      <c r="C69" t="s">
        <v>399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</row>
    <row r="70" spans="1:10" x14ac:dyDescent="0.25">
      <c r="C70" t="s">
        <v>400</v>
      </c>
      <c r="E70" s="25">
        <f>LamChanHangNgan((E$26+E65+E66+E68)*(1+$D$17))</f>
        <v>954000</v>
      </c>
      <c r="F70" s="25">
        <f t="shared" ref="F70:I70" si="53">LamChanHangNgan((F$26+F65+F66+F68)*(1+$D$17))</f>
        <v>1451000</v>
      </c>
      <c r="G70" s="25">
        <f t="shared" si="53"/>
        <v>1949000</v>
      </c>
      <c r="H70" s="25">
        <f t="shared" si="53"/>
        <v>2446000</v>
      </c>
      <c r="I70" s="25">
        <f t="shared" si="53"/>
        <v>2944000</v>
      </c>
      <c r="J70" s="25">
        <f t="shared" ref="J70" si="54">LamChanHangNgan((J$26+J65+J66+J68)*(1+$D$17))</f>
        <v>5432000</v>
      </c>
    </row>
    <row r="71" spans="1:10" ht="14.25" customHeight="1" x14ac:dyDescent="0.25">
      <c r="C71" t="s">
        <v>401</v>
      </c>
      <c r="E71" s="25">
        <f>LamChanHangNgan((E$26+E65+E66+E67+E68)*(1+$D$17))</f>
        <v>1071000</v>
      </c>
      <c r="F71" s="25">
        <f t="shared" ref="F71:I71" si="55">LamChanHangNgan((F$26+F65+F66+F67+F68)*(1+$D$17))</f>
        <v>1627000</v>
      </c>
      <c r="G71" s="25">
        <f t="shared" si="55"/>
        <v>2182000</v>
      </c>
      <c r="H71" s="25">
        <f t="shared" si="55"/>
        <v>2738000</v>
      </c>
      <c r="I71" s="25">
        <f t="shared" si="55"/>
        <v>3293000</v>
      </c>
      <c r="J71" s="25">
        <f t="shared" ref="J71" si="56">LamChanHangNgan((J$26+J65+J66+J67+J68)*(1+$D$17))</f>
        <v>6071000</v>
      </c>
    </row>
    <row r="72" spans="1:10" x14ac:dyDescent="0.25">
      <c r="A72">
        <v>22</v>
      </c>
      <c r="C72" s="46" t="s">
        <v>413</v>
      </c>
      <c r="E72">
        <f>($A72*E$24/2)</f>
        <v>110</v>
      </c>
      <c r="F72">
        <f t="shared" ref="F72:J72" si="57">($A72*F$24/2)</f>
        <v>220</v>
      </c>
      <c r="G72">
        <f t="shared" si="57"/>
        <v>330</v>
      </c>
      <c r="H72">
        <f t="shared" si="57"/>
        <v>440</v>
      </c>
      <c r="I72">
        <f t="shared" si="57"/>
        <v>550</v>
      </c>
      <c r="J72">
        <f t="shared" si="57"/>
        <v>1100</v>
      </c>
    </row>
    <row r="73" spans="1:10" x14ac:dyDescent="0.25">
      <c r="C73" s="46" t="s">
        <v>332</v>
      </c>
      <c r="E73">
        <f>E72/$D$16</f>
        <v>55</v>
      </c>
      <c r="F73">
        <f t="shared" ref="F73:J73" si="58">F72/$D$16</f>
        <v>110</v>
      </c>
      <c r="G73">
        <f t="shared" si="58"/>
        <v>165</v>
      </c>
      <c r="H73">
        <f t="shared" si="58"/>
        <v>220</v>
      </c>
      <c r="I73">
        <f t="shared" si="58"/>
        <v>275</v>
      </c>
      <c r="J73">
        <f t="shared" si="58"/>
        <v>550</v>
      </c>
    </row>
    <row r="74" spans="1:10" x14ac:dyDescent="0.25">
      <c r="C74" t="s">
        <v>408</v>
      </c>
      <c r="E74" s="7">
        <f>PhiInKM4M_BHR70(E73*$E$16*2)</f>
        <v>247025</v>
      </c>
      <c r="F74" s="7">
        <f>PhiInKM4M_BHR70(F73*$E$16*2)</f>
        <v>398550</v>
      </c>
      <c r="G74" s="7">
        <f>PhiInKM4M_BHR70(G73*$E$16*2)</f>
        <v>550075</v>
      </c>
      <c r="H74" s="7">
        <f>PhiInKM4M_BHR70(H73*$E$16*2)</f>
        <v>701600</v>
      </c>
      <c r="I74" s="7">
        <f>PhiInKM4M_BHR70(I73*$E$16*2)</f>
        <v>853125</v>
      </c>
      <c r="J74" s="7">
        <f>PhiInKM4M_BHR70(J73*$E$16*2)</f>
        <v>1610750</v>
      </c>
    </row>
    <row r="75" spans="1:10" x14ac:dyDescent="0.25">
      <c r="C75" t="s">
        <v>396</v>
      </c>
      <c r="E75" s="7">
        <f>E$28*$D$19</f>
        <v>38160</v>
      </c>
      <c r="F75" s="7">
        <f t="shared" ref="F75:J75" si="59">F$28*$D$19</f>
        <v>76320</v>
      </c>
      <c r="G75" s="7">
        <f t="shared" si="59"/>
        <v>114480</v>
      </c>
      <c r="H75" s="7">
        <f t="shared" si="59"/>
        <v>152640</v>
      </c>
      <c r="I75" s="7">
        <f t="shared" si="59"/>
        <v>190800</v>
      </c>
      <c r="J75" s="7">
        <f t="shared" si="59"/>
        <v>381600</v>
      </c>
    </row>
    <row r="76" spans="1:10" x14ac:dyDescent="0.25">
      <c r="C76" t="s">
        <v>397</v>
      </c>
      <c r="E76" s="7">
        <f>PhiMayCanMang_R2(E73*2,$C$15/100,$D$15/100)</f>
        <v>61715.739699999998</v>
      </c>
      <c r="F76" s="7">
        <f t="shared" ref="F76:I76" si="60">PhiMayCanMang_R2(F73*2,$C$15/100,$D$15/100)</f>
        <v>93448.538100000005</v>
      </c>
      <c r="G76" s="7">
        <f t="shared" si="60"/>
        <v>125414.2824</v>
      </c>
      <c r="H76" s="7">
        <f t="shared" si="60"/>
        <v>157380.01730000001</v>
      </c>
      <c r="I76" s="7">
        <f t="shared" si="60"/>
        <v>189112.82500000001</v>
      </c>
      <c r="J76" s="7">
        <f t="shared" ref="J76" si="61">PhiMayCanMang_R2(J73*2,$C$15/100,$D$15/100)</f>
        <v>348708.59110000002</v>
      </c>
    </row>
    <row r="77" spans="1:10" x14ac:dyDescent="0.25">
      <c r="C77" t="s">
        <v>398</v>
      </c>
      <c r="E77" s="7">
        <f>PhiMay_AccSlit(E72, $G$13/100)</f>
        <v>168913.11110000001</v>
      </c>
      <c r="F77" s="7">
        <f t="shared" ref="F77:I77" si="62">PhiMay_AccSlit(F72, $G$13/100)</f>
        <v>249076.22219999999</v>
      </c>
      <c r="G77" s="7">
        <f t="shared" si="62"/>
        <v>329239.3333</v>
      </c>
      <c r="H77" s="7">
        <f t="shared" si="62"/>
        <v>409402.44439999998</v>
      </c>
      <c r="I77" s="7">
        <f t="shared" si="62"/>
        <v>489565.55560000002</v>
      </c>
      <c r="J77" s="7">
        <f t="shared" ref="J77" si="63">PhiMay_AccSlit(J72, $G$13/100)</f>
        <v>890381.11109999998</v>
      </c>
    </row>
    <row r="78" spans="1:10" ht="14.25" customHeight="1" x14ac:dyDescent="0.25">
      <c r="C78" t="s">
        <v>399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</row>
    <row r="79" spans="1:10" x14ac:dyDescent="0.25">
      <c r="C79" t="s">
        <v>400</v>
      </c>
      <c r="E79" s="25">
        <f>LamChanHangNgan((E$26+E74+E75+E77)*(1+$D$17))</f>
        <v>996000</v>
      </c>
      <c r="F79" s="25">
        <f t="shared" ref="F79:I79" si="64">LamChanHangNgan((F$26+F74+F75+F77)*(1+$D$17))</f>
        <v>1535000</v>
      </c>
      <c r="G79" s="25">
        <f t="shared" si="64"/>
        <v>2075000</v>
      </c>
      <c r="H79" s="25">
        <f t="shared" si="64"/>
        <v>2615000</v>
      </c>
      <c r="I79" s="25">
        <f t="shared" si="64"/>
        <v>3154000</v>
      </c>
      <c r="J79" s="25">
        <f t="shared" ref="J79" si="65">LamChanHangNgan((J$26+J74+J75+J77)*(1+$D$17))</f>
        <v>5853000</v>
      </c>
    </row>
    <row r="80" spans="1:10" x14ac:dyDescent="0.25">
      <c r="C80" t="s">
        <v>401</v>
      </c>
      <c r="E80" s="25">
        <f>LamChanHangNgan((E$26+E74+E75+E76+E77)*(1+$D$17))</f>
        <v>1119000</v>
      </c>
      <c r="F80" s="25">
        <f t="shared" ref="F80:I80" si="66">LamChanHangNgan((F$26+F74+F75+F76+F77)*(1+$D$17))</f>
        <v>1722000</v>
      </c>
      <c r="G80" s="25">
        <f t="shared" si="66"/>
        <v>2326000</v>
      </c>
      <c r="H80" s="25">
        <f t="shared" si="66"/>
        <v>2930000</v>
      </c>
      <c r="I80" s="25">
        <f t="shared" si="66"/>
        <v>3533000</v>
      </c>
      <c r="J80" s="25">
        <f t="shared" ref="J80" si="67">LamChanHangNgan((J$26+J74+J75+J76+J77)*(1+$D$17))</f>
        <v>6550000</v>
      </c>
    </row>
    <row r="81" spans="1:10" x14ac:dyDescent="0.25">
      <c r="A81">
        <v>24</v>
      </c>
      <c r="C81" s="46" t="s">
        <v>413</v>
      </c>
      <c r="E81">
        <f>($A81*E$24/2)</f>
        <v>120</v>
      </c>
      <c r="F81">
        <f t="shared" ref="F81:J81" si="68">($A81*F$24/2)</f>
        <v>240</v>
      </c>
      <c r="G81">
        <f t="shared" si="68"/>
        <v>360</v>
      </c>
      <c r="H81">
        <f t="shared" si="68"/>
        <v>480</v>
      </c>
      <c r="I81">
        <f t="shared" si="68"/>
        <v>600</v>
      </c>
      <c r="J81">
        <f t="shared" si="68"/>
        <v>1200</v>
      </c>
    </row>
    <row r="82" spans="1:10" x14ac:dyDescent="0.25">
      <c r="C82" s="46" t="s">
        <v>332</v>
      </c>
      <c r="E82">
        <f>E81/$D$16</f>
        <v>60</v>
      </c>
      <c r="F82">
        <f t="shared" ref="F82:I82" si="69">F81/$D$16</f>
        <v>120</v>
      </c>
      <c r="G82">
        <f t="shared" si="69"/>
        <v>180</v>
      </c>
      <c r="H82">
        <f t="shared" si="69"/>
        <v>240</v>
      </c>
      <c r="I82">
        <f t="shared" si="69"/>
        <v>300</v>
      </c>
      <c r="J82">
        <f t="shared" ref="J82" si="70">J81/$D$16</f>
        <v>600</v>
      </c>
    </row>
    <row r="83" spans="1:10" x14ac:dyDescent="0.25">
      <c r="C83" t="s">
        <v>408</v>
      </c>
      <c r="E83" s="7">
        <f>PhiInKM4M_BHR70(E82*$E$16*2)</f>
        <v>260800</v>
      </c>
      <c r="F83" s="7">
        <f>PhiInKM4M_BHR70(F82*$E$16*2)</f>
        <v>426100</v>
      </c>
      <c r="G83" s="7">
        <f>PhiInKM4M_BHR70(G82*$E$16*2)</f>
        <v>591400</v>
      </c>
      <c r="H83" s="7">
        <f>PhiInKM4M_BHR70(H82*$E$16*2)</f>
        <v>756700</v>
      </c>
      <c r="I83" s="7">
        <f>PhiInKM4M_BHR70(I82*$E$16*2)</f>
        <v>922000</v>
      </c>
      <c r="J83" s="7">
        <f>PhiInKM4M_BHR70(J82*$E$16*2)</f>
        <v>1748500</v>
      </c>
    </row>
    <row r="84" spans="1:10" x14ac:dyDescent="0.25">
      <c r="C84" t="s">
        <v>396</v>
      </c>
      <c r="E84" s="7">
        <f>E$28*$D$19</f>
        <v>38160</v>
      </c>
      <c r="F84" s="7">
        <f t="shared" ref="F84:J84" si="71">F$28*$D$19</f>
        <v>76320</v>
      </c>
      <c r="G84" s="7">
        <f t="shared" si="71"/>
        <v>114480</v>
      </c>
      <c r="H84" s="7">
        <f t="shared" si="71"/>
        <v>152640</v>
      </c>
      <c r="I84" s="7">
        <f t="shared" si="71"/>
        <v>190800</v>
      </c>
      <c r="J84" s="7">
        <f t="shared" si="71"/>
        <v>381600</v>
      </c>
    </row>
    <row r="85" spans="1:10" x14ac:dyDescent="0.25">
      <c r="C85" t="s">
        <v>397</v>
      </c>
      <c r="E85" s="7">
        <f>PhiMayCanMang_R2(E82*2,$C$15/100,$D$15/100)</f>
        <v>64452.306299999997</v>
      </c>
      <c r="F85" s="7">
        <f t="shared" ref="F85:I85" si="72">PhiMayCanMang_R2(F82*2,$C$15/100,$D$15/100)</f>
        <v>99387.553700000004</v>
      </c>
      <c r="G85" s="7">
        <f t="shared" si="72"/>
        <v>134089.8554</v>
      </c>
      <c r="H85" s="7">
        <f t="shared" si="72"/>
        <v>169025.10750000001</v>
      </c>
      <c r="I85" s="7">
        <f t="shared" si="72"/>
        <v>203727.40919999999</v>
      </c>
      <c r="J85" s="7">
        <f t="shared" ref="J85" si="73">PhiMayCanMang_R2(J82*2,$C$15/100,$D$15/100)</f>
        <v>377704.81839999999</v>
      </c>
    </row>
    <row r="86" spans="1:10" x14ac:dyDescent="0.25">
      <c r="C86" t="s">
        <v>398</v>
      </c>
      <c r="E86" s="7">
        <f>PhiMay_AccSlit(E81, $G$13/100)</f>
        <v>176200.6667</v>
      </c>
      <c r="F86" s="7">
        <f t="shared" ref="F86:I86" si="74">PhiMay_AccSlit(F81, $G$13/100)</f>
        <v>263651.3333</v>
      </c>
      <c r="G86" s="7">
        <f t="shared" si="74"/>
        <v>351102</v>
      </c>
      <c r="H86" s="7">
        <f t="shared" si="74"/>
        <v>438552.6667</v>
      </c>
      <c r="I86" s="7">
        <f t="shared" si="74"/>
        <v>526003.33330000006</v>
      </c>
      <c r="J86" s="7">
        <f t="shared" ref="J86" si="75">PhiMay_AccSlit(J81, $G$13/100)</f>
        <v>963256.66669999994</v>
      </c>
    </row>
    <row r="87" spans="1:10" x14ac:dyDescent="0.25">
      <c r="C87" t="s">
        <v>399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</row>
    <row r="88" spans="1:10" x14ac:dyDescent="0.25">
      <c r="C88" t="s">
        <v>400</v>
      </c>
      <c r="E88" s="25">
        <f>LamChanHangNgan((E$26+E83+E84+E86)*(1+$D$17))</f>
        <v>1038000</v>
      </c>
      <c r="F88" s="25">
        <f t="shared" ref="F88:I88" si="76">LamChanHangNgan((F$26+F83+F84+F86)*(1+$D$17))</f>
        <v>1620000</v>
      </c>
      <c r="G88" s="25">
        <f t="shared" si="76"/>
        <v>2201000</v>
      </c>
      <c r="H88" s="25">
        <f t="shared" si="76"/>
        <v>2783000</v>
      </c>
      <c r="I88" s="25">
        <f t="shared" si="76"/>
        <v>3365000</v>
      </c>
      <c r="J88" s="25">
        <f t="shared" ref="J88" si="77">LamChanHangNgan((J$26+J83+J84+J86)*(1+$D$17))</f>
        <v>6274000</v>
      </c>
    </row>
    <row r="89" spans="1:10" x14ac:dyDescent="0.25">
      <c r="C89" t="s">
        <v>401</v>
      </c>
      <c r="E89" s="25">
        <f>LamChanHangNgan((E$26+E83+E84+E85+E86)*(1+$D$17))</f>
        <v>1167000</v>
      </c>
      <c r="F89" s="25">
        <f t="shared" ref="F89:I89" si="78">LamChanHangNgan((F$26+F83+F84+F85+F86)*(1+$D$17))</f>
        <v>1818000</v>
      </c>
      <c r="G89" s="25">
        <f t="shared" si="78"/>
        <v>2470000</v>
      </c>
      <c r="H89" s="25">
        <f t="shared" si="78"/>
        <v>3121000</v>
      </c>
      <c r="I89" s="25">
        <f t="shared" si="78"/>
        <v>3773000</v>
      </c>
      <c r="J89" s="25">
        <f t="shared" ref="J89" si="79">LamChanHangNgan((J$26+J83+J84+J85+J86)*(1+$D$17))</f>
        <v>7030000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584B881F-5372-437D-B5E0-C3ADC39BA53B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DD94B5BD-1FB9-4668-B0D9-08FB2709BD93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809BEE6-E09C-49BF-AD7C-86121ECB87A7}">
      <formula1>OFFSET(GIA_GIAY_CO_BAN,1,0,,1)</formula1>
    </dataValidation>
  </dataValidations>
  <pageMargins left="0.7" right="0.7" top="0.75" bottom="0.75" header="0.3" footer="0.3"/>
  <pageSetup paperSize="9" orientation="landscape" verticalDpi="0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3EF51-098C-4AE1-ABD4-D78D282CF977}">
  <sheetPr codeName="Trang_tính23"/>
  <dimension ref="A1:M42"/>
  <sheetViews>
    <sheetView tabSelected="1" topLeftCell="A16" workbookViewId="0">
      <selection activeCell="F37" sqref="F37"/>
    </sheetView>
  </sheetViews>
  <sheetFormatPr defaultRowHeight="15" x14ac:dyDescent="0.25"/>
  <cols>
    <col min="1" max="1" width="24.7109375" bestFit="1" customWidth="1"/>
    <col min="2" max="2" width="22.7109375" customWidth="1"/>
    <col min="3" max="3" width="28" customWidth="1"/>
    <col min="4" max="4" width="15.85546875" bestFit="1" customWidth="1"/>
    <col min="5" max="5" width="18.28515625" bestFit="1" customWidth="1"/>
    <col min="6" max="10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43737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10" x14ac:dyDescent="0.25">
      <c r="A17" t="s">
        <v>135</v>
      </c>
      <c r="D17" s="33">
        <v>1</v>
      </c>
      <c r="E17" s="34" t="s">
        <v>417</v>
      </c>
    </row>
    <row r="18" spans="1:10" x14ac:dyDescent="0.25">
      <c r="B18" t="s">
        <v>215</v>
      </c>
      <c r="C18" t="s">
        <v>216</v>
      </c>
      <c r="D18" t="s">
        <v>218</v>
      </c>
      <c r="E18" t="s">
        <v>217</v>
      </c>
    </row>
    <row r="19" spans="1:10" x14ac:dyDescent="0.25">
      <c r="A19" t="s">
        <v>301</v>
      </c>
      <c r="B19" t="s">
        <v>152</v>
      </c>
      <c r="C19" t="s">
        <v>145</v>
      </c>
      <c r="D19">
        <v>628</v>
      </c>
      <c r="E19" s="7"/>
    </row>
    <row r="21" spans="1:10" x14ac:dyDescent="0.25">
      <c r="A21" t="s">
        <v>331</v>
      </c>
      <c r="B21" t="s">
        <v>98</v>
      </c>
      <c r="C21" t="s">
        <v>99</v>
      </c>
      <c r="D21">
        <v>1200</v>
      </c>
    </row>
    <row r="22" spans="1:10" x14ac:dyDescent="0.25">
      <c r="A22" t="s">
        <v>343</v>
      </c>
      <c r="C22" t="s">
        <v>344</v>
      </c>
      <c r="D22">
        <v>1200</v>
      </c>
    </row>
    <row r="24" spans="1:10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  <c r="J24">
        <v>100</v>
      </c>
    </row>
    <row r="25" spans="1:10" x14ac:dyDescent="0.25">
      <c r="C25" t="s">
        <v>347</v>
      </c>
      <c r="E25">
        <f>(E$24)/$D$16</f>
        <v>10</v>
      </c>
      <c r="F25">
        <f t="shared" ref="F25:J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  <c r="J25">
        <f t="shared" si="0"/>
        <v>100</v>
      </c>
    </row>
    <row r="26" spans="1:10" x14ac:dyDescent="0.25">
      <c r="C26" t="s">
        <v>402</v>
      </c>
      <c r="E26" s="7">
        <f>PhiInKM4M_BHR70(E$25*$E$16)</f>
        <v>109275</v>
      </c>
      <c r="F26" s="7">
        <f>PhiInKM4M_BHR70(F$25*$E$16)</f>
        <v>123050</v>
      </c>
      <c r="G26" s="7">
        <f>PhiInKM4M_BHR70(G$25*$E$16)</f>
        <v>136825</v>
      </c>
      <c r="H26" s="7">
        <f>PhiInKM4M_BHR70(H$25*$E$16)</f>
        <v>150600</v>
      </c>
      <c r="I26" s="7">
        <f>PhiInKM4M_BHR70(I$25*$E$16)</f>
        <v>164375</v>
      </c>
      <c r="J26" s="7">
        <f>PhiInKM4M_BHR70(J$25*$E$16)</f>
        <v>233250</v>
      </c>
    </row>
    <row r="27" spans="1:10" x14ac:dyDescent="0.25">
      <c r="C27" t="s">
        <v>403</v>
      </c>
      <c r="E27" s="7">
        <f>E$25*$D$19</f>
        <v>6280</v>
      </c>
      <c r="F27" s="7">
        <f t="shared" ref="F27:J27" si="1">F$25*$D$19</f>
        <v>12560</v>
      </c>
      <c r="G27" s="7">
        <f t="shared" si="1"/>
        <v>18840</v>
      </c>
      <c r="H27" s="7">
        <f t="shared" si="1"/>
        <v>25120</v>
      </c>
      <c r="I27" s="7">
        <f t="shared" si="1"/>
        <v>31400</v>
      </c>
      <c r="J27" s="7">
        <f t="shared" si="1"/>
        <v>62800</v>
      </c>
    </row>
    <row r="28" spans="1:10" x14ac:dyDescent="0.25">
      <c r="C28" t="s">
        <v>404</v>
      </c>
      <c r="E28" s="7">
        <f>PhiMayCanMang_R2(E$25,$C$15/100,$D$15/100)</f>
        <v>32719.505799999999</v>
      </c>
      <c r="F28" s="7">
        <f t="shared" ref="F28:J28" si="2">PhiMayCanMang_R2(F$25,$C$15/100,$D$15/100)</f>
        <v>35456.070500000002</v>
      </c>
      <c r="G28" s="7">
        <f t="shared" si="2"/>
        <v>38425.5766</v>
      </c>
      <c r="H28" s="7">
        <f t="shared" si="2"/>
        <v>41395.082199999997</v>
      </c>
      <c r="I28" s="7">
        <f t="shared" si="2"/>
        <v>44131.647100000002</v>
      </c>
      <c r="J28" s="7">
        <f t="shared" si="2"/>
        <v>58746.2353</v>
      </c>
    </row>
    <row r="29" spans="1:10" x14ac:dyDescent="0.25">
      <c r="C29" t="s">
        <v>405</v>
      </c>
      <c r="E29" s="7">
        <f>PhiLamBiaCungMayY(E24)+E24*2*$D$22</f>
        <v>145180.55560000002</v>
      </c>
      <c r="F29" s="7">
        <f>PhiLamBiaCungMayY(F24)+F24*2*$D$22</f>
        <v>172027.77779999998</v>
      </c>
      <c r="G29" s="7">
        <f>PhiLamBiaCungMayY(G24)+G24*2*$D$22</f>
        <v>198875</v>
      </c>
      <c r="H29" s="7">
        <f>PhiLamBiaCungMayY(H24)+H24*2*$D$22</f>
        <v>225722.22220000002</v>
      </c>
      <c r="I29" s="7">
        <f>PhiLamBiaCungMayY(I24)+I24*2*$D$22</f>
        <v>252569.44440000001</v>
      </c>
      <c r="J29" s="7">
        <f>PhiLamBiaCungMayY(J24)+J24*2*$D$22</f>
        <v>386805.55559999996</v>
      </c>
    </row>
    <row r="30" spans="1:10" x14ac:dyDescent="0.25">
      <c r="C30" t="s">
        <v>414</v>
      </c>
      <c r="E30" s="7">
        <f>SUM(E26:E29)</f>
        <v>293455.06140000001</v>
      </c>
      <c r="F30" s="7">
        <f>SUM(F26:F29)</f>
        <v>343093.84829999995</v>
      </c>
      <c r="G30" s="7">
        <f>SUM(G26:G29)</f>
        <v>392965.57660000003</v>
      </c>
      <c r="H30" s="7">
        <f>SUM(H26:H29)</f>
        <v>442837.30440000002</v>
      </c>
      <c r="I30" s="7">
        <f>SUM(I26:I29)</f>
        <v>492476.09149999998</v>
      </c>
      <c r="J30" s="7">
        <f>SUM(J26:J29)</f>
        <v>741601.79089999991</v>
      </c>
    </row>
    <row r="31" spans="1:10" x14ac:dyDescent="0.25">
      <c r="C31" t="s">
        <v>416</v>
      </c>
      <c r="E31" s="32">
        <f>PhiLDPT_VoCuonBatVit(E$24)</f>
        <v>34666.6662</v>
      </c>
      <c r="F31" s="32">
        <f>PhiLDPT_VoCuonBatVit(F$24)</f>
        <v>56333.332300000002</v>
      </c>
      <c r="G31" s="32">
        <f>PhiLDPT_VoCuonBatVit(G$24)</f>
        <v>78000</v>
      </c>
      <c r="H31" s="32">
        <f>PhiLDPT_VoCuonBatVit(H$24)</f>
        <v>99666.664600000004</v>
      </c>
      <c r="I31" s="32">
        <f>PhiLDPT_VoCuonBatVit(I$24)</f>
        <v>121333.32919999999</v>
      </c>
      <c r="J31" s="32">
        <f>PhiLDPT_VoCuonBatVit(J$24)</f>
        <v>229666.65839999999</v>
      </c>
    </row>
    <row r="32" spans="1:10" x14ac:dyDescent="0.25">
      <c r="C32" t="s">
        <v>415</v>
      </c>
      <c r="E32" s="47">
        <f>E30+E31</f>
        <v>328121.72759999998</v>
      </c>
      <c r="F32" s="47">
        <f>F30+F31</f>
        <v>399427.18059999996</v>
      </c>
      <c r="G32" s="47">
        <f t="shared" ref="G32:I32" si="3">G30+G31</f>
        <v>470965.57660000003</v>
      </c>
      <c r="H32" s="47">
        <f t="shared" si="3"/>
        <v>542503.96900000004</v>
      </c>
      <c r="I32" s="47">
        <f t="shared" si="3"/>
        <v>613809.42070000002</v>
      </c>
      <c r="J32" s="47">
        <f t="shared" ref="J32" si="4">J30+J31</f>
        <v>971268.44929999986</v>
      </c>
    </row>
    <row r="33" spans="2:10" x14ac:dyDescent="0.25">
      <c r="E33" s="43"/>
      <c r="F33" s="43"/>
      <c r="G33" s="43"/>
      <c r="H33" s="43"/>
      <c r="I33" s="43"/>
      <c r="J33" s="43"/>
    </row>
    <row r="34" spans="2:10" x14ac:dyDescent="0.25">
      <c r="E34" s="32"/>
      <c r="F34" s="32"/>
      <c r="G34" s="32"/>
      <c r="H34" s="32"/>
      <c r="I34" s="32"/>
      <c r="J34" s="32"/>
    </row>
    <row r="35" spans="2:10" x14ac:dyDescent="0.25">
      <c r="C35" t="s">
        <v>354</v>
      </c>
      <c r="E35" s="25">
        <f>LamChanHangNgan(E32*(1+$D$17))</f>
        <v>656000</v>
      </c>
      <c r="F35" s="25">
        <f t="shared" ref="F35:I35" si="5">LamChanHangNgan(F32*(1+$D$17))</f>
        <v>798000</v>
      </c>
      <c r="G35" s="25">
        <f t="shared" si="5"/>
        <v>941000</v>
      </c>
      <c r="H35" s="25">
        <f t="shared" si="5"/>
        <v>1085000</v>
      </c>
      <c r="I35" s="25">
        <f t="shared" si="5"/>
        <v>1227000</v>
      </c>
      <c r="J35" s="25">
        <f t="shared" ref="J35" si="6">LamChanHangNgan(J32*(1+$D$17))</f>
        <v>1942000</v>
      </c>
    </row>
    <row r="37" spans="2:10" x14ac:dyDescent="0.25">
      <c r="D37" t="s">
        <v>356</v>
      </c>
      <c r="E37" s="7">
        <f>LamChanHangNgan(E35/E24)</f>
        <v>65000</v>
      </c>
      <c r="F37" s="7">
        <f>LamChanHangNgan(F35/F24)</f>
        <v>39000</v>
      </c>
      <c r="G37" s="7">
        <f>LamChanHangNgan(G35/G24)</f>
        <v>31000</v>
      </c>
      <c r="H37" s="7">
        <f>LamChanHangNgan(H35/H24)</f>
        <v>27000</v>
      </c>
      <c r="I37" s="7">
        <f>LamChanHangNgan(I35/I24)</f>
        <v>24000</v>
      </c>
      <c r="J37" s="7">
        <f>LamChanHangNgan(J35/J24)</f>
        <v>19000</v>
      </c>
    </row>
    <row r="39" spans="2:10" x14ac:dyDescent="0.25">
      <c r="B39" s="2"/>
      <c r="E39" s="32"/>
      <c r="F39" s="32"/>
      <c r="G39" s="32"/>
      <c r="H39" s="32"/>
      <c r="I39" s="32"/>
    </row>
    <row r="42" spans="2:10" x14ac:dyDescent="0.25">
      <c r="E42" s="32"/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CA1786A3-4B19-40D6-BF99-6F34AF94E5E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3B0B4F47-9CBE-4475-978F-A8E5F5B8BE3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F8953CC6-170B-4C5E-8B3A-F443DD7CC5AE}">
      <formula1>OFFSET(GIA_GIAY_CO_BAN,1,0,,1)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42"/>
  <sheetViews>
    <sheetView topLeftCell="A16" workbookViewId="0">
      <selection activeCell="E36" sqref="E3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191231.25</v>
      </c>
      <c r="F26" s="7">
        <f>PhiInKM4M_BHR70(F$25*$E$16)*(1+$D$17)</f>
        <v>215337.5</v>
      </c>
      <c r="G26" s="7">
        <f>PhiInKM4M_BHR70(G$25*$E$16)*(1+$D$17)</f>
        <v>239443.75</v>
      </c>
      <c r="H26" s="7">
        <f>PhiInKM4M_BHR70(H$25*$E$16)*(1+$D$17)</f>
        <v>263550</v>
      </c>
      <c r="I26" s="7">
        <f>PhiInKM4M_BHR70(I$25*$E$16)*(1+$D$17)</f>
        <v>287656.25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62048.123375000003</v>
      </c>
      <c r="F28" s="7">
        <f>(PhiMayCanMang(F$25*2,$C$15/100,$D$15/100) + PhiMangCan(F$25*2,$C$15/100,$D$15/100,$D$21))*(1+$D$17)</f>
        <v>72441.393850000008</v>
      </c>
      <c r="G28" s="7">
        <f>(PhiMayCanMang(G$25*2,$C$15/100,$D$15/100) + PhiMangCan(G$25*2,$C$15/100,$D$15/100,$D$21))*(1+$D$17)</f>
        <v>82427.017924999993</v>
      </c>
      <c r="H28" s="7">
        <f>(PhiMayCanMang(H$25*2,$C$15/100,$D$15/100) + PhiMangCan(H$25*2,$C$15/100,$D$15/100,$D$21))*(1+$D$17)</f>
        <v>92820.287349999999</v>
      </c>
      <c r="I28" s="7">
        <f>(PhiMayCanMang(I$25*2,$C$15/100,$D$15/100) + PhiMangCan(I$25*2,$C$15/100,$D$15/100,$D$21))*(1+$D$17)</f>
        <v>102805.911775</v>
      </c>
    </row>
    <row r="29" spans="1:9" x14ac:dyDescent="0.25">
      <c r="C29" t="s">
        <v>351</v>
      </c>
      <c r="E29" s="7">
        <f>SUM(E26:E28)</f>
        <v>275539.37337500002</v>
      </c>
      <c r="F29" s="7">
        <f t="shared" ref="F29:I29" si="2">SUM(F26:F28)</f>
        <v>332298.89384999999</v>
      </c>
      <c r="G29" s="7">
        <f t="shared" si="2"/>
        <v>388650.76792499999</v>
      </c>
      <c r="H29" s="7">
        <f t="shared" si="2"/>
        <v>445410.28735</v>
      </c>
      <c r="I29" s="7">
        <f t="shared" si="2"/>
        <v>501762.16177499999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254065.97230000002</v>
      </c>
      <c r="F31" s="7">
        <f t="shared" ref="F31:I31" si="4">(PhiLamBiaCungMayY(F24)+F30)*(1+$D$17)</f>
        <v>301048.61114999995</v>
      </c>
      <c r="G31" s="7">
        <f t="shared" si="4"/>
        <v>348031.25</v>
      </c>
      <c r="H31" s="7">
        <f t="shared" si="4"/>
        <v>395013.88885000005</v>
      </c>
      <c r="I31" s="7">
        <f t="shared" si="4"/>
        <v>441996.52770000004</v>
      </c>
    </row>
    <row r="32" spans="1:9" x14ac:dyDescent="0.25">
      <c r="C32" t="s">
        <v>352</v>
      </c>
      <c r="E32" s="43">
        <f>E29+E31</f>
        <v>529605.34567499999</v>
      </c>
      <c r="F32" s="43">
        <f t="shared" ref="F32:I32" si="5">F29+F31</f>
        <v>633347.50499999989</v>
      </c>
      <c r="G32" s="43">
        <f t="shared" si="5"/>
        <v>736682.01792500005</v>
      </c>
      <c r="H32" s="43">
        <f t="shared" si="5"/>
        <v>840424.1762000001</v>
      </c>
      <c r="I32" s="43">
        <f t="shared" si="5"/>
        <v>943758.68947500002</v>
      </c>
    </row>
    <row r="33" spans="2:9" x14ac:dyDescent="0.25">
      <c r="E33" s="43"/>
      <c r="F33" s="43"/>
      <c r="G33" s="43"/>
      <c r="H33" s="43"/>
      <c r="I33" s="43"/>
    </row>
    <row r="34" spans="2:9" x14ac:dyDescent="0.25">
      <c r="C34" t="s">
        <v>353</v>
      </c>
      <c r="E34" s="32">
        <f>PhiLDPT_VoCuonBatVit(E$24) * (1+$D$17)</f>
        <v>60666.665849999998</v>
      </c>
      <c r="F34" s="32">
        <f t="shared" ref="F34:I34" si="6">PhiLDPT_VoCuonBatVit(F24) * (1+$D$17)</f>
        <v>98583.331525000001</v>
      </c>
      <c r="G34" s="32">
        <f t="shared" si="6"/>
        <v>136500</v>
      </c>
      <c r="H34" s="32">
        <f t="shared" si="6"/>
        <v>174416.66305</v>
      </c>
      <c r="I34" s="32">
        <f t="shared" si="6"/>
        <v>212333.32609999998</v>
      </c>
    </row>
    <row r="35" spans="2:9" x14ac:dyDescent="0.25">
      <c r="C35" t="s">
        <v>354</v>
      </c>
      <c r="E35" s="25">
        <f>LamChanHangNgan(E32+E34)</f>
        <v>590000</v>
      </c>
      <c r="F35" s="25">
        <f t="shared" ref="F35:I35" si="7">LamChanHangNgan(F32+F34)</f>
        <v>731000</v>
      </c>
      <c r="G35" s="25">
        <f t="shared" si="7"/>
        <v>873000</v>
      </c>
      <c r="H35" s="25">
        <f t="shared" si="7"/>
        <v>1014000</v>
      </c>
      <c r="I35" s="25">
        <f t="shared" si="7"/>
        <v>1156000</v>
      </c>
    </row>
    <row r="37" spans="2:9" x14ac:dyDescent="0.25">
      <c r="D37" t="s">
        <v>356</v>
      </c>
      <c r="E37" s="7">
        <f>LamChanHangNgan(E35/E24)</f>
        <v>59000</v>
      </c>
      <c r="F37" s="7">
        <f t="shared" ref="F37:I37" si="8">LamChanHangNgan(F35/F24)</f>
        <v>36000</v>
      </c>
      <c r="G37" s="7">
        <f t="shared" si="8"/>
        <v>29000</v>
      </c>
      <c r="H37" s="7">
        <f t="shared" si="8"/>
        <v>25000</v>
      </c>
      <c r="I37" s="7">
        <f t="shared" si="8"/>
        <v>23000</v>
      </c>
    </row>
    <row r="39" spans="2:9" ht="75" x14ac:dyDescent="0.25">
      <c r="B39" s="2" t="s">
        <v>374</v>
      </c>
      <c r="C39" t="s">
        <v>353</v>
      </c>
      <c r="E39" s="32">
        <f>PhiMay_AccSlit(E$24*12,0.3)</f>
        <v>178216.6667</v>
      </c>
      <c r="F39" s="32">
        <f t="shared" ref="F39:I39" si="9">PhiMay_AccSlit(F$24*12,0.3)</f>
        <v>267683.3333</v>
      </c>
      <c r="G39" s="32">
        <f t="shared" si="9"/>
        <v>357150</v>
      </c>
      <c r="H39" s="32">
        <f t="shared" si="9"/>
        <v>446616.6667</v>
      </c>
      <c r="I39" s="32">
        <f t="shared" si="9"/>
        <v>536083.33330000006</v>
      </c>
    </row>
    <row r="42" spans="2:9" x14ac:dyDescent="0.25">
      <c r="E42" s="32">
        <f>PhiMay_AccSlit(E$24*12,0.3)</f>
        <v>178216.6667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3C12F-B371-43C2-9916-3CAC4D605AB2}">
  <sheetPr codeName="Trang_tính20"/>
  <dimension ref="A1:I37"/>
  <sheetViews>
    <sheetView topLeftCell="A15" workbookViewId="0">
      <selection activeCell="D24" sqref="D24"/>
    </sheetView>
  </sheetViews>
  <sheetFormatPr defaultRowHeight="15" x14ac:dyDescent="0.25"/>
  <cols>
    <col min="1" max="1" width="20" bestFit="1" customWidth="1"/>
    <col min="2" max="2" width="18.5703125" customWidth="1"/>
    <col min="3" max="3" width="30.42578125" bestFit="1" customWidth="1"/>
    <col min="4" max="4" width="15.85546875" bestFit="1" customWidth="1"/>
    <col min="5" max="5" width="18.5703125" bestFit="1" customWidth="1"/>
    <col min="6" max="6" width="17" bestFit="1" customWidth="1"/>
    <col min="7" max="7" width="16" bestFit="1" customWidth="1"/>
    <col min="8" max="9" width="15.140625" bestFit="1" customWidth="1"/>
  </cols>
  <sheetData>
    <row r="1" spans="1:7" x14ac:dyDescent="0.25">
      <c r="A1" t="s">
        <v>375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376</v>
      </c>
    </row>
    <row r="6" spans="1:7" x14ac:dyDescent="0.25">
      <c r="A6" t="s">
        <v>293</v>
      </c>
      <c r="B6" t="s">
        <v>377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43733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</v>
      </c>
      <c r="F24">
        <v>100</v>
      </c>
      <c r="G24">
        <v>200</v>
      </c>
      <c r="I24">
        <v>50</v>
      </c>
    </row>
    <row r="25" spans="1:9" x14ac:dyDescent="0.25">
      <c r="A25">
        <v>20</v>
      </c>
      <c r="B25">
        <f>$A25*E$24</f>
        <v>20</v>
      </c>
      <c r="C25" t="s">
        <v>332</v>
      </c>
      <c r="E25">
        <f>($A25*E$24/2)/$D$16</f>
        <v>5</v>
      </c>
      <c r="F25">
        <f t="shared" ref="F25:I25" si="0">($A25*F$24/2)/$D$16</f>
        <v>500</v>
      </c>
      <c r="G25">
        <f t="shared" si="0"/>
        <v>1000</v>
      </c>
      <c r="I25">
        <f t="shared" si="0"/>
        <v>250</v>
      </c>
    </row>
    <row r="26" spans="1:9" x14ac:dyDescent="0.25">
      <c r="C26" t="s">
        <v>391</v>
      </c>
      <c r="E26">
        <f>PhiKyThuatIn(15/60)</f>
        <v>44000</v>
      </c>
      <c r="F26">
        <f>PhiKyThuatIn(15/60)</f>
        <v>44000</v>
      </c>
      <c r="G26">
        <f>PhiKyThuatIn(15/60)</f>
        <v>44000</v>
      </c>
    </row>
    <row r="27" spans="1:9" x14ac:dyDescent="0.25">
      <c r="C27" t="s">
        <v>306</v>
      </c>
      <c r="E27" s="7">
        <f>PhiInKM4M_BHR70(E$25*$E$16*2)</f>
        <v>109275</v>
      </c>
      <c r="F27" s="7">
        <f>PhiInKM4M_BHR70(F$25*$E$16*2)</f>
        <v>1473000</v>
      </c>
      <c r="G27" s="7">
        <f>PhiInKM4M_BHR70(G$25*$E$16*2)</f>
        <v>2850500</v>
      </c>
      <c r="H27" s="7"/>
      <c r="I27" s="7">
        <f>PhiInKM4M_BHR70(I$25*$E$16*2)*(1+$D$17)</f>
        <v>1560657.5</v>
      </c>
    </row>
    <row r="28" spans="1:9" x14ac:dyDescent="0.25">
      <c r="C28" t="s">
        <v>333</v>
      </c>
      <c r="E28" s="7">
        <f>E$25*$D$19</f>
        <v>6360</v>
      </c>
      <c r="F28" s="7">
        <f>F$25*$D$19</f>
        <v>636000</v>
      </c>
      <c r="G28" s="7">
        <f>G$25*$D$19</f>
        <v>1272000</v>
      </c>
      <c r="H28" s="7"/>
      <c r="I28" s="7">
        <f t="shared" ref="I28" si="1">I$25*$D$19*(1+$D$17)</f>
        <v>632820</v>
      </c>
    </row>
    <row r="29" spans="1:9" x14ac:dyDescent="0.25">
      <c r="C29" t="s">
        <v>310</v>
      </c>
      <c r="E29" s="7">
        <f>(PhiMayCanMang(E$25*2,$C$15/100,$D$15/100) + PhiMangCan(E$25*2,$C$15/100,$D$15/100,$D$21))</f>
        <v>32719.505799999999</v>
      </c>
      <c r="F29" s="7">
        <f>(PhiMayCanMang(F$25*2,$C$15/100,$D$15/100) + PhiMangCan(F$25*2,$C$15/100,$D$15/100,$D$21))</f>
        <v>319712.3456</v>
      </c>
      <c r="G29" s="7">
        <f>(PhiMayCanMang(G$25*2,$C$15/100,$D$15/100) + PhiMangCan(G$25*2,$C$15/100,$D$15/100,$D$21))</f>
        <v>609674.69130000006</v>
      </c>
      <c r="H29" s="7"/>
      <c r="I29" s="7">
        <f>(PhiMayCanMang(I$25*2,$C$15/100,$D$15/100) + PhiMangCan(I$25*2,$C$15/100,$D$15/100,$D$21))*(1+$D$17)</f>
        <v>347715.033872</v>
      </c>
    </row>
    <row r="30" spans="1:9" x14ac:dyDescent="0.25">
      <c r="C30" t="s">
        <v>378</v>
      </c>
      <c r="E30" s="7">
        <f>PhiMay_AccBind(E$25)</f>
        <v>103694.44439999999</v>
      </c>
      <c r="F30" s="7">
        <f>PhiMay_AccBind(F$25)</f>
        <v>395194.44439999998</v>
      </c>
      <c r="G30" s="7">
        <f>PhiMay_AccBind(G$25)</f>
        <v>689638.88890000002</v>
      </c>
      <c r="H30" s="7"/>
      <c r="I30" s="7">
        <f>PhiMay_AccBind(I$25)</f>
        <v>247972.22219999999</v>
      </c>
    </row>
    <row r="31" spans="1:9" x14ac:dyDescent="0.25">
      <c r="C31" t="s">
        <v>383</v>
      </c>
      <c r="E31" s="25">
        <f>SUM(E27:E30)</f>
        <v>252048.95019999996</v>
      </c>
      <c r="F31" s="25">
        <f>SUM(F27:F30)</f>
        <v>2823906.79</v>
      </c>
      <c r="G31" s="25">
        <f>SUM(G27:G30)</f>
        <v>5421813.5801999997</v>
      </c>
      <c r="H31" s="25"/>
      <c r="I31" s="25"/>
    </row>
    <row r="32" spans="1:9" x14ac:dyDescent="0.25">
      <c r="C32" s="44" t="s">
        <v>384</v>
      </c>
      <c r="E32" s="25">
        <f>LamChanHangNgan(E$31*(1+33%))</f>
        <v>335000</v>
      </c>
      <c r="F32" s="25">
        <f>LamChanHangNgan(F$31*(1+$D$17))</f>
        <v>5619000</v>
      </c>
      <c r="G32" s="25">
        <f>LamChanHangNgan(G$31*(1+$D$17))</f>
        <v>10789000</v>
      </c>
      <c r="H32" s="25"/>
      <c r="I32" s="25">
        <f t="shared" ref="I32" si="2">LamChanHangNgan(I$27+I$28+I$29+I$30)</f>
        <v>2789000</v>
      </c>
    </row>
    <row r="33" spans="3:7" x14ac:dyDescent="0.25">
      <c r="C33" t="s">
        <v>392</v>
      </c>
      <c r="E33" s="7">
        <v>182000</v>
      </c>
      <c r="F33" s="7">
        <f>'Menu-BatVit-LamBiaCung-TheoNhuC'!G36</f>
        <v>2118000</v>
      </c>
      <c r="G33" s="7">
        <f>'Menu-BatVit-LamBiaCung-TheoNhuC'!I36</f>
        <v>3726000</v>
      </c>
    </row>
    <row r="35" spans="3:7" x14ac:dyDescent="0.25">
      <c r="C35" t="s">
        <v>388</v>
      </c>
      <c r="E35" s="25">
        <f>E32+E33</f>
        <v>517000</v>
      </c>
      <c r="F35" s="25">
        <f>F32+F33</f>
        <v>7737000</v>
      </c>
      <c r="G35" s="25">
        <f>G32+G33</f>
        <v>14515000</v>
      </c>
    </row>
    <row r="37" spans="3:7" x14ac:dyDescent="0.25">
      <c r="C37" t="s">
        <v>389</v>
      </c>
      <c r="F37" s="7">
        <f>F35/F24</f>
        <v>77370</v>
      </c>
      <c r="G37" s="7">
        <f>G35/G24</f>
        <v>72575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C8EECFCD-8772-4734-B541-0F22FDF861F9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0C67D31-748A-455A-A261-D10DDB4DD842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9E760BC6-7938-4009-950F-F2D987974863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4B8D-D8C9-41EF-92DE-EFCDE6A18579}">
  <sheetPr codeName="Trang_tính21"/>
  <dimension ref="A1:M43"/>
  <sheetViews>
    <sheetView topLeftCell="A13" workbookViewId="0">
      <selection activeCell="G36" sqref="G3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9" width="15" bestFit="1" customWidth="1"/>
  </cols>
  <sheetData>
    <row r="1" spans="1:13" x14ac:dyDescent="0.25">
      <c r="A1" t="s">
        <v>379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380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  <c r="I13">
        <f>F$13+0.4+4</f>
        <v>28.5</v>
      </c>
      <c r="J13">
        <f>G$13+0.4*2</f>
        <v>31.400000000000002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</v>
      </c>
      <c r="G24">
        <v>100</v>
      </c>
      <c r="I24">
        <v>200</v>
      </c>
    </row>
    <row r="25" spans="1:9" x14ac:dyDescent="0.25">
      <c r="C25" t="s">
        <v>347</v>
      </c>
      <c r="E25">
        <f>(E$24)/$D$16</f>
        <v>1</v>
      </c>
      <c r="G25">
        <f>(G$24)/$D$16</f>
        <v>100</v>
      </c>
      <c r="I25">
        <f t="shared" ref="I25" si="0">(I$24)/$D$16</f>
        <v>200</v>
      </c>
    </row>
    <row r="26" spans="1:9" x14ac:dyDescent="0.25">
      <c r="C26" t="s">
        <v>390</v>
      </c>
      <c r="E26" s="7">
        <f>PhiKyThuatIn(15/60)</f>
        <v>44000</v>
      </c>
      <c r="F26" s="7"/>
      <c r="G26" s="7">
        <f>PhiKyThuatIn(15/60)</f>
        <v>44000</v>
      </c>
      <c r="H26" s="7"/>
      <c r="I26" s="7"/>
    </row>
    <row r="27" spans="1:9" x14ac:dyDescent="0.25">
      <c r="C27" t="s">
        <v>348</v>
      </c>
      <c r="E27" s="7">
        <f>PhiInKM4M_BHR70(E$25*$E$16)</f>
        <v>96877.5</v>
      </c>
      <c r="G27" s="7">
        <f>PhiInKM4M_BHR70(G$25*$E$16)*(1+$D$17)</f>
        <v>464167.5</v>
      </c>
      <c r="H27" s="7"/>
      <c r="I27" s="7">
        <f>PhiInKM4M_BHR70(I$25*$E$16)*(1+$D$17)</f>
        <v>738290</v>
      </c>
    </row>
    <row r="28" spans="1:9" x14ac:dyDescent="0.25">
      <c r="C28" t="s">
        <v>333</v>
      </c>
      <c r="E28" s="7">
        <f>E$25*$D$19</f>
        <v>1272</v>
      </c>
      <c r="G28" s="7">
        <f>G$25*$D$19*(1+$D$17)</f>
        <v>253128</v>
      </c>
      <c r="H28" s="7"/>
      <c r="I28" s="7">
        <f t="shared" ref="I28" si="1">I$25*$D$19*(1+$D$17)</f>
        <v>506256</v>
      </c>
    </row>
    <row r="29" spans="1:9" x14ac:dyDescent="0.25">
      <c r="C29" t="s">
        <v>310</v>
      </c>
      <c r="E29" s="7">
        <f>(PhiMayCanMang(E$25*2,$C$15/100,$D$15/100) + PhiMangCan(E$25*2,$C$15/100,$D$15/100,$D$21))</f>
        <v>30343.9012</v>
      </c>
      <c r="G29" s="7">
        <f>(PhiMayCanMang(G$25*2,$C$15/100,$D$15/100) + PhiMangCan(G$25*2,$C$15/100,$D$15/100,$D$21))*(1+$D$17)</f>
        <v>174607.51629499998</v>
      </c>
      <c r="H29" s="7"/>
      <c r="I29" s="7">
        <f>(PhiMayCanMang(I$25*2,$C$15/100,$D$15/100) + PhiMangCan(I$25*2,$C$15/100,$D$15/100,$D$21))*(1+$D$17)</f>
        <v>290012.53258999996</v>
      </c>
    </row>
    <row r="30" spans="1:9" x14ac:dyDescent="0.25">
      <c r="C30" t="s">
        <v>382</v>
      </c>
      <c r="E30" s="7">
        <f>SUM(E27:E29)</f>
        <v>128493.40119999999</v>
      </c>
      <c r="G30" s="7">
        <f>SUM(G27:G29)</f>
        <v>891903.01629499998</v>
      </c>
      <c r="H30" s="7"/>
      <c r="I30" s="7">
        <f t="shared" ref="I30" si="2">SUM(I27:I29)</f>
        <v>1534558.53259</v>
      </c>
    </row>
    <row r="31" spans="1:9" x14ac:dyDescent="0.25">
      <c r="C31" t="s">
        <v>349</v>
      </c>
      <c r="E31" s="7">
        <v>0</v>
      </c>
      <c r="G31" s="7">
        <f>G24*2*$D$22</f>
        <v>240000</v>
      </c>
      <c r="H31" s="7"/>
      <c r="I31" s="7">
        <f t="shared" ref="I31" si="3">I24*2*$D$22</f>
        <v>480000</v>
      </c>
    </row>
    <row r="32" spans="1:9" x14ac:dyDescent="0.25">
      <c r="C32" t="s">
        <v>350</v>
      </c>
      <c r="E32" s="7">
        <v>34000</v>
      </c>
      <c r="F32" t="s">
        <v>381</v>
      </c>
      <c r="G32" s="7">
        <f>(PhiLamBiaCungMayY(G24)+G31)*(1+$D$17)</f>
        <v>769743.05564399995</v>
      </c>
      <c r="H32" s="7"/>
      <c r="I32" s="7">
        <f t="shared" ref="I32" si="4">(PhiLamBiaCungMayY(I24)+I31)*(1+$D$17)</f>
        <v>1304002.777822</v>
      </c>
    </row>
    <row r="33" spans="2:9" x14ac:dyDescent="0.25">
      <c r="C33" t="s">
        <v>385</v>
      </c>
      <c r="E33" s="43">
        <f>E30+E32</f>
        <v>162493.40119999999</v>
      </c>
      <c r="G33" s="43">
        <f>G30+G32</f>
        <v>1661646.0719389999</v>
      </c>
      <c r="H33" s="43"/>
      <c r="I33" s="43">
        <f t="shared" ref="I33" si="5">I30+I32</f>
        <v>2838561.3104119999</v>
      </c>
    </row>
    <row r="34" spans="2:9" x14ac:dyDescent="0.25">
      <c r="E34" s="43"/>
      <c r="G34" s="43"/>
      <c r="H34" s="43"/>
      <c r="I34" s="43"/>
    </row>
    <row r="35" spans="2:9" x14ac:dyDescent="0.25">
      <c r="C35" t="s">
        <v>386</v>
      </c>
      <c r="E35" s="32">
        <f>PhiLDPT_VoCuonBatVit(E$24)</f>
        <v>15166.6667</v>
      </c>
      <c r="G35" s="32">
        <f>PhiLDPT_VoCuonBatVit(G24) * (1+$D$17)</f>
        <v>457036.65021599998</v>
      </c>
      <c r="H35" s="32"/>
      <c r="I35" s="32">
        <f t="shared" ref="I35" si="6">PhiLDPT_VoCuonBatVit(I24) * (1+$D$17)</f>
        <v>888203.30043199996</v>
      </c>
    </row>
    <row r="36" spans="2:9" x14ac:dyDescent="0.25">
      <c r="C36" t="s">
        <v>387</v>
      </c>
      <c r="E36" s="25">
        <f>LamChanHangNgan((E33+E35)*(1+33%))</f>
        <v>236000</v>
      </c>
      <c r="G36" s="25">
        <f>LamChanHangNgan(G33+G35)</f>
        <v>2118000</v>
      </c>
      <c r="H36" s="25"/>
      <c r="I36" s="25">
        <f t="shared" ref="I36" si="7">LamChanHangNgan(I33+I35)</f>
        <v>3726000</v>
      </c>
    </row>
    <row r="38" spans="2:9" x14ac:dyDescent="0.25">
      <c r="D38" t="s">
        <v>393</v>
      </c>
      <c r="E38" s="7">
        <f>LamChanHangNgan(E36/E24)</f>
        <v>236000</v>
      </c>
      <c r="G38" s="7">
        <f>LamChanHangNgan(G36/G24)</f>
        <v>21000</v>
      </c>
      <c r="H38" s="7"/>
      <c r="I38" s="7">
        <f t="shared" ref="I38" si="8">LamChanHangNgan(I36/I24)</f>
        <v>18000</v>
      </c>
    </row>
    <row r="40" spans="2:9" x14ac:dyDescent="0.25">
      <c r="B40" s="2"/>
      <c r="E40" s="32"/>
      <c r="F40" s="32"/>
      <c r="G40" s="32"/>
      <c r="H40" s="32"/>
      <c r="I40" s="32"/>
    </row>
    <row r="43" spans="2:9" x14ac:dyDescent="0.25">
      <c r="E43" s="32"/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E6187CED-B207-4DFE-A922-0E2DD499C67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9BF21D6-CB63-458D-A4B4-6A9187808C0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2B9A3494-45CF-4D98-AB27-DF9AD9B0002F}">
      <formula1>OFFSET(GIA_MANG,1,0,,1)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456400</v>
      </c>
      <c r="F26" s="7">
        <f>PhiInKM4M_BHR70(F$25*$E$16*2)*(1+$D$17)</f>
        <v>745675</v>
      </c>
      <c r="G26" s="7">
        <f>PhiInKM4M_BHR70(G$25*$E$16*2)*(1+$D$17)</f>
        <v>1034950</v>
      </c>
      <c r="H26" s="7">
        <f>PhiInKM4M_BHR70(H$25*$E$16*2)*(1+$D$17)</f>
        <v>1324225</v>
      </c>
      <c r="I26" s="7">
        <f>PhiInKM4M_BHR70(I$25*$E$16*2)*(1+$D$17)</f>
        <v>1613500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112791.53602499999</v>
      </c>
      <c r="F28" s="7">
        <f>(PhiMayCanMang(F$25*2,$C$15/100,$D$15/100) + PhiMangCan(F$25*2,$C$15/100,$D$15/100,$D$21))*(1+$D$17)</f>
        <v>173928.21897499997</v>
      </c>
      <c r="G28" s="7">
        <f>(PhiMayCanMang(G$25*2,$C$15/100,$D$15/100) + PhiMangCan(G$25*2,$C$15/100,$D$15/100,$D$21))*(1+$D$17)</f>
        <v>234657.24695</v>
      </c>
      <c r="H28" s="7">
        <f>(PhiMayCanMang(H$25*2,$C$15/100,$D$15/100) + PhiMangCan(H$25*2,$C$15/100,$D$15/100,$D$21))*(1+$D$17)</f>
        <v>295793.93812499999</v>
      </c>
      <c r="I28" s="7">
        <f>(PhiMayCanMang(I$25*2,$C$15/100,$D$15/100) + PhiMangCan(I$25*2,$C$15/100,$D$15/100,$D$21))*(1+$D$17)</f>
        <v>356522.96609999996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225225</v>
      </c>
      <c r="F30" s="7">
        <f t="shared" ref="F30:I30" si="3">PhiLamRuotCuonMP_Tay(F$24, F25/F$24)*(1+$D$17)</f>
        <v>435225</v>
      </c>
      <c r="G30" s="7">
        <f t="shared" si="3"/>
        <v>645225</v>
      </c>
      <c r="H30" s="7">
        <f t="shared" si="3"/>
        <v>855225</v>
      </c>
      <c r="I30" s="7">
        <f t="shared" si="3"/>
        <v>1065225</v>
      </c>
    </row>
    <row r="31" spans="1:9" x14ac:dyDescent="0.25">
      <c r="C31" t="s">
        <v>329</v>
      </c>
      <c r="E31" s="25">
        <f>LamChanHangNgan(E$26+E$27+E$29+E30)</f>
        <v>906000</v>
      </c>
      <c r="F31" s="25">
        <f t="shared" ref="F31:I31" si="4">LamChanHangNgan(F$26+F$27+F$29+F30)</f>
        <v>1523000</v>
      </c>
      <c r="G31" s="25">
        <f t="shared" si="4"/>
        <v>2140000</v>
      </c>
      <c r="H31" s="25">
        <f t="shared" si="4"/>
        <v>2757000</v>
      </c>
      <c r="I31" s="25">
        <f t="shared" si="4"/>
        <v>3373000</v>
      </c>
    </row>
    <row r="32" spans="1:9" x14ac:dyDescent="0.25">
      <c r="C32" t="s">
        <v>330</v>
      </c>
      <c r="E32" s="25">
        <f>LamChanHangNgan(E$26+E$27+E$28+E$29+E30)</f>
        <v>1019000</v>
      </c>
      <c r="F32" s="25">
        <f t="shared" ref="F32:I32" si="5">LamChanHangNgan(F$26+F$27+F$28+F$29+F30)</f>
        <v>1697000</v>
      </c>
      <c r="G32" s="25">
        <f t="shared" si="5"/>
        <v>2375000</v>
      </c>
      <c r="H32" s="25">
        <f t="shared" si="5"/>
        <v>3052000</v>
      </c>
      <c r="I32" s="25">
        <f t="shared" si="5"/>
        <v>3730000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504612.5</v>
      </c>
      <c r="F34" s="26">
        <f>PhiInKM4M_BHR70(F33*$E$16*2)*(1+$D$17)</f>
        <v>842100</v>
      </c>
      <c r="G34" s="26">
        <f>PhiInKM4M_BHR70(G33*$E$16*2)*(1+$D$17)</f>
        <v>1179587.5</v>
      </c>
      <c r="H34" s="26">
        <f>PhiInKM4M_BHR70(H33*$E$16*2)*(1+$D$17)</f>
        <v>1517075</v>
      </c>
      <c r="I34" s="26">
        <f>PhiInKM4M_BHR70(I33*$E$16*2)*(1+$D$17)</f>
        <v>1854562.5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123184.80527499999</v>
      </c>
      <c r="F36" s="26">
        <f>(PhiMayCanMang(F33*2,$C$15/100,$D$15/100) + PhiMangCan(F33*2,$C$15/100,$D$15/100,$D$21))*(1+$D$17)</f>
        <v>194307.11072499998</v>
      </c>
      <c r="G36" s="26">
        <f>(PhiMayCanMang(G33*2,$C$15/100,$D$15/100) + PhiMangCan(G33*2,$C$15/100,$D$15/100,$D$21))*(1+$D$17)</f>
        <v>265021.76907499996</v>
      </c>
      <c r="H36" s="26">
        <f>(PhiMayCanMang(H33*2,$C$15/100,$D$15/100) + PhiMangCan(H33*2,$C$15/100,$D$15/100,$D$21))*(1+$D$17)</f>
        <v>336144.07435000001</v>
      </c>
      <c r="I36" s="26">
        <f>(PhiMayCanMang(I33*2,$C$15/100,$D$15/100) + PhiMangCan(I33*2,$C$15/100,$D$15/100,$D$21))*(1+$D$17)</f>
        <v>407266.3798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247450</v>
      </c>
      <c r="F38" s="26">
        <f t="shared" ref="F38:I38" si="9">PhiLamRuotCuonMP_Tay(F$24, F33/F$24)*(1+$D$17)</f>
        <v>479325</v>
      </c>
      <c r="G38" s="26">
        <f t="shared" si="9"/>
        <v>711200</v>
      </c>
      <c r="H38" s="26">
        <f t="shared" si="9"/>
        <v>943075</v>
      </c>
      <c r="I38" s="26">
        <f t="shared" si="9"/>
        <v>1174950</v>
      </c>
    </row>
    <row r="39" spans="1:9" x14ac:dyDescent="0.25">
      <c r="C39" t="s">
        <v>329</v>
      </c>
      <c r="E39" s="42">
        <f>LamChanHangNgan(E34+E35+E37+E38)</f>
        <v>996000</v>
      </c>
      <c r="F39" s="42">
        <f t="shared" ref="F39:I39" si="10">LamChanHangNgan(F34+F35+F37+F38)</f>
        <v>1703000</v>
      </c>
      <c r="G39" s="42">
        <f t="shared" si="10"/>
        <v>2409000</v>
      </c>
      <c r="H39" s="42">
        <f t="shared" si="10"/>
        <v>3116000</v>
      </c>
      <c r="I39" s="42">
        <f t="shared" si="10"/>
        <v>3822000</v>
      </c>
    </row>
    <row r="40" spans="1:9" x14ac:dyDescent="0.25">
      <c r="C40" t="s">
        <v>330</v>
      </c>
      <c r="E40" s="42">
        <f>LamChanHangNgan(E34+E35+E36+E37+E38)</f>
        <v>1120000</v>
      </c>
      <c r="F40" s="42">
        <f t="shared" ref="F40:I40" si="11">LamChanHangNgan(F34+F35+F36+F37+F38)</f>
        <v>1897000</v>
      </c>
      <c r="G40" s="42">
        <f t="shared" si="11"/>
        <v>2674000</v>
      </c>
      <c r="H40" s="42">
        <f t="shared" si="11"/>
        <v>3452000</v>
      </c>
      <c r="I40" s="42">
        <f t="shared" si="11"/>
        <v>4229000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552825</v>
      </c>
      <c r="F42">
        <f>PhiInKM4M_BHR70(F41*$E$16*2)*(1+$D$17)</f>
        <v>938525</v>
      </c>
      <c r="G42">
        <f>PhiInKM4M_BHR70(G41*$E$16*2)*(1+$D$17)</f>
        <v>1324225</v>
      </c>
      <c r="H42">
        <f>PhiInKM4M_BHR70(H41*$E$16*2)*(1+$D$17)</f>
        <v>1709925</v>
      </c>
      <c r="I42">
        <f>PhiInKM4M_BHR70(I41*$E$16*2)*(1+$D$17)</f>
        <v>2095625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133170.4276</v>
      </c>
      <c r="F44">
        <f>(PhiMayCanMang(F41*2,$C$15/100,$D$15/100) + PhiMangCan(F41*2,$C$15/100,$D$15/100,$D$21))*(1+$D$17)</f>
        <v>214278.35537499998</v>
      </c>
      <c r="G44">
        <f>(PhiMayCanMang(G41*2,$C$15/100,$D$15/100) + PhiMangCan(G41*2,$C$15/100,$D$15/100,$D$21))*(1+$D$17)</f>
        <v>295793.93812499999</v>
      </c>
      <c r="H44">
        <f>(PhiMayCanMang(H41*2,$C$15/100,$D$15/100) + PhiMangCan(H41*2,$C$15/100,$D$15/100,$D$21))*(1+$D$17)</f>
        <v>376901.85767499998</v>
      </c>
      <c r="I44">
        <f>(PhiMayCanMang(I41*2,$C$15/100,$D$15/100) + PhiMangCan(I41*2,$C$15/100,$D$15/100,$D$21))*(1+$D$17)</f>
        <v>458009.79350000003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269675</v>
      </c>
      <c r="F46" s="26">
        <f t="shared" ref="F46:I46" si="15">PhiLamRuotCuonMP_Tay(F$24, F41/F$24)*(1+$D$17)</f>
        <v>523425</v>
      </c>
      <c r="G46" s="26">
        <f t="shared" si="15"/>
        <v>777175</v>
      </c>
      <c r="H46" s="26">
        <f t="shared" si="15"/>
        <v>1030925</v>
      </c>
      <c r="I46" s="26">
        <f t="shared" si="15"/>
        <v>1284675</v>
      </c>
    </row>
    <row r="47" spans="1:9" x14ac:dyDescent="0.25">
      <c r="C47" t="s">
        <v>329</v>
      </c>
      <c r="E47" s="42">
        <f>LamChanHangNgan(E42+E43+E45+E46)</f>
        <v>1087000</v>
      </c>
      <c r="F47" s="42">
        <f t="shared" ref="F47" si="16">LamChanHangNgan(F42+F43+F45+F46)</f>
        <v>1883000</v>
      </c>
      <c r="G47" s="42">
        <f t="shared" ref="G47" si="17">LamChanHangNgan(G42+G43+G45+G46)</f>
        <v>2679000</v>
      </c>
      <c r="H47" s="42">
        <f t="shared" ref="H47" si="18">LamChanHangNgan(H42+H43+H45+H46)</f>
        <v>3475000</v>
      </c>
      <c r="I47" s="42">
        <f t="shared" ref="I47" si="19">LamChanHangNgan(I42+I43+I45+I46)</f>
        <v>4271000</v>
      </c>
    </row>
    <row r="48" spans="1:9" x14ac:dyDescent="0.25">
      <c r="C48" t="s">
        <v>330</v>
      </c>
      <c r="E48" s="42">
        <f>LamChanHangNgan(E42+E43+E44+E45+E46)</f>
        <v>1220000</v>
      </c>
      <c r="F48" s="42">
        <f t="shared" ref="F48:I48" si="20">LamChanHangNgan(F42+F43+F44+F45+F46)</f>
        <v>2097000</v>
      </c>
      <c r="G48" s="42">
        <f t="shared" si="20"/>
        <v>2974000</v>
      </c>
      <c r="H48" s="42">
        <f t="shared" si="20"/>
        <v>3852000</v>
      </c>
      <c r="I48" s="42">
        <f t="shared" si="20"/>
        <v>4729000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601037.5</v>
      </c>
      <c r="F50">
        <f>PhiInKM4M_BHR70(F49*$E$16*2)*(1+$D$17)</f>
        <v>1034950</v>
      </c>
      <c r="G50">
        <f>PhiInKM4M_BHR70(G49*$E$16*2)*(1+$D$17)</f>
        <v>1468862.5</v>
      </c>
      <c r="H50">
        <f>PhiInKM4M_BHR70(H49*$E$16*2)*(1+$D$17)</f>
        <v>1902775</v>
      </c>
      <c r="I50">
        <f>PhiInKM4M_BHR70(I49*$E$16*2)*(1+$D$17)</f>
        <v>2336687.5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143563.697025</v>
      </c>
      <c r="F52">
        <f>(PhiMayCanMang(F49*2,$C$15/100,$D$15/100) + PhiMangCan(F49*2,$C$15/100,$D$15/100,$D$21))*(1+$D$17)</f>
        <v>234657.24695</v>
      </c>
      <c r="G52">
        <f>(PhiMayCanMang(G49*2,$C$15/100,$D$15/100) + PhiMangCan(G49*2,$C$15/100,$D$15/100,$D$21))*(1+$D$17)</f>
        <v>326158.443975</v>
      </c>
      <c r="H52">
        <f>(PhiMayCanMang(H49*2,$C$15/100,$D$15/100) + PhiMangCan(H49*2,$C$15/100,$D$15/100,$D$21))*(1+$D$17)</f>
        <v>417251.994075</v>
      </c>
      <c r="I52">
        <f>(PhiMayCanMang(I49*2,$C$15/100,$D$15/100) + PhiMangCan(I49*2,$C$15/100,$D$15/100,$D$21))*(1+$D$17)</f>
        <v>508753.20702499995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291900</v>
      </c>
      <c r="F54" s="26">
        <f t="shared" ref="F54:I54" si="24">PhiLamRuotCuonMP_Tay(F$24, F49/F$24)*(1+$D$17)</f>
        <v>567525</v>
      </c>
      <c r="G54" s="26">
        <f t="shared" si="24"/>
        <v>843150</v>
      </c>
      <c r="H54" s="26">
        <f t="shared" si="24"/>
        <v>1118775</v>
      </c>
      <c r="I54" s="26">
        <f t="shared" si="24"/>
        <v>1394400</v>
      </c>
    </row>
    <row r="55" spans="1:9" x14ac:dyDescent="0.25">
      <c r="C55" t="s">
        <v>329</v>
      </c>
      <c r="E55" s="42">
        <f>LamChanHangNgan(E50+E51+E53+E54)</f>
        <v>1177000</v>
      </c>
      <c r="F55" s="42">
        <f t="shared" ref="F55" si="25">LamChanHangNgan(F50+F51+F53+F54)</f>
        <v>2062000</v>
      </c>
      <c r="G55" s="42">
        <f t="shared" ref="G55" si="26">LamChanHangNgan(G50+G51+G53+G54)</f>
        <v>2948000</v>
      </c>
      <c r="H55" s="42">
        <f t="shared" ref="H55" si="27">LamChanHangNgan(H50+H51+H53+H54)</f>
        <v>3834000</v>
      </c>
      <c r="I55" s="42">
        <f t="shared" ref="I55" si="28">LamChanHangNgan(I50+I51+I53+I54)</f>
        <v>4719000</v>
      </c>
    </row>
    <row r="56" spans="1:9" x14ac:dyDescent="0.25">
      <c r="C56" t="s">
        <v>330</v>
      </c>
      <c r="E56" s="42">
        <f>LamChanHangNgan(E50+E51+E52+E53+E54)</f>
        <v>1320000</v>
      </c>
      <c r="F56" s="42">
        <f t="shared" ref="F56:I56" si="29">LamChanHangNgan(F50+F51+F52+F53+F54)</f>
        <v>2297000</v>
      </c>
      <c r="G56" s="42">
        <f t="shared" si="29"/>
        <v>3274000</v>
      </c>
      <c r="H56" s="42">
        <f t="shared" si="29"/>
        <v>4251000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649250</v>
      </c>
      <c r="F58">
        <f>PhiInKM4M_BHR70(F57*$E$16*2)*(1+$D$17)</f>
        <v>1131375</v>
      </c>
      <c r="G58">
        <f>PhiInKM4M_BHR70(G57*$E$16*2)*(1+$D$17)</f>
        <v>1613500</v>
      </c>
      <c r="H58">
        <f>PhiInKM4M_BHR70(H57*$E$16*2)*(1+$D$17)</f>
        <v>2095625</v>
      </c>
      <c r="I58">
        <f>PhiInKM4M_BHR70(I57*$E$16*2)*(1+$D$17)</f>
        <v>2577750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153549.32337499998</v>
      </c>
      <c r="F60">
        <f>(PhiMayCanMang(F57*2,$C$15/100,$D$15/100) + PhiMangCan(F57*2,$C$15/100,$D$15/100,$D$21))*(1+$D$17)</f>
        <v>255036.14674999999</v>
      </c>
      <c r="G60">
        <f>(PhiMayCanMang(G57*2,$C$15/100,$D$15/100) + PhiMangCan(G57*2,$C$15/100,$D$15/100,$D$21))*(1+$D$17)</f>
        <v>356522.96609999996</v>
      </c>
      <c r="H60">
        <f>(PhiMayCanMang(H57*2,$C$15/100,$D$15/100) + PhiMangCan(H57*2,$C$15/100,$D$15/100,$D$21))*(1+$D$17)</f>
        <v>458009.79350000003</v>
      </c>
      <c r="I60">
        <f>(PhiMayCanMang(I57*2,$C$15/100,$D$15/100) + PhiMangCan(I57*2,$C$15/100,$D$15/100,$D$21))*(1+$D$17)</f>
        <v>559496.60479999997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314125</v>
      </c>
      <c r="F62" s="26">
        <f t="shared" ref="F62:I62" si="33">PhiLamRuotCuonMP_Tay(F$24, F57/F$24)*(1+$D$17)</f>
        <v>611625</v>
      </c>
      <c r="G62" s="26">
        <f t="shared" si="33"/>
        <v>909125</v>
      </c>
      <c r="H62" s="26">
        <f t="shared" si="33"/>
        <v>1206625</v>
      </c>
      <c r="I62" s="26">
        <f t="shared" si="33"/>
        <v>1504125</v>
      </c>
    </row>
    <row r="63" spans="1:9" x14ac:dyDescent="0.25">
      <c r="C63" t="s">
        <v>329</v>
      </c>
      <c r="E63" s="42">
        <f>LamChanHangNgan(E58+E59+E61+E62)</f>
        <v>1267000</v>
      </c>
      <c r="F63" s="42">
        <f t="shared" ref="F63" si="34">LamChanHangNgan(F58+F59+F61+F62)</f>
        <v>2242000</v>
      </c>
      <c r="G63" s="42">
        <f t="shared" ref="G63" si="35">LamChanHangNgan(G58+G59+G61+G62)</f>
        <v>3217000</v>
      </c>
      <c r="H63" s="42">
        <f t="shared" ref="H63" si="36">LamChanHangNgan(H58+H59+H61+H62)</f>
        <v>4193000</v>
      </c>
      <c r="I63" s="42">
        <f t="shared" ref="I63" si="37">LamChanHangNgan(I58+I59+I61+I62)</f>
        <v>5168000</v>
      </c>
    </row>
    <row r="64" spans="1:9" ht="14.25" customHeight="1" x14ac:dyDescent="0.25">
      <c r="C64" t="s">
        <v>330</v>
      </c>
      <c r="E64" s="42">
        <f>LamChanHangNgan(E58+E59+E60+E61+E62)</f>
        <v>1420000</v>
      </c>
      <c r="F64" s="42">
        <f t="shared" ref="F64:I64" si="38">LamChanHangNgan(F58+F59+F60+F61+F62)</f>
        <v>2497000</v>
      </c>
      <c r="G64" s="42">
        <f t="shared" si="38"/>
        <v>3574000</v>
      </c>
      <c r="H64" s="42">
        <f t="shared" si="38"/>
        <v>4651000</v>
      </c>
      <c r="I64" s="42">
        <f t="shared" si="38"/>
        <v>5727000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697462.5</v>
      </c>
      <c r="F66">
        <f>PhiInKM4M_BHR70(F65*$E$16*2)*(1+$D$17)</f>
        <v>1227800</v>
      </c>
      <c r="G66">
        <f>PhiInKM4M_BHR70(G65*$E$16*2)*(1+$D$17)</f>
        <v>1758137.5</v>
      </c>
      <c r="H66">
        <f>PhiInKM4M_BHR70(H65*$E$16*2)*(1+$D$17)</f>
        <v>2288475</v>
      </c>
      <c r="I66">
        <f>PhiInKM4M_BHR70(I65*$E$16*2)*(1+$D$17)</f>
        <v>2818812.5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163534.94167500001</v>
      </c>
      <c r="F68">
        <f>(PhiMayCanMang(F65*2,$C$15/100,$D$15/100) + PhiMangCan(F65*2,$C$15/100,$D$15/100,$D$21))*(1+$D$17)</f>
        <v>275415.03027500003</v>
      </c>
      <c r="G68">
        <f>(PhiMayCanMang(G65*2,$C$15/100,$D$15/100) + PhiMangCan(G65*2,$C$15/100,$D$15/100,$D$21))*(1+$D$17)</f>
        <v>386887.48804999999</v>
      </c>
      <c r="H68">
        <f>(PhiMayCanMang(H65*2,$C$15/100,$D$15/100) + PhiMangCan(H65*2,$C$15/100,$D$15/100,$D$21))*(1+$D$17)</f>
        <v>498767.56090000004</v>
      </c>
      <c r="I68">
        <f>(PhiMayCanMang(I65*2,$C$15/100,$D$15/100) + PhiMangCan(I65*2,$C$15/100,$D$15/100,$D$21))*(1+$D$17)</f>
        <v>610240.03442499996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336350</v>
      </c>
      <c r="F70" s="26">
        <f t="shared" ref="F70:I70" si="42">PhiLamRuotCuonMP_Tay(F$24, F65/F$24)*(1+$D$17)</f>
        <v>655725</v>
      </c>
      <c r="G70" s="26">
        <f t="shared" si="42"/>
        <v>975100</v>
      </c>
      <c r="H70" s="26">
        <f t="shared" si="42"/>
        <v>1294475</v>
      </c>
      <c r="I70" s="26">
        <f t="shared" si="42"/>
        <v>1613850</v>
      </c>
    </row>
    <row r="71" spans="1:9" x14ac:dyDescent="0.25">
      <c r="C71" t="s">
        <v>329</v>
      </c>
      <c r="E71" s="42">
        <f>LamChanHangNgan(E66+E67+E69+E70)</f>
        <v>1357000</v>
      </c>
      <c r="F71" s="42">
        <f t="shared" ref="F71" si="43">LamChanHangNgan(F66+F67+F69+F70)</f>
        <v>2422000</v>
      </c>
      <c r="G71" s="42">
        <f t="shared" ref="G71" si="44">LamChanHangNgan(G66+G67+G69+G70)</f>
        <v>3487000</v>
      </c>
      <c r="H71" s="42">
        <f t="shared" ref="H71" si="45">LamChanHangNgan(H66+H67+H69+H70)</f>
        <v>4552000</v>
      </c>
      <c r="I71" s="42">
        <f t="shared" ref="I71" si="46">LamChanHangNgan(I66+I67+I69+I70)</f>
        <v>5617000</v>
      </c>
    </row>
    <row r="72" spans="1:9" x14ac:dyDescent="0.25">
      <c r="C72" t="s">
        <v>330</v>
      </c>
      <c r="E72" s="42">
        <f>LamChanHangNgan(E66+E67+E68+E69+E70)</f>
        <v>1520000</v>
      </c>
      <c r="F72" s="42">
        <f t="shared" ref="F72:I72" si="47">LamChanHangNgan(F66+F67+F68+F69+F70)</f>
        <v>2697000</v>
      </c>
      <c r="G72" s="42">
        <f t="shared" si="47"/>
        <v>3873000</v>
      </c>
      <c r="H72" s="42">
        <f t="shared" si="47"/>
        <v>5050000</v>
      </c>
      <c r="I72" s="42">
        <f t="shared" si="47"/>
        <v>6227000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745675</v>
      </c>
      <c r="F74">
        <f>PhiInKM4M_BHR70(F73*$E$16*2)*(1+$D$17)</f>
        <v>1324225</v>
      </c>
      <c r="G74">
        <f>PhiInKM4M_BHR70(G73*$E$16*2)*(1+$D$17)</f>
        <v>1902775</v>
      </c>
      <c r="H74">
        <f>PhiInKM4M_BHR70(H73*$E$16*2)*(1+$D$17)</f>
        <v>2481325</v>
      </c>
      <c r="I74">
        <f>PhiInKM4M_BHR70(I73*$E$16*2)*(1+$D$17)</f>
        <v>3059875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173928.21897499997</v>
      </c>
      <c r="F76">
        <f>(PhiMayCanMang(F73*2,$C$15/100,$D$15/100) + PhiMangCan(F73*2,$C$15/100,$D$15/100,$D$21))*(1+$D$17)</f>
        <v>295793.93812499999</v>
      </c>
      <c r="G76">
        <f>(PhiMayCanMang(G73*2,$C$15/100,$D$15/100) + PhiMangCan(G73*2,$C$15/100,$D$15/100,$D$21))*(1+$D$17)</f>
        <v>417251.994075</v>
      </c>
      <c r="H76">
        <f>(PhiMayCanMang(H73*2,$C$15/100,$D$15/100) + PhiMangCan(H73*2,$C$15/100,$D$15/100,$D$21))*(1+$D$17)</f>
        <v>539117.72914999991</v>
      </c>
      <c r="I76">
        <f>(PhiMayCanMang(I73*2,$C$15/100,$D$15/100) + PhiMangCan(I73*2,$C$15/100,$D$15/100,$D$21))*(1+$D$17)</f>
        <v>660983.43219999992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358575</v>
      </c>
      <c r="F78" s="26">
        <f t="shared" ref="F78:I78" si="51">PhiLamRuotCuonMP_Tay(F$24, F73/F$24)*(1+$D$17)</f>
        <v>699825</v>
      </c>
      <c r="G78" s="26">
        <f t="shared" si="51"/>
        <v>1041075</v>
      </c>
      <c r="H78" s="26">
        <f t="shared" si="51"/>
        <v>1382325</v>
      </c>
      <c r="I78" s="26">
        <f t="shared" si="51"/>
        <v>1723575</v>
      </c>
    </row>
    <row r="79" spans="1:9" x14ac:dyDescent="0.25">
      <c r="C79" t="s">
        <v>329</v>
      </c>
      <c r="E79" s="42">
        <f>LamChanHangNgan(E74+E75+E77+E78)</f>
        <v>1447000</v>
      </c>
      <c r="F79" s="42">
        <f t="shared" ref="F79" si="52">LamChanHangNgan(F74+F75+F77+F78)</f>
        <v>2601000</v>
      </c>
      <c r="G79" s="42">
        <f t="shared" ref="G79" si="53">LamChanHangNgan(G74+G75+G77+G78)</f>
        <v>3756000</v>
      </c>
      <c r="H79" s="42">
        <f t="shared" ref="H79" si="54">LamChanHangNgan(H74+H75+H77+H78)</f>
        <v>4911000</v>
      </c>
      <c r="I79" s="42">
        <f t="shared" ref="I79" si="55">LamChanHangNgan(I74+I75+I77+I78)</f>
        <v>6065000</v>
      </c>
    </row>
    <row r="80" spans="1:9" x14ac:dyDescent="0.25">
      <c r="C80" t="s">
        <v>330</v>
      </c>
      <c r="E80" s="42">
        <f>LamChanHangNgan(E74+E75+E76+E77+E78)</f>
        <v>1620000</v>
      </c>
      <c r="F80" s="42">
        <f t="shared" ref="F80:I80" si="56">LamChanHangNgan(F74+F75+F76+F77+F78)</f>
        <v>2897000</v>
      </c>
      <c r="G80" s="42">
        <f t="shared" si="56"/>
        <v>4173000</v>
      </c>
      <c r="H80" s="42">
        <f t="shared" si="56"/>
        <v>5450000</v>
      </c>
      <c r="I80" s="42">
        <f t="shared" si="56"/>
        <v>6726000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191231.25</v>
      </c>
      <c r="F26" s="7">
        <f>PhiInKM4M_BHR70(F$25*$E$16)*(1+$D$17)</f>
        <v>215337.5</v>
      </c>
      <c r="G26" s="7">
        <f>PhiInKM4M_BHR70(G$25*$E$16)*(1+$D$17)</f>
        <v>239443.75</v>
      </c>
      <c r="H26" s="7">
        <f>PhiInKM4M_BHR70(H$25*$E$16)*(1+$D$17)</f>
        <v>263550</v>
      </c>
      <c r="I26" s="7">
        <f>PhiInKM4M_BHR70(I$25*$E$16)*(1+$D$17)</f>
        <v>287656.25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62048.123375000003</v>
      </c>
      <c r="F28" s="7">
        <f>(PhiMayCanMang(F$25*2,$C$15/100,$D$15/100) + PhiMangCan(F$25*2,$C$15/100,$D$15/100,$D$21))*(1+$D$17)</f>
        <v>72441.393850000008</v>
      </c>
      <c r="G28" s="7">
        <f>(PhiMayCanMang(G$25*2,$C$15/100,$D$15/100) + PhiMangCan(G$25*2,$C$15/100,$D$15/100,$D$21))*(1+$D$17)</f>
        <v>82427.017924999993</v>
      </c>
      <c r="H28" s="7">
        <f>(PhiMayCanMang(H$25*2,$C$15/100,$D$15/100) + PhiMangCan(H$25*2,$C$15/100,$D$15/100,$D$21))*(1+$D$17)</f>
        <v>92820.287349999999</v>
      </c>
      <c r="I28" s="7">
        <f>(PhiMayCanMang(I$25*2,$C$15/100,$D$15/100) + PhiMangCan(I$25*2,$C$15/100,$D$15/100,$D$21))*(1+$D$17)</f>
        <v>102805.911775</v>
      </c>
    </row>
    <row r="29" spans="1:9" x14ac:dyDescent="0.25">
      <c r="C29" t="s">
        <v>351</v>
      </c>
      <c r="E29" s="7">
        <f>SUM(E26:E28)</f>
        <v>264269.37337500002</v>
      </c>
      <c r="F29" s="7">
        <f t="shared" ref="F29:I29" si="2">SUM(F26:F28)</f>
        <v>309758.89384999999</v>
      </c>
      <c r="G29" s="7">
        <f t="shared" si="2"/>
        <v>354840.76792499999</v>
      </c>
      <c r="H29" s="7">
        <f t="shared" si="2"/>
        <v>400330.28735</v>
      </c>
      <c r="I29" s="7">
        <f t="shared" si="2"/>
        <v>445412.16177499999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254065.97230000002</v>
      </c>
      <c r="F31" s="7">
        <f t="shared" ref="F31:I31" si="4">(PhiLamBiaCungMayY(F24)+F30)*(1+$D$17)</f>
        <v>301048.61114999995</v>
      </c>
      <c r="G31" s="7">
        <f t="shared" si="4"/>
        <v>348031.25</v>
      </c>
      <c r="H31" s="7">
        <f t="shared" si="4"/>
        <v>395013.88885000005</v>
      </c>
      <c r="I31" s="7">
        <f t="shared" si="4"/>
        <v>441996.52770000004</v>
      </c>
    </row>
    <row r="32" spans="1:9" x14ac:dyDescent="0.25">
      <c r="C32" t="s">
        <v>352</v>
      </c>
      <c r="E32" s="43">
        <f>E29+E31</f>
        <v>518335.34567500005</v>
      </c>
      <c r="F32" s="43">
        <f t="shared" ref="F32:I32" si="5">F29+F31</f>
        <v>610807.50499999989</v>
      </c>
      <c r="G32" s="43">
        <f t="shared" si="5"/>
        <v>702872.01792500005</v>
      </c>
      <c r="H32" s="43">
        <f t="shared" si="5"/>
        <v>795344.1762000001</v>
      </c>
      <c r="I32" s="43">
        <f t="shared" si="5"/>
        <v>887408.68947500002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541000</v>
      </c>
      <c r="F34" s="25">
        <f>LamChanHangNgan(F32+F33)</f>
        <v>633000</v>
      </c>
      <c r="G34" s="25">
        <f>LamChanHangNgan(G32+G33)</f>
        <v>725000</v>
      </c>
      <c r="H34" s="25">
        <f>LamChanHangNgan(H32+H33)</f>
        <v>818000</v>
      </c>
      <c r="I34" s="25">
        <f>LamChanHangNgan(I32+I33)</f>
        <v>910000</v>
      </c>
    </row>
    <row r="36" spans="3:9" x14ac:dyDescent="0.25">
      <c r="D36" t="s">
        <v>356</v>
      </c>
      <c r="E36" s="7">
        <f>LamChanHangNgan(E34/E24)</f>
        <v>54000</v>
      </c>
      <c r="F36" s="7">
        <f>LamChanHangNgan(F34/F24)</f>
        <v>31000</v>
      </c>
      <c r="G36" s="7">
        <f>LamChanHangNgan(G34/G24)</f>
        <v>24000</v>
      </c>
      <c r="H36" s="7">
        <f>LamChanHangNgan(H34/H24)</f>
        <v>20000</v>
      </c>
      <c r="I36" s="7">
        <f>LamChanHangNgan(I34/I24)</f>
        <v>18000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27</vt:i4>
      </vt:variant>
      <vt:variant>
        <vt:lpstr>Phạm vi Có tên</vt:lpstr>
      </vt:variant>
      <vt:variant>
        <vt:i4>8</vt:i4>
      </vt:variant>
    </vt:vector>
  </HeadingPairs>
  <TitlesOfParts>
    <vt:vector size="35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W-Menu-BCung-Zen-20x28-Ruot</vt:lpstr>
      <vt:lpstr>W-Menu-BiaCungVit-Bia</vt:lpstr>
      <vt:lpstr>Menu-BiaCungVit-Bia</vt:lpstr>
      <vt:lpstr>Menu-BatVit-Zen-TheoNhuCau</vt:lpstr>
      <vt:lpstr>Menu-BatVit-LamBiaCung-TheoNhuC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2019-09-30T08:23:53Z</dcterms:modified>
</cp:coreProperties>
</file>