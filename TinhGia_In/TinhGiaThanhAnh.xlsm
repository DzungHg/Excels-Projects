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Sô_la_mviê_cNa_y"/>
  <xr:revisionPtr revIDLastSave="0" documentId="13_ncr:1_{320ACE8C-D1F1-4984-89D3-18B4E1597AB8}" xr6:coauthVersionLast="43" xr6:coauthVersionMax="43" xr10:uidLastSave="{00000000-0000-0000-0000-000000000000}"/>
  <bookViews>
    <workbookView xWindow="-120" yWindow="-120" windowWidth="29040" windowHeight="15990" firstSheet="6" activeTab="11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Sheet1" sheetId="11" r:id="rId11"/>
    <sheet name="BaiCMYK" sheetId="14" r:id="rId12"/>
    <sheet name="Base-MayIn" sheetId="10" r:id="rId13"/>
    <sheet name="NguyenVatLieu" sheetId="13" r:id="rId14"/>
    <sheet name="Base-Margin" sheetId="15" r:id="rId15"/>
  </sheets>
  <functionGroups builtInGroupCount="19"/>
  <definedNames>
    <definedName name="atools_list_filter_1" localSheetId="11" hidden="1">BaiCMYK!$E$8:$F$9</definedName>
    <definedName name="atools_list_filter_1_colinvisibles_ext" localSheetId="11" hidden="1">""</definedName>
    <definedName name="atools_list_filter_1_colsrcidxs_ext" localSheetId="11" hidden="1">"1;3"</definedName>
    <definedName name="atools_list_filter_1_colwidths_ext" localSheetId="11" hidden="1">""</definedName>
    <definedName name="atools_list_filter_1_onrangeaddr" localSheetId="11" hidden="1">"$E$8:$F$9"</definedName>
    <definedName name="atools_list_filter_1_pos_ext" localSheetId="11" hidden="1">""</definedName>
    <definedName name="atools_list_filter_1_proper" localSheetId="11" hidden="1">"1|1|0|0|0|||0|0||0|,||1||1||0|18|0|2.0|1|1|1|0"</definedName>
    <definedName name="atools_list_filter_1_source" localSheetId="11" hidden="1">GIA_KHUON_EP_KIM</definedName>
    <definedName name="atools_list_filter_1_sourceaddr" localSheetId="11" hidden="1">"GIA_KHUON_EP_KIM"</definedName>
    <definedName name="atools_list_filter_8" localSheetId="11" hidden="1">BaiCMYK!$E$12:$F$12</definedName>
    <definedName name="atools_list_filter_8_colinvisibles_ext" localSheetId="11" hidden="1">";;"</definedName>
    <definedName name="atools_list_filter_8_colsrcidxs_ext" localSheetId="11" hidden="1">"1;3"</definedName>
    <definedName name="atools_list_filter_8_colwidths_ext" localSheetId="11" hidden="1">"103;96;93"</definedName>
    <definedName name="atools_list_filter_8_onrangeaddr" localSheetId="11" hidden="1">"=BaiCMYK!$E$12:$F$12"</definedName>
    <definedName name="atools_list_filter_8_pos_ext" localSheetId="11" hidden="1">"0;1;2"</definedName>
    <definedName name="atools_list_filter_8_proper" localSheetId="11" hidden="1">"1|1|0|0|0|||329|309||0|,||1||0||0|18|185|2.0|1|1|1|0"</definedName>
    <definedName name="atools_list_filter_8_source" localSheetId="11" hidden="1">GIA_NHU_EP_KIM</definedName>
    <definedName name="atools_list_filter_8_sourceaddr" localSheetId="11" hidden="1">"=GIA_NHU_EP_KIM"</definedName>
    <definedName name="GIA_KHUON_EP_KIM">NguyenVatLieu!$F$2:$H$4</definedName>
    <definedName name="GIA_MANG">NguyenVatLieu!$A$2:$C$4</definedName>
    <definedName name="GIA_NHU_EP_KIM">NguyenVatLieu!$K$2:$M$5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2" i="14" l="1"/>
  <c r="D17" i="14"/>
  <c r="M3" i="13"/>
  <c r="C15" i="14" l="1"/>
  <c r="C23" i="14"/>
  <c r="B2" i="11" a="1"/>
  <c r="D23" i="14"/>
  <c r="D19" i="14"/>
  <c r="C2" i="11" l="1"/>
  <c r="B3" i="11"/>
  <c r="F3" i="11"/>
  <c r="E4" i="11"/>
  <c r="D5" i="11"/>
  <c r="E2" i="11"/>
  <c r="D3" i="11"/>
  <c r="C4" i="11"/>
  <c r="B5" i="11"/>
  <c r="F5" i="11"/>
  <c r="B2" i="11"/>
  <c r="F2" i="11"/>
  <c r="E3" i="11"/>
  <c r="D4" i="11"/>
  <c r="C5" i="11"/>
  <c r="D2" i="11"/>
  <c r="C3" i="11"/>
  <c r="B4" i="11"/>
  <c r="F4" i="11"/>
  <c r="E5" i="11"/>
  <c r="D20" i="14"/>
  <c r="D12" i="14"/>
  <c r="H12" i="14" s="1"/>
  <c r="D21" i="14" s="1"/>
  <c r="D24" i="14" s="1"/>
  <c r="D26" i="14" s="1"/>
  <c r="D27" i="14" s="1"/>
  <c r="H9" i="14"/>
  <c r="D9" i="14"/>
  <c r="E3" i="14"/>
  <c r="D8" i="14"/>
  <c r="D7" i="14"/>
  <c r="M4" i="13"/>
  <c r="D22" i="6" l="1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8" i="6"/>
  <c r="B21" i="6"/>
  <c r="B11" i="6"/>
  <c r="B8" i="6"/>
  <c r="B17" i="6"/>
  <c r="B19" i="6"/>
  <c r="B10" i="6"/>
  <c r="B16" i="6"/>
  <c r="B15" i="6"/>
  <c r="B9" i="6"/>
  <c r="B6" i="6"/>
  <c r="B14" i="6"/>
  <c r="B20" i="6"/>
  <c r="B13" i="6"/>
  <c r="B7" i="6"/>
  <c r="B22" i="6"/>
  <c r="B12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B6" i="4"/>
  <c r="E22" i="12"/>
  <c r="E6" i="12"/>
  <c r="E21" i="12"/>
  <c r="E36" i="12"/>
  <c r="E20" i="12"/>
  <c r="E35" i="12"/>
  <c r="E19" i="12"/>
  <c r="E34" i="12"/>
  <c r="E18" i="12"/>
  <c r="E33" i="12"/>
  <c r="E17" i="12"/>
  <c r="E32" i="12"/>
  <c r="E16" i="12"/>
  <c r="E31" i="12"/>
  <c r="E15" i="12"/>
  <c r="E5" i="12"/>
  <c r="E30" i="12"/>
  <c r="E14" i="12"/>
  <c r="E29" i="12"/>
  <c r="E13" i="12"/>
  <c r="E28" i="12"/>
  <c r="E12" i="12"/>
  <c r="E27" i="12"/>
  <c r="E11" i="12"/>
  <c r="E26" i="12"/>
  <c r="E10" i="12"/>
  <c r="E25" i="12"/>
  <c r="E9" i="12"/>
  <c r="E24" i="12"/>
  <c r="E8" i="12"/>
  <c r="E23" i="12"/>
  <c r="E7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17" i="5"/>
  <c r="B12" i="9"/>
  <c r="B13" i="7"/>
  <c r="B21" i="4"/>
  <c r="B19" i="8"/>
  <c r="B5" i="9"/>
  <c r="B23" i="8"/>
  <c r="B6" i="3"/>
  <c r="B21" i="8"/>
  <c r="B16" i="4"/>
  <c r="B6" i="8"/>
  <c r="B17" i="7"/>
  <c r="B22" i="8"/>
  <c r="B23" i="5"/>
  <c r="B6" i="7"/>
  <c r="B16" i="8"/>
  <c r="B14" i="8"/>
  <c r="B15" i="8"/>
  <c r="B24" i="5"/>
  <c r="B13" i="9"/>
  <c r="B36" i="8"/>
  <c r="B34" i="8"/>
  <c r="B20" i="9"/>
  <c r="B18" i="9"/>
  <c r="B33" i="8"/>
  <c r="B26" i="8"/>
  <c r="B8" i="5"/>
  <c r="B11" i="8"/>
  <c r="B7" i="7"/>
  <c r="B5" i="8"/>
  <c r="B14" i="9"/>
  <c r="B22" i="7"/>
  <c r="B23" i="4"/>
  <c r="B10" i="9"/>
  <c r="B16" i="7"/>
  <c r="B21" i="5"/>
  <c r="B11" i="9"/>
  <c r="B31" i="8"/>
  <c r="B8" i="9"/>
  <c r="B11" i="7"/>
  <c r="B14" i="5"/>
  <c r="B12" i="4"/>
  <c r="B11" i="4"/>
  <c r="B24" i="4"/>
  <c r="B20" i="7"/>
  <c r="B10" i="5"/>
  <c r="B10" i="8"/>
  <c r="B21" i="7"/>
  <c r="B18" i="5"/>
  <c r="B6" i="9"/>
  <c r="B10" i="7"/>
  <c r="B18" i="8"/>
  <c r="B17" i="9"/>
  <c r="B7" i="9"/>
  <c r="B13" i="8"/>
  <c r="B9" i="5"/>
  <c r="B10" i="4"/>
  <c r="B13" i="4"/>
  <c r="B8" i="7"/>
  <c r="B24" i="8"/>
  <c r="B9" i="4"/>
  <c r="B7" i="4"/>
  <c r="B6" i="5"/>
  <c r="B12" i="8"/>
  <c r="B20" i="8"/>
  <c r="B22" i="4"/>
  <c r="B20" i="5"/>
  <c r="B7" i="8"/>
  <c r="B8" i="4"/>
  <c r="B14" i="7"/>
  <c r="B35" i="8"/>
  <c r="B28" i="8"/>
  <c r="B17" i="4"/>
  <c r="B19" i="5"/>
  <c r="B14" i="4"/>
  <c r="B16" i="9"/>
  <c r="B11" i="5"/>
  <c r="B19" i="7"/>
  <c r="B25" i="4"/>
  <c r="B15" i="5"/>
  <c r="B9" i="9"/>
  <c r="B17" i="8"/>
  <c r="B32" i="8"/>
  <c r="B25" i="8"/>
  <c r="B7" i="5"/>
  <c r="B18" i="4"/>
  <c r="B18" i="7"/>
  <c r="B8" i="8"/>
  <c r="B9" i="7"/>
  <c r="B29" i="8"/>
  <c r="B19" i="9"/>
  <c r="B13" i="5"/>
  <c r="B16" i="5"/>
  <c r="B9" i="8"/>
  <c r="B30" i="8"/>
  <c r="B15" i="4"/>
  <c r="B12" i="5"/>
  <c r="B20" i="4"/>
  <c r="B15" i="9"/>
  <c r="B22" i="5"/>
  <c r="B27" i="8"/>
  <c r="B12" i="7"/>
  <c r="B19" i="4"/>
  <c r="B15" i="7"/>
  <c r="B25" i="5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E12" i="8"/>
  <c r="I12" i="8" s="1"/>
  <c r="E13" i="8"/>
  <c r="F13" i="8" s="1"/>
  <c r="G13" i="8" s="1"/>
  <c r="E15" i="8"/>
  <c r="I15" i="8" s="1"/>
  <c r="E6" i="8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I26" i="8"/>
  <c r="F10" i="8"/>
  <c r="G10" i="8" s="1"/>
  <c r="I10" i="8"/>
  <c r="I25" i="8"/>
  <c r="I18" i="8"/>
  <c r="I32" i="8"/>
  <c r="I23" i="8"/>
  <c r="F23" i="8"/>
  <c r="G23" i="8" s="1"/>
  <c r="I7" i="8"/>
  <c r="F6" i="8"/>
  <c r="G6" i="8" s="1"/>
  <c r="I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9" i="8" l="1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51" i="2"/>
  <c r="B56" i="2"/>
  <c r="B7" i="1"/>
  <c r="B14" i="3"/>
  <c r="B17" i="1"/>
  <c r="B12" i="2"/>
  <c r="B65" i="2"/>
  <c r="B26" i="2"/>
  <c r="B62" i="2"/>
  <c r="B30" i="2"/>
  <c r="B25" i="1"/>
  <c r="B14" i="2"/>
  <c r="B20" i="1"/>
  <c r="B63" i="2"/>
  <c r="B26" i="1"/>
  <c r="B68" i="2"/>
  <c r="B16" i="1"/>
  <c r="B21" i="3"/>
  <c r="B10" i="3"/>
  <c r="B28" i="1"/>
  <c r="B15" i="1"/>
  <c r="B24" i="2"/>
  <c r="B20" i="2"/>
  <c r="B9" i="3"/>
  <c r="B48" i="2"/>
  <c r="B42" i="2"/>
  <c r="B50" i="2"/>
  <c r="B5" i="1"/>
  <c r="B18" i="3"/>
  <c r="B12" i="1"/>
  <c r="B9" i="1"/>
  <c r="B8" i="1"/>
  <c r="B7" i="2"/>
  <c r="B72" i="2"/>
  <c r="B5" i="2"/>
  <c r="B45" i="2"/>
  <c r="B57" i="2"/>
  <c r="B36" i="2"/>
  <c r="B66" i="2"/>
  <c r="B47" i="2"/>
  <c r="B23" i="1"/>
  <c r="B46" i="2"/>
  <c r="B29" i="1"/>
  <c r="B32" i="1"/>
  <c r="B29" i="2"/>
  <c r="B27" i="1"/>
  <c r="B36" i="1"/>
  <c r="B11" i="3"/>
  <c r="B18" i="2"/>
  <c r="B17" i="2"/>
  <c r="B49" i="2"/>
  <c r="B22" i="2"/>
  <c r="B7" i="3"/>
  <c r="B11" i="2"/>
  <c r="B16" i="2"/>
  <c r="B19" i="2"/>
  <c r="B13" i="2"/>
  <c r="B55" i="2"/>
  <c r="B23" i="2"/>
  <c r="B67" i="2"/>
  <c r="B13" i="3"/>
  <c r="B14" i="1"/>
  <c r="B21" i="1"/>
  <c r="B8" i="2"/>
  <c r="B34" i="2"/>
  <c r="B8" i="3"/>
  <c r="B6" i="2"/>
  <c r="B28" i="2"/>
  <c r="B71" i="2"/>
  <c r="B54" i="2"/>
  <c r="B12" i="3"/>
  <c r="B59" i="2"/>
  <c r="B33" i="2"/>
  <c r="B10" i="2"/>
  <c r="B10" i="1"/>
  <c r="B60" i="2"/>
  <c r="B23" i="3"/>
  <c r="B22" i="1"/>
  <c r="B41" i="2"/>
  <c r="B34" i="1"/>
  <c r="B6" i="1"/>
  <c r="B64" i="2"/>
  <c r="B53" i="2"/>
  <c r="B43" i="2"/>
  <c r="B11" i="1"/>
  <c r="B69" i="2"/>
  <c r="B70" i="2"/>
  <c r="B44" i="2"/>
  <c r="B25" i="3"/>
  <c r="B15" i="2"/>
  <c r="B18" i="1"/>
  <c r="B15" i="3"/>
  <c r="B16" i="3"/>
  <c r="B35" i="1"/>
  <c r="B31" i="2"/>
  <c r="B9" i="2"/>
  <c r="B32" i="2"/>
  <c r="B24" i="3"/>
  <c r="B35" i="2"/>
  <c r="B21" i="2"/>
  <c r="B19" i="1"/>
  <c r="B58" i="2"/>
  <c r="B27" i="2"/>
  <c r="B30" i="1"/>
  <c r="B20" i="3"/>
  <c r="B61" i="2"/>
  <c r="B17" i="3"/>
  <c r="B13" i="1"/>
  <c r="B19" i="3"/>
  <c r="B24" i="1"/>
  <c r="B52" i="2"/>
  <c r="B33" i="1"/>
  <c r="B31" i="1"/>
  <c r="B25" i="2"/>
  <c r="B22" i="3"/>
  <c r="E41" i="2" l="1"/>
  <c r="E42" i="2"/>
  <c r="E59" i="2"/>
  <c r="E5" i="1"/>
  <c r="E6" i="1"/>
  <c r="E7" i="1"/>
  <c r="E8" i="1"/>
  <c r="E9" i="2"/>
  <c r="E25" i="2"/>
  <c r="E18" i="2"/>
  <c r="E15" i="2"/>
  <c r="E31" i="2"/>
  <c r="E8" i="2"/>
  <c r="E24" i="2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E6" i="2"/>
  <c r="E22" i="2"/>
  <c r="E29" i="2"/>
  <c r="E19" i="2"/>
  <c r="E35" i="2"/>
  <c r="E12" i="2"/>
  <c r="E28" i="2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E10" i="2"/>
  <c r="E26" i="2"/>
  <c r="E7" i="2"/>
  <c r="E23" i="2"/>
  <c r="E5" i="2"/>
  <c r="E16" i="2"/>
  <c r="E32" i="2"/>
  <c r="E57" i="2"/>
  <c r="E58" i="2"/>
  <c r="E43" i="2"/>
  <c r="E44" i="2"/>
  <c r="E60" i="2"/>
  <c r="E21" i="1"/>
  <c r="E22" i="1"/>
  <c r="E23" i="1"/>
  <c r="E24" i="1"/>
  <c r="E34" i="2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E14" i="2"/>
  <c r="E30" i="2"/>
  <c r="E11" i="2"/>
  <c r="E27" i="2"/>
  <c r="E33" i="2"/>
  <c r="E20" i="2"/>
  <c r="E36" i="2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25" i="3" l="1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I16" i="2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sharedStrings.xml><?xml version="1.0" encoding="utf-8"?>
<sst xmlns="http://schemas.openxmlformats.org/spreadsheetml/2006/main" count="421" uniqueCount="211">
  <si>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</si>
  <si>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</si>
  <si>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</si>
  <si>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</si>
  <si>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</si>
  <si>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</si>
  <si>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</si>
  <si>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</si>
  <si>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</si>
  <si>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</si>
  <si>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</si>
  <si>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</si>
  <si>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</si>
  <si>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</si>
  <si>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</si>
  <si>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</si>
  <si>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</si>
  <si>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</si>
  <si>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</si>
  <si>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</si>
  <si>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</si>
  <si>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</si>
  <si>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</si>
  <si>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</si>
  <si>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</si>
  <si>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</si>
  <si>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</si>
  <si>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</si>
  <si>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</si>
  <si>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</si>
  <si>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</si>
  <si>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</si>
  <si>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</si>
  <si>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</si>
  <si>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</si>
  <si>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</si>
  <si>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</si>
  <si>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</si>
  <si>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</si>
  <si>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</si>
  <si>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</si>
  <si>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</si>
  <si>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</si>
  <si>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</si>
  <si>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</si>
  <si>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</si>
  <si>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</si>
  <si>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</si>
  <si>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</si>
  <si>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</si>
  <si>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</si>
  <si>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</si>
  <si>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</si>
  <si>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</si>
  <si>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</si>
  <si>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</si>
  <si>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</si>
  <si>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</si>
  <si>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</si>
  <si>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</si>
  <si>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</si>
  <si>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</si>
  <si>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</si>
  <si>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</si>
  <si>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</si>
  <si>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</si>
  <si>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</si>
  <si>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</si>
  <si>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</si>
  <si>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</si>
  <si>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</si>
  <si>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</si>
  <si>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</si>
  <si>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</si>
  <si>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</si>
  <si>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</si>
  <si>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</si>
  <si>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</si>
  <si>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</si>
  <si>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</si>
  <si>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</si>
  <si>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</si>
  <si>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</si>
  <si>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</si>
  <si>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</si>
  <si>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</si>
  <si>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</si>
  <si>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</si>
  <si>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</si>
  <si>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</si>
  <si>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</si>
  <si>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</si>
  <si>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</si>
  <si>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</si>
  <si>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</si>
  <si>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</si>
  <si>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</si>
  <si>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</si>
  <si>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</si>
  <si>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</si>
  <si>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</si>
  <si>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</si>
  <si>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</si>
  <si>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</si>
  <si>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</si>
  <si>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</si>
  <si>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</si>
  <si>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</si>
  <si>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</si>
  <si>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</si>
  <si>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</si>
  <si>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</si>
  <si>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</si>
  <si>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</si>
  <si>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</si>
  <si>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</si>
  <si>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</si>
  <si>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</si>
  <si>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</si>
  <si>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</si>
  <si>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</si>
  <si>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</si>
  <si>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</si>
  <si>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</si>
  <si>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</si>
  <si>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</si>
  <si>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</si>
  <si>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</si>
  <si>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</si>
  <si>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</si>
  <si>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</si>
  <si>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</si>
  <si>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</si>
  <si>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</si>
  <si>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</si>
  <si>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</si>
  <si>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</si>
  <si>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</si>
  <si>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</si>
  <si>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</si>
  <si>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</si>
  <si>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</si>
  <si>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</si>
  <si>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</si>
  <si>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</si>
  <si>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</si>
  <si>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</si>
  <si>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</si>
  <si>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</si>
  <si>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</si>
  <si>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</si>
  <si>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</si>
  <si>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</si>
  <si>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</si>
  <si>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</si>
  <si>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</si>
  <si>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</si>
  <si>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</si>
  <si>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</si>
  <si>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</si>
  <si>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</si>
  <si>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</si>
  <si>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</si>
  <si>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</si>
  <si>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</si>
  <si>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</si>
  <si>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</si>
  <si>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</si>
  <si>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</si>
  <si>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</si>
  <si>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</si>
  <si>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</si>
  <si>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</si>
  <si>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</si>
  <si>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</si>
  <si>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</si>
  <si>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</si>
  <si>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</si>
  <si>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</si>
  <si>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</si>
  <si>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</si>
  <si>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>số nhãn đặt 1 đợt</t>
  </si>
  <si>
    <t>Số tờ chạy cần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</si>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</sst>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</cellXfs>
  <cellStyles count="4">
    <cellStyle name="Bình thường" xfId="0" builtinId="0"/>
    <cellStyle name="Dấu phẩy" xfId="3" builtinId="3"/>
    <cellStyle name="Phần trăm" xfId="2" builtinId="5"/>
    <cellStyle name="Tiền tệ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82583.333299999998</v>
      </c>
      <c r="D6" s="4">
        <v>0.9</v>
      </c>
      <c r="E6" s="7">
        <f>B6*(1+D6)</f>
        <v>156908.33327</v>
      </c>
      <c r="F6" s="7">
        <f>E6-B6</f>
        <v>74324.999970000004</v>
      </c>
      <c r="G6" s="4">
        <f>F6/E6</f>
        <v>0.47368421052631582</v>
      </c>
      <c r="I6" s="7">
        <f t="shared" ref="I6:I25" si="0">E6/A6</f>
        <v>156908.33327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86666.666700000002</v>
      </c>
      <c r="D7" s="4">
        <v>0.9</v>
      </c>
      <c r="E7" s="7">
        <f t="shared" ref="E7:E25" si="2">B7*(1+D7)</f>
        <v>164666.66673</v>
      </c>
      <c r="F7" s="7">
        <f t="shared" ref="F7:F25" si="3">E7-B7</f>
        <v>78000.000029999996</v>
      </c>
      <c r="G7" s="4">
        <f t="shared" ref="G7:G25" si="4">F7/E7</f>
        <v>0.47368421052631576</v>
      </c>
      <c r="I7" s="7">
        <f t="shared" si="0"/>
        <v>3293.3333345999999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90833.333299999998</v>
      </c>
      <c r="D8" s="4">
        <v>0.9</v>
      </c>
      <c r="E8" s="7">
        <f t="shared" si="2"/>
        <v>172583.33327</v>
      </c>
      <c r="F8" s="7">
        <f t="shared" si="3"/>
        <v>81749.999970000004</v>
      </c>
      <c r="G8" s="4">
        <f t="shared" si="4"/>
        <v>0.47368421052631582</v>
      </c>
      <c r="I8" s="7">
        <f t="shared" si="0"/>
        <v>1725.8333327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95000</v>
      </c>
      <c r="D9" s="4">
        <v>0.9</v>
      </c>
      <c r="E9" s="7">
        <f t="shared" si="2"/>
        <v>180500</v>
      </c>
      <c r="F9" s="7">
        <f t="shared" si="3"/>
        <v>85500</v>
      </c>
      <c r="G9" s="4">
        <f t="shared" si="4"/>
        <v>0.47368421052631576</v>
      </c>
      <c r="I9" s="7">
        <f t="shared" si="0"/>
        <v>1203.3333333333333</v>
      </c>
      <c r="J9" s="7"/>
    </row>
    <row r="10" spans="1:29" x14ac:dyDescent="0.25">
      <c r="A10">
        <v>200</v>
      </c>
      <c r="B10" s="6">
        <f t="shared" si="1"/>
        <v>99166.666700000002</v>
      </c>
      <c r="D10" s="4">
        <v>0.9</v>
      </c>
      <c r="E10" s="7">
        <f t="shared" si="2"/>
        <v>188416.66673</v>
      </c>
      <c r="F10" s="7">
        <f t="shared" si="3"/>
        <v>89250.000029999996</v>
      </c>
      <c r="G10" s="4">
        <f t="shared" si="4"/>
        <v>0.47368421052631576</v>
      </c>
      <c r="I10" s="7">
        <f t="shared" si="0"/>
        <v>942.08333364999999</v>
      </c>
      <c r="J10" s="7"/>
    </row>
    <row r="11" spans="1:29" x14ac:dyDescent="0.25">
      <c r="A11">
        <v>250</v>
      </c>
      <c r="B11" s="6">
        <f t="shared" si="1"/>
        <v>103333.3333</v>
      </c>
      <c r="D11" s="4">
        <v>0.9</v>
      </c>
      <c r="E11" s="7">
        <f t="shared" si="2"/>
        <v>196333.33326999997</v>
      </c>
      <c r="F11" s="7">
        <f t="shared" si="3"/>
        <v>92999.999969999975</v>
      </c>
      <c r="G11" s="4">
        <f t="shared" si="4"/>
        <v>0.47368421052631571</v>
      </c>
      <c r="I11" s="7">
        <f t="shared" si="0"/>
        <v>785.33333307999987</v>
      </c>
      <c r="J11" s="7"/>
    </row>
    <row r="12" spans="1:29" x14ac:dyDescent="0.25">
      <c r="A12">
        <v>300</v>
      </c>
      <c r="B12" s="6">
        <f t="shared" si="1"/>
        <v>107500</v>
      </c>
      <c r="D12" s="4">
        <v>0.9</v>
      </c>
      <c r="E12" s="7">
        <f t="shared" si="2"/>
        <v>204250</v>
      </c>
      <c r="F12" s="7">
        <f t="shared" si="3"/>
        <v>96750</v>
      </c>
      <c r="G12" s="4">
        <f t="shared" si="4"/>
        <v>0.47368421052631576</v>
      </c>
      <c r="I12" s="7">
        <f t="shared" si="0"/>
        <v>680.83333333333337</v>
      </c>
      <c r="J12" s="7"/>
    </row>
    <row r="13" spans="1:29" x14ac:dyDescent="0.25">
      <c r="A13">
        <v>350</v>
      </c>
      <c r="B13" s="6">
        <f t="shared" si="1"/>
        <v>111666.6667</v>
      </c>
      <c r="D13" s="4">
        <v>0.9</v>
      </c>
      <c r="E13" s="7">
        <f t="shared" si="2"/>
        <v>212166.66673</v>
      </c>
      <c r="F13" s="7">
        <f t="shared" si="3"/>
        <v>100500.00003</v>
      </c>
      <c r="G13" s="4">
        <f t="shared" si="4"/>
        <v>0.47368421052631576</v>
      </c>
      <c r="I13" s="7">
        <f t="shared" si="0"/>
        <v>606.19047637142853</v>
      </c>
      <c r="J13" s="7"/>
    </row>
    <row r="14" spans="1:29" x14ac:dyDescent="0.25">
      <c r="A14">
        <v>400</v>
      </c>
      <c r="B14" s="6">
        <f t="shared" si="1"/>
        <v>115833.3333</v>
      </c>
      <c r="D14" s="4">
        <v>0.9</v>
      </c>
      <c r="E14" s="7">
        <f t="shared" si="2"/>
        <v>220083.33326999997</v>
      </c>
      <c r="F14" s="7">
        <f t="shared" si="3"/>
        <v>104249.99996999998</v>
      </c>
      <c r="G14" s="4">
        <f t="shared" si="4"/>
        <v>0.47368421052631571</v>
      </c>
      <c r="I14" s="7">
        <f t="shared" si="0"/>
        <v>550.20833317499989</v>
      </c>
      <c r="J14" s="7"/>
    </row>
    <row r="15" spans="1:29" x14ac:dyDescent="0.25">
      <c r="A15">
        <v>450</v>
      </c>
      <c r="B15" s="6">
        <f t="shared" si="1"/>
        <v>120000</v>
      </c>
      <c r="D15" s="4">
        <v>0.9</v>
      </c>
      <c r="E15" s="7">
        <f t="shared" si="2"/>
        <v>228000</v>
      </c>
      <c r="F15" s="7">
        <f t="shared" si="3"/>
        <v>108000</v>
      </c>
      <c r="G15" s="4">
        <f t="shared" si="4"/>
        <v>0.47368421052631576</v>
      </c>
      <c r="I15" s="7">
        <f t="shared" si="0"/>
        <v>506.66666666666669</v>
      </c>
      <c r="J15" s="7"/>
    </row>
    <row r="16" spans="1:29" x14ac:dyDescent="0.25">
      <c r="A16">
        <v>500</v>
      </c>
      <c r="B16" s="6">
        <f t="shared" si="1"/>
        <v>124166.6667</v>
      </c>
      <c r="D16" s="4">
        <v>0.9</v>
      </c>
      <c r="E16" s="7">
        <f t="shared" si="2"/>
        <v>235916.66673</v>
      </c>
      <c r="F16" s="7">
        <f t="shared" si="3"/>
        <v>111750.00003</v>
      </c>
      <c r="G16" s="4">
        <f t="shared" si="4"/>
        <v>0.47368421052631576</v>
      </c>
      <c r="I16" s="7">
        <f t="shared" si="0"/>
        <v>471.83333346000001</v>
      </c>
      <c r="J16" s="7"/>
    </row>
    <row r="17" spans="1:10" x14ac:dyDescent="0.25">
      <c r="A17">
        <v>600</v>
      </c>
      <c r="B17" s="6">
        <f t="shared" si="1"/>
        <v>132500</v>
      </c>
      <c r="D17" s="4">
        <v>0.9</v>
      </c>
      <c r="E17" s="7">
        <f t="shared" si="2"/>
        <v>251750</v>
      </c>
      <c r="F17" s="7">
        <f t="shared" si="3"/>
        <v>119250</v>
      </c>
      <c r="G17" s="4">
        <f t="shared" si="4"/>
        <v>0.47368421052631576</v>
      </c>
      <c r="I17" s="7">
        <f t="shared" si="0"/>
        <v>419.58333333333331</v>
      </c>
      <c r="J17" s="7"/>
    </row>
    <row r="18" spans="1:10" x14ac:dyDescent="0.25">
      <c r="A18">
        <v>700</v>
      </c>
      <c r="B18" s="6">
        <f t="shared" si="1"/>
        <v>140833.3333</v>
      </c>
      <c r="D18" s="4">
        <v>0.9</v>
      </c>
      <c r="E18" s="7">
        <f t="shared" si="2"/>
        <v>267583.33327</v>
      </c>
      <c r="F18" s="7">
        <f t="shared" si="3"/>
        <v>126749.99997</v>
      </c>
      <c r="G18" s="4">
        <f t="shared" si="4"/>
        <v>0.47368421052631582</v>
      </c>
      <c r="I18" s="7">
        <f t="shared" si="0"/>
        <v>382.26190467142857</v>
      </c>
      <c r="J18" s="7"/>
    </row>
    <row r="19" spans="1:10" x14ac:dyDescent="0.25">
      <c r="A19">
        <v>800</v>
      </c>
      <c r="B19" s="6">
        <f t="shared" si="1"/>
        <v>149166.6667</v>
      </c>
      <c r="D19" s="4">
        <v>0.9</v>
      </c>
      <c r="E19" s="7">
        <f t="shared" si="2"/>
        <v>283416.66673</v>
      </c>
      <c r="F19" s="7">
        <f t="shared" si="3"/>
        <v>134250.00003</v>
      </c>
      <c r="G19" s="4">
        <f t="shared" si="4"/>
        <v>0.47368421052631576</v>
      </c>
      <c r="I19" s="7">
        <f t="shared" si="0"/>
        <v>354.2708334125</v>
      </c>
      <c r="J19" s="7"/>
    </row>
    <row r="20" spans="1:10" x14ac:dyDescent="0.25">
      <c r="A20">
        <v>900</v>
      </c>
      <c r="B20" s="6">
        <f t="shared" si="1"/>
        <v>157500</v>
      </c>
      <c r="D20" s="4">
        <v>0.9</v>
      </c>
      <c r="E20" s="7">
        <f t="shared" si="2"/>
        <v>299250</v>
      </c>
      <c r="F20" s="7">
        <f t="shared" si="3"/>
        <v>141750</v>
      </c>
      <c r="G20" s="4">
        <f t="shared" si="4"/>
        <v>0.47368421052631576</v>
      </c>
      <c r="I20" s="7">
        <f t="shared" si="0"/>
        <v>332.5</v>
      </c>
      <c r="J20" s="7"/>
    </row>
    <row r="21" spans="1:10" x14ac:dyDescent="0.25">
      <c r="A21">
        <v>1000</v>
      </c>
      <c r="B21" s="6">
        <f t="shared" si="1"/>
        <v>165833.3333</v>
      </c>
      <c r="D21" s="4">
        <v>0.9</v>
      </c>
      <c r="E21" s="7">
        <f t="shared" si="2"/>
        <v>315083.33327</v>
      </c>
      <c r="F21" s="7">
        <f t="shared" si="3"/>
        <v>149249.99997</v>
      </c>
      <c r="G21" s="4">
        <f t="shared" si="4"/>
        <v>0.47368421052631582</v>
      </c>
      <c r="I21" s="7">
        <f t="shared" si="0"/>
        <v>315.08333327000003</v>
      </c>
      <c r="J21" s="7"/>
    </row>
    <row r="22" spans="1:10" x14ac:dyDescent="0.25">
      <c r="A22">
        <v>1200</v>
      </c>
      <c r="B22" s="6">
        <f t="shared" si="1"/>
        <v>182500</v>
      </c>
      <c r="D22" s="4">
        <v>0.9</v>
      </c>
      <c r="E22" s="7">
        <f t="shared" si="2"/>
        <v>346750</v>
      </c>
      <c r="F22" s="7">
        <f t="shared" si="3"/>
        <v>164250</v>
      </c>
      <c r="G22" s="4">
        <f t="shared" si="4"/>
        <v>0.47368421052631576</v>
      </c>
      <c r="I22" s="7">
        <f t="shared" si="0"/>
        <v>288.95833333333331</v>
      </c>
      <c r="J22" s="7"/>
    </row>
    <row r="23" spans="1:10" x14ac:dyDescent="0.25">
      <c r="A23">
        <v>1400</v>
      </c>
      <c r="B23" s="6">
        <f t="shared" si="1"/>
        <v>199166.6667</v>
      </c>
      <c r="D23" s="4">
        <v>0.9</v>
      </c>
      <c r="E23" s="7">
        <f t="shared" si="2"/>
        <v>378416.66673</v>
      </c>
      <c r="F23" s="7">
        <f t="shared" si="3"/>
        <v>179250.00003</v>
      </c>
      <c r="G23" s="4">
        <f t="shared" si="4"/>
        <v>0.47368421052631576</v>
      </c>
      <c r="I23" s="7">
        <f t="shared" si="0"/>
        <v>270.29761909285713</v>
      </c>
      <c r="J23" s="7"/>
    </row>
    <row r="24" spans="1:10" x14ac:dyDescent="0.25">
      <c r="A24">
        <v>1500</v>
      </c>
      <c r="B24" s="6">
        <f t="shared" si="1"/>
        <v>207500</v>
      </c>
      <c r="D24" s="4">
        <v>0.9</v>
      </c>
      <c r="E24" s="7">
        <f t="shared" si="2"/>
        <v>394250</v>
      </c>
      <c r="F24" s="7">
        <f t="shared" si="3"/>
        <v>186750</v>
      </c>
      <c r="G24" s="4">
        <f t="shared" si="4"/>
        <v>0.47368421052631576</v>
      </c>
      <c r="I24" s="7">
        <f t="shared" si="0"/>
        <v>262.83333333333331</v>
      </c>
      <c r="J24" s="7"/>
    </row>
    <row r="25" spans="1:10" x14ac:dyDescent="0.25">
      <c r="A25">
        <v>2000</v>
      </c>
      <c r="B25" s="6">
        <f t="shared" si="1"/>
        <v>249166.6667</v>
      </c>
      <c r="D25" s="4">
        <v>0.9</v>
      </c>
      <c r="E25" s="7">
        <f t="shared" si="2"/>
        <v>473416.66673</v>
      </c>
      <c r="F25" s="7">
        <f t="shared" si="3"/>
        <v>224250.00003</v>
      </c>
      <c r="G25" s="4">
        <f t="shared" si="4"/>
        <v>0.47368421052631576</v>
      </c>
      <c r="I25" s="7">
        <f t="shared" si="0"/>
        <v>236.70833336499999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8" sqref="B8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PhiMayMayCanMang(A6,0.32,0.25)</f>
        <v>91429.333400000003</v>
      </c>
      <c r="D6" s="4">
        <v>0.4</v>
      </c>
      <c r="E6" s="7">
        <f>B6*(1+D6)</f>
        <v>128001.06676</v>
      </c>
      <c r="F6" s="7">
        <f>E6-B6</f>
        <v>36571.733359999998</v>
      </c>
      <c r="G6" s="4">
        <f>F6/E6</f>
        <v>0.2857142857142857</v>
      </c>
      <c r="I6" s="7">
        <f t="shared" ref="I6:I25" si="0">E6/A6</f>
        <v>128001.06676</v>
      </c>
      <c r="AA6" t="s">
        <v>81</v>
      </c>
      <c r="AB6" s="5">
        <v>100000</v>
      </c>
    </row>
    <row r="7" spans="1:29" x14ac:dyDescent="0.25">
      <c r="A7">
        <v>50</v>
      </c>
      <c r="B7" s="6">
        <f t="shared" ref="B7:B25" si="1">PhiMayMayCanMang(A7,0.32,0.25)</f>
        <v>99239.215800000005</v>
      </c>
      <c r="D7" s="4">
        <v>0.5</v>
      </c>
      <c r="E7" s="7">
        <f t="shared" ref="E7:E25" si="2">B7*(1+D7)</f>
        <v>148858.82370000001</v>
      </c>
      <c r="F7" s="7">
        <f t="shared" ref="F7:F25" si="3">E7-B7</f>
        <v>49619.607900000003</v>
      </c>
      <c r="G7" s="4">
        <f t="shared" ref="G7:G25" si="4">F7/E7</f>
        <v>0.33333333333333331</v>
      </c>
      <c r="I7" s="7">
        <f t="shared" si="0"/>
        <v>2977.1764740000003</v>
      </c>
      <c r="J7" s="7">
        <f>(E7-$E$6)</f>
        <v>20857.756940000007</v>
      </c>
      <c r="K7" s="7">
        <f>J7/A7</f>
        <v>417.15513880000015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>
        <f t="shared" si="1"/>
        <v>107403.9216</v>
      </c>
      <c r="D8" s="4">
        <v>0.5</v>
      </c>
      <c r="E8" s="7">
        <f t="shared" si="2"/>
        <v>161105.8824</v>
      </c>
      <c r="F8" s="7">
        <f t="shared" si="3"/>
        <v>53701.960800000001</v>
      </c>
      <c r="G8" s="4">
        <f t="shared" si="4"/>
        <v>0.33333333333333331</v>
      </c>
      <c r="I8" s="7">
        <f t="shared" si="0"/>
        <v>1611.058824</v>
      </c>
      <c r="J8" s="7">
        <f t="shared" ref="J8:J25" si="5">(E8-$E$6)</f>
        <v>33104.815640000001</v>
      </c>
      <c r="K8" s="7">
        <f t="shared" ref="K8:K25" si="6">J8/A8</f>
        <v>331.04815639999998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>
        <f t="shared" si="1"/>
        <v>115568.6275</v>
      </c>
      <c r="D9" s="4">
        <v>0.5</v>
      </c>
      <c r="E9" s="7">
        <f t="shared" si="2"/>
        <v>173352.94125</v>
      </c>
      <c r="F9" s="7">
        <f t="shared" si="3"/>
        <v>57784.313750000001</v>
      </c>
      <c r="G9" s="4">
        <f t="shared" si="4"/>
        <v>0.33333333333333331</v>
      </c>
      <c r="I9" s="7">
        <f t="shared" si="0"/>
        <v>1155.686275</v>
      </c>
      <c r="J9" s="7">
        <f t="shared" si="5"/>
        <v>45351.874490000002</v>
      </c>
      <c r="K9" s="7">
        <f t="shared" si="6"/>
        <v>302.34582993333333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>
        <f t="shared" si="1"/>
        <v>123474.5099</v>
      </c>
      <c r="D10" s="4">
        <v>0.5</v>
      </c>
      <c r="E10" s="7">
        <f t="shared" si="2"/>
        <v>185211.76485000001</v>
      </c>
      <c r="F10" s="7">
        <f t="shared" si="3"/>
        <v>61737.254950000002</v>
      </c>
      <c r="G10" s="4">
        <f t="shared" si="4"/>
        <v>0.33333333333333331</v>
      </c>
      <c r="I10" s="7">
        <f t="shared" si="0"/>
        <v>926.05882425000004</v>
      </c>
      <c r="J10" s="7">
        <f t="shared" si="5"/>
        <v>57210.698090000005</v>
      </c>
      <c r="K10" s="7">
        <f t="shared" si="6"/>
        <v>286.05349045000003</v>
      </c>
      <c r="S10" s="5"/>
    </row>
    <row r="11" spans="1:29" x14ac:dyDescent="0.25">
      <c r="A11">
        <v>250</v>
      </c>
      <c r="B11" s="6">
        <f t="shared" si="1"/>
        <v>131380.3922</v>
      </c>
      <c r="D11" s="4">
        <v>0.5</v>
      </c>
      <c r="E11" s="7">
        <f t="shared" si="2"/>
        <v>197070.5883</v>
      </c>
      <c r="F11" s="7">
        <f t="shared" si="3"/>
        <v>65690.196100000001</v>
      </c>
      <c r="G11" s="4">
        <f t="shared" si="4"/>
        <v>0.33333333333333331</v>
      </c>
      <c r="I11" s="7">
        <f t="shared" si="0"/>
        <v>788.28235319999999</v>
      </c>
      <c r="J11" s="7">
        <f t="shared" si="5"/>
        <v>69069.521540000002</v>
      </c>
      <c r="K11" s="7">
        <f t="shared" si="6"/>
        <v>276.27808615999999</v>
      </c>
    </row>
    <row r="12" spans="1:29" x14ac:dyDescent="0.25">
      <c r="A12">
        <v>300</v>
      </c>
      <c r="B12" s="6">
        <f t="shared" si="1"/>
        <v>139545.0981</v>
      </c>
      <c r="D12" s="4">
        <v>0.5</v>
      </c>
      <c r="E12" s="7">
        <f t="shared" si="2"/>
        <v>209317.64715</v>
      </c>
      <c r="F12" s="7">
        <f t="shared" si="3"/>
        <v>69772.549050000001</v>
      </c>
      <c r="G12" s="4">
        <f t="shared" si="4"/>
        <v>0.33333333333333331</v>
      </c>
      <c r="I12" s="7">
        <f t="shared" si="0"/>
        <v>697.72549049999998</v>
      </c>
      <c r="J12" s="7">
        <f t="shared" si="5"/>
        <v>81316.580390000003</v>
      </c>
      <c r="K12" s="7">
        <f t="shared" si="6"/>
        <v>271.05526796666669</v>
      </c>
    </row>
    <row r="13" spans="1:29" x14ac:dyDescent="0.25">
      <c r="A13">
        <v>350</v>
      </c>
      <c r="B13" s="6">
        <f t="shared" si="1"/>
        <v>147709.804</v>
      </c>
      <c r="D13" s="4">
        <v>0.5</v>
      </c>
      <c r="E13" s="7">
        <f t="shared" si="2"/>
        <v>221564.70600000001</v>
      </c>
      <c r="F13" s="7">
        <f t="shared" si="3"/>
        <v>73854.902000000002</v>
      </c>
      <c r="G13" s="4">
        <f t="shared" si="4"/>
        <v>0.33333333333333331</v>
      </c>
      <c r="I13" s="7">
        <f t="shared" si="0"/>
        <v>633.04201714285716</v>
      </c>
      <c r="J13" s="7">
        <f t="shared" si="5"/>
        <v>93563.639240000004</v>
      </c>
      <c r="K13" s="7">
        <f t="shared" si="6"/>
        <v>267.32468354285714</v>
      </c>
    </row>
    <row r="14" spans="1:29" x14ac:dyDescent="0.25">
      <c r="A14">
        <v>400</v>
      </c>
      <c r="B14" s="6">
        <f t="shared" si="1"/>
        <v>155615.6863</v>
      </c>
      <c r="D14" s="4">
        <v>0.5</v>
      </c>
      <c r="E14" s="7">
        <f t="shared" si="2"/>
        <v>233423.52945</v>
      </c>
      <c r="F14" s="7">
        <f t="shared" si="3"/>
        <v>77807.843150000001</v>
      </c>
      <c r="G14" s="4">
        <f t="shared" si="4"/>
        <v>0.33333333333333331</v>
      </c>
      <c r="I14" s="7">
        <f t="shared" si="0"/>
        <v>583.55882362500006</v>
      </c>
      <c r="J14" s="7">
        <f t="shared" si="5"/>
        <v>105422.46269</v>
      </c>
      <c r="K14" s="7">
        <f t="shared" si="6"/>
        <v>263.55615672499999</v>
      </c>
    </row>
    <row r="15" spans="1:29" x14ac:dyDescent="0.25">
      <c r="A15">
        <v>450</v>
      </c>
      <c r="B15" s="6">
        <f t="shared" si="1"/>
        <v>163521.5687</v>
      </c>
      <c r="D15" s="4">
        <v>0.5</v>
      </c>
      <c r="E15" s="7">
        <f t="shared" si="2"/>
        <v>245282.35305000001</v>
      </c>
      <c r="F15" s="7">
        <f t="shared" si="3"/>
        <v>81760.784350000002</v>
      </c>
      <c r="G15" s="4">
        <f t="shared" si="4"/>
        <v>0.33333333333333331</v>
      </c>
      <c r="I15" s="7">
        <f t="shared" si="0"/>
        <v>545.07189566666671</v>
      </c>
      <c r="J15" s="7">
        <f t="shared" si="5"/>
        <v>117281.28629</v>
      </c>
      <c r="K15" s="7">
        <f t="shared" si="6"/>
        <v>260.62508064444444</v>
      </c>
    </row>
    <row r="16" spans="1:29" x14ac:dyDescent="0.25">
      <c r="A16">
        <v>500</v>
      </c>
      <c r="B16" s="6">
        <f t="shared" si="1"/>
        <v>171686.2746</v>
      </c>
      <c r="D16" s="4">
        <v>0.5</v>
      </c>
      <c r="E16" s="7">
        <f t="shared" si="2"/>
        <v>257529.41190000001</v>
      </c>
      <c r="F16" s="7">
        <f t="shared" si="3"/>
        <v>85843.137300000002</v>
      </c>
      <c r="G16" s="4">
        <f t="shared" si="4"/>
        <v>0.33333333333333331</v>
      </c>
      <c r="I16" s="7">
        <f t="shared" si="0"/>
        <v>515.05882380000003</v>
      </c>
      <c r="J16" s="7">
        <f t="shared" si="5"/>
        <v>129528.34514</v>
      </c>
      <c r="K16" s="7">
        <f t="shared" si="6"/>
        <v>259.05669028</v>
      </c>
    </row>
    <row r="17" spans="1:11" x14ac:dyDescent="0.25">
      <c r="A17">
        <v>600</v>
      </c>
      <c r="B17" s="6">
        <f t="shared" si="1"/>
        <v>187756.8628</v>
      </c>
      <c r="D17" s="4">
        <v>0.5</v>
      </c>
      <c r="E17" s="7">
        <f t="shared" si="2"/>
        <v>281635.2942</v>
      </c>
      <c r="F17" s="7">
        <f t="shared" si="3"/>
        <v>93878.431400000001</v>
      </c>
      <c r="G17" s="4">
        <f t="shared" si="4"/>
        <v>0.33333333333333331</v>
      </c>
      <c r="I17" s="7">
        <f t="shared" si="0"/>
        <v>469.392157</v>
      </c>
      <c r="J17" s="7">
        <f t="shared" si="5"/>
        <v>153634.22743999999</v>
      </c>
      <c r="K17" s="7">
        <f t="shared" si="6"/>
        <v>256.05704573333333</v>
      </c>
    </row>
    <row r="18" spans="1:11" x14ac:dyDescent="0.25">
      <c r="A18">
        <v>700</v>
      </c>
      <c r="B18" s="6">
        <f t="shared" si="1"/>
        <v>203827.451</v>
      </c>
      <c r="D18" s="4">
        <v>0.5</v>
      </c>
      <c r="E18" s="7">
        <f t="shared" si="2"/>
        <v>305741.1765</v>
      </c>
      <c r="F18" s="7">
        <f t="shared" si="3"/>
        <v>101913.7255</v>
      </c>
      <c r="G18" s="4">
        <f t="shared" si="4"/>
        <v>0.33333333333333331</v>
      </c>
      <c r="I18" s="7">
        <f t="shared" si="0"/>
        <v>436.77310928571427</v>
      </c>
      <c r="J18" s="7">
        <f t="shared" si="5"/>
        <v>177740.10973999999</v>
      </c>
      <c r="K18" s="7">
        <f t="shared" si="6"/>
        <v>253.91444248571426</v>
      </c>
    </row>
    <row r="19" spans="1:11" x14ac:dyDescent="0.25">
      <c r="A19">
        <v>800</v>
      </c>
      <c r="B19" s="6">
        <f t="shared" si="1"/>
        <v>219898.0393</v>
      </c>
      <c r="D19" s="4">
        <v>0.5</v>
      </c>
      <c r="E19" s="7">
        <f t="shared" si="2"/>
        <v>329847.05894999998</v>
      </c>
      <c r="F19" s="7">
        <f t="shared" si="3"/>
        <v>109949.01964999997</v>
      </c>
      <c r="G19" s="4">
        <f t="shared" si="4"/>
        <v>0.33333333333333326</v>
      </c>
      <c r="I19" s="7">
        <f t="shared" si="0"/>
        <v>412.30882368749997</v>
      </c>
      <c r="J19" s="7">
        <f t="shared" si="5"/>
        <v>201845.99218999996</v>
      </c>
      <c r="K19" s="7">
        <f t="shared" si="6"/>
        <v>252.30749023749996</v>
      </c>
    </row>
    <row r="20" spans="1:11" x14ac:dyDescent="0.25">
      <c r="A20">
        <v>900</v>
      </c>
      <c r="B20" s="6">
        <f t="shared" si="1"/>
        <v>235968.6275</v>
      </c>
      <c r="D20" s="4">
        <v>0.5</v>
      </c>
      <c r="E20" s="7">
        <f t="shared" si="2"/>
        <v>353952.94125000003</v>
      </c>
      <c r="F20" s="7">
        <f t="shared" si="3"/>
        <v>117984.31375000003</v>
      </c>
      <c r="G20" s="4">
        <f t="shared" si="4"/>
        <v>0.33333333333333337</v>
      </c>
      <c r="I20" s="7">
        <f t="shared" si="0"/>
        <v>393.28104583333339</v>
      </c>
      <c r="J20" s="7">
        <f t="shared" si="5"/>
        <v>225951.87449000002</v>
      </c>
      <c r="K20" s="7">
        <f t="shared" si="6"/>
        <v>251.05763832222223</v>
      </c>
    </row>
    <row r="21" spans="1:11" x14ac:dyDescent="0.25">
      <c r="A21">
        <v>1000</v>
      </c>
      <c r="B21" s="6">
        <f t="shared" si="1"/>
        <v>252039.21580000001</v>
      </c>
      <c r="D21" s="4">
        <v>0.5</v>
      </c>
      <c r="E21" s="7">
        <f t="shared" si="2"/>
        <v>378058.82370000001</v>
      </c>
      <c r="F21" s="7">
        <f t="shared" si="3"/>
        <v>126019.6079</v>
      </c>
      <c r="G21" s="4">
        <f t="shared" si="4"/>
        <v>0.33333333333333331</v>
      </c>
      <c r="I21" s="7">
        <f t="shared" si="0"/>
        <v>378.0588237</v>
      </c>
      <c r="J21" s="7">
        <f t="shared" si="5"/>
        <v>250057.75693999999</v>
      </c>
      <c r="K21" s="7">
        <f t="shared" si="6"/>
        <v>250.05775693999999</v>
      </c>
    </row>
    <row r="22" spans="1:11" x14ac:dyDescent="0.25">
      <c r="A22">
        <v>1200</v>
      </c>
      <c r="B22" s="6">
        <f t="shared" si="1"/>
        <v>284180.3922</v>
      </c>
      <c r="D22" s="4">
        <v>0.5</v>
      </c>
      <c r="E22" s="7">
        <f t="shared" si="2"/>
        <v>426270.5883</v>
      </c>
      <c r="F22" s="7">
        <f t="shared" si="3"/>
        <v>142090.1961</v>
      </c>
      <c r="G22" s="4">
        <f t="shared" si="4"/>
        <v>0.33333333333333331</v>
      </c>
      <c r="I22" s="7">
        <f t="shared" si="0"/>
        <v>355.22549025000001</v>
      </c>
      <c r="J22" s="7">
        <f t="shared" si="5"/>
        <v>298269.52153999999</v>
      </c>
      <c r="K22" s="7">
        <f t="shared" si="6"/>
        <v>248.55793461666664</v>
      </c>
    </row>
    <row r="23" spans="1:11" x14ac:dyDescent="0.25">
      <c r="A23">
        <v>1400</v>
      </c>
      <c r="B23" s="6">
        <f t="shared" si="1"/>
        <v>316321.5687</v>
      </c>
      <c r="D23" s="4">
        <v>0.5</v>
      </c>
      <c r="E23" s="7">
        <f t="shared" si="2"/>
        <v>474482.35305000003</v>
      </c>
      <c r="F23" s="7">
        <f t="shared" si="3"/>
        <v>158160.78435000003</v>
      </c>
      <c r="G23" s="4">
        <f t="shared" si="4"/>
        <v>0.33333333333333337</v>
      </c>
      <c r="I23" s="7">
        <f t="shared" si="0"/>
        <v>338.91596646428576</v>
      </c>
      <c r="J23" s="7">
        <f t="shared" si="5"/>
        <v>346481.28629000002</v>
      </c>
      <c r="K23" s="7">
        <f t="shared" si="6"/>
        <v>247.48663306428574</v>
      </c>
    </row>
    <row r="24" spans="1:11" x14ac:dyDescent="0.25">
      <c r="A24">
        <v>1500</v>
      </c>
      <c r="B24" s="6">
        <f t="shared" si="1"/>
        <v>332392.1569</v>
      </c>
      <c r="D24" s="4">
        <v>0.5</v>
      </c>
      <c r="E24" s="7">
        <f t="shared" si="2"/>
        <v>498588.23534999997</v>
      </c>
      <c r="F24" s="7">
        <f t="shared" si="3"/>
        <v>166196.07844999997</v>
      </c>
      <c r="G24" s="4">
        <f t="shared" si="4"/>
        <v>0.33333333333333331</v>
      </c>
      <c r="I24" s="7">
        <f t="shared" si="0"/>
        <v>332.39215689999997</v>
      </c>
      <c r="J24" s="7">
        <f t="shared" si="5"/>
        <v>370587.16858999996</v>
      </c>
      <c r="K24" s="7">
        <f t="shared" si="6"/>
        <v>247.05811239333332</v>
      </c>
    </row>
    <row r="25" spans="1:11" x14ac:dyDescent="0.25">
      <c r="A25">
        <v>2000</v>
      </c>
      <c r="B25" s="6">
        <f t="shared" si="1"/>
        <v>412745.0981</v>
      </c>
      <c r="D25" s="4">
        <v>0.5</v>
      </c>
      <c r="E25" s="7">
        <f t="shared" si="2"/>
        <v>619117.64714999998</v>
      </c>
      <c r="F25" s="7">
        <f t="shared" si="3"/>
        <v>206372.54904999997</v>
      </c>
      <c r="G25" s="4">
        <f t="shared" si="4"/>
        <v>0.33333333333333331</v>
      </c>
      <c r="I25" s="7">
        <f t="shared" si="0"/>
        <v>309.55882357499996</v>
      </c>
      <c r="J25" s="7">
        <f t="shared" si="5"/>
        <v>491116.58038999996</v>
      </c>
      <c r="K25" s="7">
        <f t="shared" si="6"/>
        <v>245.55829019499998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B7" s="5"/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64087.333299999998</v>
      </c>
      <c r="D5" s="4">
        <v>0.4</v>
      </c>
      <c r="E5" s="7">
        <f>B5*(1+D5)</f>
        <v>89722.266619999995</v>
      </c>
      <c r="F5" s="7">
        <f>E5-B5</f>
        <v>25634.933319999996</v>
      </c>
      <c r="G5" s="4">
        <f>F5/E5</f>
        <v>0.2857142857142857</v>
      </c>
      <c r="I5" s="7">
        <f>E5/A5</f>
        <v>89722.266619999995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22" si="1">B6*(1+D6)</f>
        <v>151549.99995</v>
      </c>
      <c r="F6" s="7">
        <f t="shared" ref="F6:F22" si="2">E6-B6</f>
        <v>50516.666649999999</v>
      </c>
      <c r="G6" s="4">
        <f t="shared" ref="G6:G22" si="3">F6/E6</f>
        <v>0.33333333333333331</v>
      </c>
      <c r="I6" s="7">
        <f t="shared" ref="I6:I22" si="4">E6/A6</f>
        <v>3030.9999990000001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</row>
    <row r="9" spans="1:29" x14ac:dyDescent="0.25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</row>
    <row r="10" spans="1:29" x14ac:dyDescent="0.25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</row>
    <row r="11" spans="1:29" x14ac:dyDescent="0.25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</row>
    <row r="12" spans="1:29" x14ac:dyDescent="0.25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</row>
    <row r="13" spans="1:29" x14ac:dyDescent="0.25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</row>
    <row r="14" spans="1:29" x14ac:dyDescent="0.25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</row>
    <row r="15" spans="1:29" x14ac:dyDescent="0.25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</row>
    <row r="16" spans="1:29" x14ac:dyDescent="0.25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</row>
    <row r="17" spans="1:9" x14ac:dyDescent="0.25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</row>
    <row r="18" spans="1:9" x14ac:dyDescent="0.25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</row>
    <row r="19" spans="1:9" x14ac:dyDescent="0.25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</row>
    <row r="20" spans="1:9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9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9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</row>
    <row r="23" spans="1:9" x14ac:dyDescent="0.25">
      <c r="A23">
        <v>1500</v>
      </c>
      <c r="B23" s="6">
        <f t="shared" si="0"/>
        <v>1194333.3333000001</v>
      </c>
      <c r="D23" s="4">
        <v>0.4</v>
      </c>
      <c r="E23" s="7">
        <f t="shared" ref="E23:E36" si="5">B23*(1+D23)</f>
        <v>1672066.66662</v>
      </c>
      <c r="F23" s="7">
        <f t="shared" ref="F23:F36" si="6">E23-B23</f>
        <v>477733.33331999998</v>
      </c>
      <c r="G23" s="4">
        <f t="shared" ref="G23:G36" si="7">F23/E23</f>
        <v>0.2857142857142857</v>
      </c>
      <c r="I23" s="7">
        <f t="shared" ref="I23:I36" si="8">E23/A23</f>
        <v>1114.7111110799999</v>
      </c>
    </row>
    <row r="24" spans="1:9" x14ac:dyDescent="0.25">
      <c r="A24">
        <v>2000</v>
      </c>
      <c r="B24" s="6">
        <f t="shared" si="0"/>
        <v>1571333.3333000001</v>
      </c>
      <c r="D24" s="4">
        <v>0.4</v>
      </c>
      <c r="E24" s="7">
        <f t="shared" si="5"/>
        <v>2199866.6666199998</v>
      </c>
      <c r="F24" s="7">
        <f t="shared" si="6"/>
        <v>628533.33331999974</v>
      </c>
      <c r="G24" s="4">
        <f t="shared" si="7"/>
        <v>0.28571428571428564</v>
      </c>
      <c r="I24" s="7">
        <f t="shared" si="8"/>
        <v>1099.9333333099999</v>
      </c>
    </row>
    <row r="25" spans="1:9" x14ac:dyDescent="0.25">
      <c r="A25">
        <v>2500</v>
      </c>
      <c r="B25" s="6">
        <f t="shared" si="0"/>
        <v>1948333.3333000001</v>
      </c>
      <c r="D25" s="4">
        <v>0.4</v>
      </c>
      <c r="E25" s="7">
        <f t="shared" si="5"/>
        <v>2727666.6666199998</v>
      </c>
      <c r="F25" s="7">
        <f t="shared" si="6"/>
        <v>779333.33331999974</v>
      </c>
      <c r="G25" s="4">
        <f t="shared" si="7"/>
        <v>0.28571428571428564</v>
      </c>
      <c r="I25" s="7">
        <f t="shared" si="8"/>
        <v>1091.0666666479999</v>
      </c>
    </row>
    <row r="26" spans="1:9" x14ac:dyDescent="0.25">
      <c r="A26">
        <v>3000</v>
      </c>
      <c r="B26" s="6">
        <f t="shared" si="0"/>
        <v>2325333.3333000001</v>
      </c>
      <c r="D26" s="4">
        <v>0.4</v>
      </c>
      <c r="E26" s="7">
        <f t="shared" si="5"/>
        <v>3255466.6666199998</v>
      </c>
      <c r="F26" s="7">
        <f t="shared" si="6"/>
        <v>930133.33331999974</v>
      </c>
      <c r="G26" s="4">
        <f t="shared" si="7"/>
        <v>0.28571428571428564</v>
      </c>
      <c r="I26" s="7">
        <f t="shared" si="8"/>
        <v>1085.15555554</v>
      </c>
    </row>
    <row r="27" spans="1:9" x14ac:dyDescent="0.25">
      <c r="A27">
        <v>3500</v>
      </c>
      <c r="B27" s="6">
        <f t="shared" si="0"/>
        <v>2702333.3333000001</v>
      </c>
      <c r="D27" s="4">
        <v>0.4</v>
      </c>
      <c r="E27" s="7">
        <f t="shared" si="5"/>
        <v>3783266.6666199998</v>
      </c>
      <c r="F27" s="7">
        <f t="shared" si="6"/>
        <v>1080933.3333199997</v>
      </c>
      <c r="G27" s="4">
        <f t="shared" si="7"/>
        <v>0.28571428571428564</v>
      </c>
      <c r="I27" s="7">
        <f t="shared" si="8"/>
        <v>1080.93333332</v>
      </c>
    </row>
    <row r="28" spans="1:9" x14ac:dyDescent="0.25">
      <c r="A28">
        <v>4000</v>
      </c>
      <c r="B28" s="6">
        <f t="shared" si="0"/>
        <v>3079333.3333000001</v>
      </c>
      <c r="D28" s="4">
        <v>0.4</v>
      </c>
      <c r="E28" s="7">
        <f t="shared" si="5"/>
        <v>4311066.6666200003</v>
      </c>
      <c r="F28" s="7">
        <f t="shared" si="6"/>
        <v>1231733.3333200002</v>
      </c>
      <c r="G28" s="4">
        <f t="shared" si="7"/>
        <v>0.28571428571428575</v>
      </c>
      <c r="I28" s="7">
        <f t="shared" si="8"/>
        <v>1077.7666666550001</v>
      </c>
    </row>
    <row r="29" spans="1:9" x14ac:dyDescent="0.25">
      <c r="A29">
        <v>5000</v>
      </c>
      <c r="B29" s="6">
        <f t="shared" si="0"/>
        <v>3833333.3333000001</v>
      </c>
      <c r="D29" s="4">
        <v>0.4</v>
      </c>
      <c r="E29" s="7">
        <f t="shared" si="5"/>
        <v>5366666.6666199993</v>
      </c>
      <c r="F29" s="7">
        <f t="shared" si="6"/>
        <v>1533333.3333199993</v>
      </c>
      <c r="G29" s="4">
        <f t="shared" si="7"/>
        <v>0.28571428571428559</v>
      </c>
      <c r="I29" s="7">
        <f t="shared" si="8"/>
        <v>1073.3333333239998</v>
      </c>
    </row>
    <row r="30" spans="1:9" x14ac:dyDescent="0.25">
      <c r="A30">
        <v>6000</v>
      </c>
      <c r="B30" s="6">
        <f t="shared" si="0"/>
        <v>4587333.3333000001</v>
      </c>
      <c r="D30" s="4">
        <v>0.4</v>
      </c>
      <c r="E30" s="7">
        <f t="shared" si="5"/>
        <v>6422266.6666199993</v>
      </c>
      <c r="F30" s="7">
        <f t="shared" si="6"/>
        <v>1834933.3333199993</v>
      </c>
      <c r="G30" s="4">
        <f t="shared" si="7"/>
        <v>0.28571428571428564</v>
      </c>
      <c r="I30" s="7">
        <f t="shared" si="8"/>
        <v>1070.37777777</v>
      </c>
    </row>
    <row r="31" spans="1:9" x14ac:dyDescent="0.25">
      <c r="A31">
        <v>7000</v>
      </c>
      <c r="B31" s="6">
        <f t="shared" si="0"/>
        <v>5341333.3333000001</v>
      </c>
      <c r="D31" s="4">
        <v>0.4</v>
      </c>
      <c r="E31" s="7">
        <f t="shared" si="5"/>
        <v>7477866.6666199993</v>
      </c>
      <c r="F31" s="7">
        <f t="shared" si="6"/>
        <v>2136533.3333199993</v>
      </c>
      <c r="G31" s="4">
        <f t="shared" si="7"/>
        <v>0.28571428571428564</v>
      </c>
      <c r="I31" s="7">
        <f t="shared" si="8"/>
        <v>1068.2666666599998</v>
      </c>
    </row>
    <row r="32" spans="1:9" x14ac:dyDescent="0.25">
      <c r="A32">
        <v>8000</v>
      </c>
      <c r="B32" s="6">
        <f t="shared" si="0"/>
        <v>6095333.3333000001</v>
      </c>
      <c r="D32" s="4">
        <v>0.4</v>
      </c>
      <c r="E32" s="7">
        <f t="shared" si="5"/>
        <v>8533466.6666199993</v>
      </c>
      <c r="F32" s="7">
        <f t="shared" si="6"/>
        <v>2438133.3333199993</v>
      </c>
      <c r="G32" s="4">
        <f t="shared" si="7"/>
        <v>0.28571428571428564</v>
      </c>
      <c r="I32" s="7">
        <f t="shared" si="8"/>
        <v>1066.6833333274999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5"/>
        <v>9589066.6666199993</v>
      </c>
      <c r="F33" s="7">
        <f t="shared" si="6"/>
        <v>2739733.3333199993</v>
      </c>
      <c r="G33" s="4">
        <f t="shared" si="7"/>
        <v>0.28571428571428564</v>
      </c>
      <c r="I33" s="7">
        <f t="shared" si="8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5"/>
        <v>10644666.666619999</v>
      </c>
      <c r="F34" s="7">
        <f t="shared" si="6"/>
        <v>3041333.3333199993</v>
      </c>
      <c r="G34" s="4">
        <f t="shared" si="7"/>
        <v>0.28571428571428564</v>
      </c>
      <c r="I34" s="7">
        <f t="shared" si="8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5"/>
        <v>15922666.666619999</v>
      </c>
      <c r="F35" s="7">
        <f t="shared" si="6"/>
        <v>4549333.3333199993</v>
      </c>
      <c r="G35" s="4">
        <f t="shared" si="7"/>
        <v>0.2857142857142857</v>
      </c>
      <c r="I35" s="7">
        <f t="shared" si="8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5"/>
        <v>21200666.666619997</v>
      </c>
      <c r="F36" s="7">
        <f t="shared" si="6"/>
        <v>6057333.3333199974</v>
      </c>
      <c r="G36" s="4">
        <f t="shared" si="7"/>
        <v>0.28571428571428564</v>
      </c>
      <c r="I36" s="7">
        <f t="shared" si="8"/>
        <v>1060.0333333309998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workbookViewId="0">
      <selection activeCell="AE8" sqref="AE8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64087.333299999998</v>
      </c>
      <c r="D5" s="4">
        <v>0.6</v>
      </c>
      <c r="E5" s="7">
        <f>B5*(1+D5)</f>
        <v>102539.73328</v>
      </c>
      <c r="F5" s="7">
        <f>E5-B5</f>
        <v>38452.399980000002</v>
      </c>
      <c r="G5" s="4">
        <f>F5/E5</f>
        <v>0.375</v>
      </c>
      <c r="I5" s="7">
        <f>E5/A5</f>
        <v>102539.73328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101033.3333</v>
      </c>
      <c r="D6" s="4">
        <v>0.5</v>
      </c>
      <c r="E6" s="7">
        <f t="shared" ref="E6:E36" si="1">B6*(1+D6)</f>
        <v>151549.99995</v>
      </c>
      <c r="F6" s="7">
        <f t="shared" ref="F6:F36" si="2">E6-B6</f>
        <v>50516.666649999999</v>
      </c>
      <c r="G6" s="4">
        <f t="shared" ref="G6:G36" si="3">F6/E6</f>
        <v>0.33333333333333331</v>
      </c>
      <c r="I6" s="7">
        <f t="shared" ref="I6:I36" si="4">E6/A6</f>
        <v>3030.9999990000001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138733.3333</v>
      </c>
      <c r="D7" s="4">
        <v>0.5</v>
      </c>
      <c r="E7" s="7">
        <f t="shared" si="1"/>
        <v>208099.99995</v>
      </c>
      <c r="F7" s="7">
        <f t="shared" si="2"/>
        <v>69366.666649999999</v>
      </c>
      <c r="G7" s="4">
        <f t="shared" si="3"/>
        <v>0.33333333333333331</v>
      </c>
      <c r="I7" s="7">
        <f t="shared" si="4"/>
        <v>2080.9999994999998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176433.3333</v>
      </c>
      <c r="D8" s="4">
        <v>0.5</v>
      </c>
      <c r="E8" s="7">
        <f t="shared" si="1"/>
        <v>264649.99994999997</v>
      </c>
      <c r="F8" s="7">
        <f t="shared" si="2"/>
        <v>88216.66664999997</v>
      </c>
      <c r="G8" s="4">
        <f t="shared" si="3"/>
        <v>0.33333333333333326</v>
      </c>
      <c r="I8" s="7">
        <f t="shared" si="4"/>
        <v>1764.3333329999998</v>
      </c>
      <c r="AB8" s="5"/>
    </row>
    <row r="9" spans="1:32" ht="15.75" thickBot="1" x14ac:dyDescent="0.3">
      <c r="A9">
        <v>200</v>
      </c>
      <c r="B9" s="6">
        <f t="shared" si="0"/>
        <v>214133.3333</v>
      </c>
      <c r="D9" s="4">
        <v>0.5</v>
      </c>
      <c r="E9" s="7">
        <f t="shared" si="1"/>
        <v>321199.99994999997</v>
      </c>
      <c r="F9" s="7">
        <f t="shared" si="2"/>
        <v>107066.66664999997</v>
      </c>
      <c r="G9" s="4">
        <f t="shared" si="3"/>
        <v>0.33333333333333326</v>
      </c>
      <c r="I9" s="7">
        <f t="shared" si="4"/>
        <v>1605.9999997499999</v>
      </c>
      <c r="AA9" t="s">
        <v>28</v>
      </c>
    </row>
    <row r="10" spans="1:32" ht="33.75" thickBot="1" x14ac:dyDescent="0.3">
      <c r="A10">
        <v>250</v>
      </c>
      <c r="B10" s="6">
        <f t="shared" si="0"/>
        <v>251833.3333</v>
      </c>
      <c r="D10" s="4">
        <v>0.5</v>
      </c>
      <c r="E10" s="7">
        <f t="shared" si="1"/>
        <v>377749.99994999997</v>
      </c>
      <c r="F10" s="7">
        <f t="shared" si="2"/>
        <v>125916.66664999997</v>
      </c>
      <c r="G10" s="4">
        <f t="shared" si="3"/>
        <v>0.33333333333333326</v>
      </c>
      <c r="I10" s="7">
        <f t="shared" si="4"/>
        <v>1510.9999997999998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289533.3333</v>
      </c>
      <c r="D11" s="4">
        <v>0.5</v>
      </c>
      <c r="E11" s="7">
        <f t="shared" si="1"/>
        <v>434299.99994999997</v>
      </c>
      <c r="F11" s="7">
        <f t="shared" si="2"/>
        <v>144766.66664999997</v>
      </c>
      <c r="G11" s="4">
        <f t="shared" si="3"/>
        <v>0.33333333333333331</v>
      </c>
      <c r="I11" s="7">
        <f t="shared" si="4"/>
        <v>1447.6666664999998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327233.3333</v>
      </c>
      <c r="D12" s="4">
        <v>0.5</v>
      </c>
      <c r="E12" s="7">
        <f t="shared" si="1"/>
        <v>490849.99994999997</v>
      </c>
      <c r="F12" s="7">
        <f t="shared" si="2"/>
        <v>163616.66664999997</v>
      </c>
      <c r="G12" s="4">
        <f t="shared" si="3"/>
        <v>0.33333333333333331</v>
      </c>
      <c r="I12" s="7">
        <f t="shared" si="4"/>
        <v>1402.4285712857143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364933.3333</v>
      </c>
      <c r="D13" s="4">
        <v>0.6</v>
      </c>
      <c r="E13" s="7">
        <f t="shared" si="1"/>
        <v>583893.33328000002</v>
      </c>
      <c r="F13" s="7">
        <f t="shared" si="2"/>
        <v>218959.99998000002</v>
      </c>
      <c r="G13" s="4">
        <f t="shared" si="3"/>
        <v>0.375</v>
      </c>
      <c r="I13" s="7">
        <f t="shared" si="4"/>
        <v>1459.7333332000001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402633.3333</v>
      </c>
      <c r="D14" s="4">
        <v>0.6</v>
      </c>
      <c r="E14" s="7">
        <f t="shared" si="1"/>
        <v>644213.33328000002</v>
      </c>
      <c r="F14" s="7">
        <f t="shared" si="2"/>
        <v>241579.99998000002</v>
      </c>
      <c r="G14" s="4">
        <f t="shared" si="3"/>
        <v>0.375</v>
      </c>
      <c r="I14" s="7">
        <f t="shared" si="4"/>
        <v>1431.5851850666668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440333.3333</v>
      </c>
      <c r="D15" s="4">
        <v>0.6</v>
      </c>
      <c r="E15" s="7">
        <f t="shared" si="1"/>
        <v>704533.33328000002</v>
      </c>
      <c r="F15" s="7">
        <f t="shared" si="2"/>
        <v>264199.99998000002</v>
      </c>
      <c r="G15" s="4">
        <f t="shared" si="3"/>
        <v>0.375</v>
      </c>
      <c r="I15" s="7">
        <f t="shared" si="4"/>
        <v>1409.0666665599999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515733.3333</v>
      </c>
      <c r="D16" s="4">
        <v>0.6</v>
      </c>
      <c r="E16" s="7">
        <f t="shared" si="1"/>
        <v>825173.33328000002</v>
      </c>
      <c r="F16" s="7">
        <f t="shared" si="2"/>
        <v>309439.99998000002</v>
      </c>
      <c r="G16" s="4">
        <f t="shared" si="3"/>
        <v>0.375</v>
      </c>
      <c r="I16" s="7">
        <f t="shared" si="4"/>
        <v>1375.2888888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591133.33330000006</v>
      </c>
      <c r="D17" s="4">
        <v>0.6</v>
      </c>
      <c r="E17" s="7">
        <f t="shared" si="1"/>
        <v>945813.33328000014</v>
      </c>
      <c r="F17" s="7">
        <f t="shared" si="2"/>
        <v>354679.99998000008</v>
      </c>
      <c r="G17" s="4">
        <f t="shared" si="3"/>
        <v>0.37500000000000006</v>
      </c>
      <c r="I17" s="7">
        <f t="shared" si="4"/>
        <v>1351.1619046857145</v>
      </c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666533.33330000006</v>
      </c>
      <c r="D18" s="4">
        <v>0.6</v>
      </c>
      <c r="E18" s="7">
        <f t="shared" si="1"/>
        <v>1066453.3332800001</v>
      </c>
      <c r="F18" s="7">
        <f t="shared" si="2"/>
        <v>399919.99998000008</v>
      </c>
      <c r="G18" s="4">
        <f t="shared" si="3"/>
        <v>0.375</v>
      </c>
      <c r="I18" s="7">
        <f t="shared" si="4"/>
        <v>1333.0666666000002</v>
      </c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741933.33330000006</v>
      </c>
      <c r="D19" s="4">
        <v>0.6</v>
      </c>
      <c r="E19" s="7">
        <f t="shared" si="1"/>
        <v>1187093.3332800001</v>
      </c>
      <c r="F19" s="7">
        <f t="shared" si="2"/>
        <v>445159.99998000008</v>
      </c>
      <c r="G19" s="4">
        <f t="shared" si="3"/>
        <v>0.375</v>
      </c>
      <c r="I19" s="7">
        <f t="shared" si="4"/>
        <v>1318.9925925333334</v>
      </c>
      <c r="AA19" s="12"/>
      <c r="AB19" s="13"/>
      <c r="AC19" s="13"/>
    </row>
    <row r="20" spans="1:32" x14ac:dyDescent="0.25">
      <c r="A20">
        <v>1000</v>
      </c>
      <c r="B20" s="6">
        <f t="shared" si="0"/>
        <v>817333.33330000006</v>
      </c>
      <c r="D20" s="4">
        <v>0.4</v>
      </c>
      <c r="E20" s="7">
        <f t="shared" si="1"/>
        <v>1144266.66662</v>
      </c>
      <c r="F20" s="7">
        <f t="shared" si="2"/>
        <v>326933.33331999998</v>
      </c>
      <c r="G20" s="4">
        <f t="shared" si="3"/>
        <v>0.2857142857142857</v>
      </c>
      <c r="I20" s="7">
        <f t="shared" si="4"/>
        <v>1144.26666662</v>
      </c>
    </row>
    <row r="21" spans="1:32" x14ac:dyDescent="0.25">
      <c r="A21">
        <v>1200</v>
      </c>
      <c r="B21" s="6">
        <f t="shared" si="0"/>
        <v>968133.33330000006</v>
      </c>
      <c r="D21" s="4">
        <v>0.4</v>
      </c>
      <c r="E21" s="7">
        <f t="shared" si="1"/>
        <v>1355386.66662</v>
      </c>
      <c r="F21" s="7">
        <f t="shared" si="2"/>
        <v>387253.33331999998</v>
      </c>
      <c r="G21" s="4">
        <f t="shared" si="3"/>
        <v>0.2857142857142857</v>
      </c>
      <c r="I21" s="7">
        <f t="shared" si="4"/>
        <v>1129.48888885</v>
      </c>
    </row>
    <row r="22" spans="1:32" ht="16.5" x14ac:dyDescent="0.25">
      <c r="A22">
        <v>1400</v>
      </c>
      <c r="B22" s="6">
        <f t="shared" si="0"/>
        <v>1118933.3333000001</v>
      </c>
      <c r="D22" s="4">
        <v>0.4</v>
      </c>
      <c r="E22" s="7">
        <f t="shared" si="1"/>
        <v>1566506.66662</v>
      </c>
      <c r="F22" s="7">
        <f t="shared" si="2"/>
        <v>447573.33331999998</v>
      </c>
      <c r="G22" s="4">
        <f t="shared" si="3"/>
        <v>0.2857142857142857</v>
      </c>
      <c r="I22" s="7">
        <f t="shared" si="4"/>
        <v>1118.9333333</v>
      </c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1194333.3333000001</v>
      </c>
      <c r="D23" s="4">
        <v>0.4</v>
      </c>
      <c r="E23" s="7">
        <f t="shared" si="1"/>
        <v>1672066.66662</v>
      </c>
      <c r="F23" s="7">
        <f t="shared" si="2"/>
        <v>477733.33331999998</v>
      </c>
      <c r="G23" s="4">
        <f t="shared" si="3"/>
        <v>0.2857142857142857</v>
      </c>
      <c r="I23" s="7">
        <f t="shared" si="4"/>
        <v>1114.7111110799999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1571333.3333000001</v>
      </c>
      <c r="D24" s="4">
        <v>0.4</v>
      </c>
      <c r="E24" s="7">
        <f t="shared" si="1"/>
        <v>2199866.6666199998</v>
      </c>
      <c r="F24" s="7">
        <f t="shared" si="2"/>
        <v>628533.33331999974</v>
      </c>
      <c r="G24" s="4">
        <f t="shared" si="3"/>
        <v>0.28571428571428564</v>
      </c>
      <c r="I24" s="7">
        <f t="shared" si="4"/>
        <v>1099.9333333099999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1948333.3333000001</v>
      </c>
      <c r="D25" s="4">
        <v>0.4</v>
      </c>
      <c r="E25" s="7">
        <f t="shared" si="1"/>
        <v>2727666.6666199998</v>
      </c>
      <c r="F25" s="7">
        <f t="shared" si="2"/>
        <v>779333.33331999974</v>
      </c>
      <c r="G25" s="4">
        <f t="shared" si="3"/>
        <v>0.28571428571428564</v>
      </c>
      <c r="I25" s="7">
        <f t="shared" si="4"/>
        <v>1091.0666666479999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2325333.3333000001</v>
      </c>
      <c r="D26" s="4">
        <v>0.4</v>
      </c>
      <c r="E26" s="7">
        <f t="shared" si="1"/>
        <v>3255466.6666199998</v>
      </c>
      <c r="F26" s="7">
        <f t="shared" si="2"/>
        <v>930133.33331999974</v>
      </c>
      <c r="G26" s="4">
        <f t="shared" si="3"/>
        <v>0.28571428571428564</v>
      </c>
      <c r="I26" s="7">
        <f t="shared" si="4"/>
        <v>1085.15555554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2702333.3333000001</v>
      </c>
      <c r="D27" s="4">
        <v>0.4</v>
      </c>
      <c r="E27" s="7">
        <f t="shared" si="1"/>
        <v>3783266.6666199998</v>
      </c>
      <c r="F27" s="7">
        <f t="shared" si="2"/>
        <v>1080933.3333199997</v>
      </c>
      <c r="G27" s="4">
        <f t="shared" si="3"/>
        <v>0.28571428571428564</v>
      </c>
      <c r="I27" s="7">
        <f t="shared" si="4"/>
        <v>1080.93333332</v>
      </c>
      <c r="AA27" s="15"/>
    </row>
    <row r="28" spans="1:32" ht="17.25" thickBot="1" x14ac:dyDescent="0.3">
      <c r="A28">
        <v>4000</v>
      </c>
      <c r="B28" s="6">
        <f t="shared" si="0"/>
        <v>3079333.3333000001</v>
      </c>
      <c r="D28" s="4">
        <v>0.4</v>
      </c>
      <c r="E28" s="7">
        <f t="shared" si="1"/>
        <v>4311066.6666200003</v>
      </c>
      <c r="F28" s="7">
        <f t="shared" si="2"/>
        <v>1231733.3333200002</v>
      </c>
      <c r="G28" s="4">
        <f t="shared" si="3"/>
        <v>0.28571428571428575</v>
      </c>
      <c r="I28" s="7">
        <f t="shared" si="4"/>
        <v>1077.7666666550001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3833333.3333000001</v>
      </c>
      <c r="D29" s="4">
        <v>0.4</v>
      </c>
      <c r="E29" s="7">
        <f t="shared" si="1"/>
        <v>5366666.6666199993</v>
      </c>
      <c r="F29" s="7">
        <f t="shared" si="2"/>
        <v>1533333.3333199993</v>
      </c>
      <c r="G29" s="4">
        <f t="shared" si="3"/>
        <v>0.28571428571428559</v>
      </c>
      <c r="I29" s="7">
        <f t="shared" si="4"/>
        <v>1073.3333333239998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4587333.3333000001</v>
      </c>
      <c r="D30" s="4">
        <v>0.4</v>
      </c>
      <c r="E30" s="7">
        <f t="shared" si="1"/>
        <v>6422266.6666199993</v>
      </c>
      <c r="F30" s="7">
        <f t="shared" si="2"/>
        <v>1834933.3333199993</v>
      </c>
      <c r="G30" s="4">
        <f t="shared" si="3"/>
        <v>0.28571428571428564</v>
      </c>
      <c r="I30" s="7">
        <f t="shared" si="4"/>
        <v>1070.37777777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5341333.3333000001</v>
      </c>
      <c r="D31" s="4">
        <v>0.4</v>
      </c>
      <c r="E31" s="7">
        <f t="shared" si="1"/>
        <v>7477866.6666199993</v>
      </c>
      <c r="F31" s="7">
        <f t="shared" si="2"/>
        <v>2136533.3333199993</v>
      </c>
      <c r="G31" s="4">
        <f t="shared" si="3"/>
        <v>0.28571428571428564</v>
      </c>
      <c r="I31" s="7">
        <f t="shared" si="4"/>
        <v>1068.2666666599998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6095333.3333000001</v>
      </c>
      <c r="D32" s="4">
        <v>0.4</v>
      </c>
      <c r="E32" s="7">
        <f t="shared" si="1"/>
        <v>8533466.6666199993</v>
      </c>
      <c r="F32" s="7">
        <f t="shared" si="2"/>
        <v>2438133.3333199993</v>
      </c>
      <c r="G32" s="4">
        <f t="shared" si="3"/>
        <v>0.28571428571428564</v>
      </c>
      <c r="I32" s="7">
        <f t="shared" si="4"/>
        <v>1066.6833333274999</v>
      </c>
      <c r="AA32" s="14" t="s">
        <v>64</v>
      </c>
    </row>
    <row r="33" spans="1:9" x14ac:dyDescent="0.25">
      <c r="A33">
        <v>9000</v>
      </c>
      <c r="B33" s="6">
        <f t="shared" si="0"/>
        <v>6849333.3333000001</v>
      </c>
      <c r="D33" s="4">
        <v>0.4</v>
      </c>
      <c r="E33" s="7">
        <f t="shared" si="1"/>
        <v>9589066.6666199993</v>
      </c>
      <c r="F33" s="7">
        <f t="shared" si="2"/>
        <v>2739733.3333199993</v>
      </c>
      <c r="G33" s="4">
        <f t="shared" si="3"/>
        <v>0.28571428571428564</v>
      </c>
      <c r="I33" s="7">
        <f t="shared" si="4"/>
        <v>1065.4518518466666</v>
      </c>
    </row>
    <row r="34" spans="1:9" x14ac:dyDescent="0.25">
      <c r="A34">
        <v>10000</v>
      </c>
      <c r="B34" s="6">
        <f t="shared" si="0"/>
        <v>7603333.3333000001</v>
      </c>
      <c r="D34" s="4">
        <v>0.4</v>
      </c>
      <c r="E34" s="7">
        <f t="shared" si="1"/>
        <v>10644666.666619999</v>
      </c>
      <c r="F34" s="7">
        <f t="shared" si="2"/>
        <v>3041333.3333199993</v>
      </c>
      <c r="G34" s="4">
        <f t="shared" si="3"/>
        <v>0.28571428571428564</v>
      </c>
      <c r="I34" s="7">
        <f t="shared" si="4"/>
        <v>1064.4666666619999</v>
      </c>
    </row>
    <row r="35" spans="1:9" x14ac:dyDescent="0.25">
      <c r="A35">
        <v>15000</v>
      </c>
      <c r="B35" s="6">
        <f t="shared" si="0"/>
        <v>11373333.3333</v>
      </c>
      <c r="D35" s="4">
        <v>0.4</v>
      </c>
      <c r="E35" s="7">
        <f t="shared" si="1"/>
        <v>15922666.666619999</v>
      </c>
      <c r="F35" s="7">
        <f t="shared" si="2"/>
        <v>4549333.3333199993</v>
      </c>
      <c r="G35" s="4">
        <f t="shared" si="3"/>
        <v>0.2857142857142857</v>
      </c>
      <c r="I35" s="7">
        <f t="shared" si="4"/>
        <v>1061.511111108</v>
      </c>
    </row>
    <row r="36" spans="1:9" x14ac:dyDescent="0.25">
      <c r="A36">
        <v>20000</v>
      </c>
      <c r="B36" s="6">
        <f t="shared" si="0"/>
        <v>15143333.3333</v>
      </c>
      <c r="D36" s="4">
        <v>0.4</v>
      </c>
      <c r="E36" s="7">
        <f t="shared" si="1"/>
        <v>21200666.666619997</v>
      </c>
      <c r="F36" s="7">
        <f t="shared" si="2"/>
        <v>6057333.3333199974</v>
      </c>
      <c r="G36" s="4">
        <f t="shared" si="3"/>
        <v>0.28571428571428564</v>
      </c>
      <c r="I36" s="7">
        <f t="shared" si="4"/>
        <v>1060.0333333309998</v>
      </c>
    </row>
    <row r="38" spans="1:9" x14ac:dyDescent="0.25">
      <c r="A38" t="s">
        <v>27</v>
      </c>
    </row>
    <row r="39" spans="1:9" x14ac:dyDescent="0.25">
      <c r="A39" s="1" t="s">
        <v>5</v>
      </c>
      <c r="D39" s="1" t="s">
        <v>4</v>
      </c>
      <c r="I39" s="1" t="s">
        <v>15</v>
      </c>
    </row>
    <row r="40" spans="1:9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9" x14ac:dyDescent="0.25">
      <c r="A41">
        <v>1</v>
      </c>
      <c r="B41" s="6">
        <f>PhiMayInToner1M(A41)</f>
        <v>63737.333299999998</v>
      </c>
      <c r="D41" s="4">
        <v>0.4</v>
      </c>
      <c r="E41" s="7">
        <f>B41*(1+D41)</f>
        <v>89232.266619999995</v>
      </c>
      <c r="F41" s="7">
        <f>E41-B41</f>
        <v>25494.933319999996</v>
      </c>
      <c r="G41" s="4">
        <f>F41/E41</f>
        <v>0.2857142857142857</v>
      </c>
      <c r="I41" s="7">
        <f>E41/A41</f>
        <v>89232.266619999995</v>
      </c>
    </row>
    <row r="42" spans="1:9" x14ac:dyDescent="0.25">
      <c r="A42">
        <v>50</v>
      </c>
      <c r="B42" s="6">
        <f t="shared" ref="B42:B72" si="5">PhiMayInToner1M(A42)</f>
        <v>83533.333299999998</v>
      </c>
      <c r="D42" s="4">
        <v>0.5</v>
      </c>
      <c r="E42" s="7">
        <f t="shared" ref="E42:E72" si="6">B42*(1+D42)</f>
        <v>125299.99995</v>
      </c>
      <c r="F42" s="7">
        <f t="shared" ref="F42:F72" si="7">E42-B42</f>
        <v>41766.666649999999</v>
      </c>
      <c r="G42" s="4">
        <f t="shared" ref="G42:G72" si="8">F42/E42</f>
        <v>0.33333333333333331</v>
      </c>
      <c r="I42" s="7">
        <f t="shared" ref="I42:I72" si="9">E42/A42</f>
        <v>2505.9999990000001</v>
      </c>
    </row>
    <row r="43" spans="1:9" x14ac:dyDescent="0.25">
      <c r="A43">
        <v>100</v>
      </c>
      <c r="B43" s="6">
        <f t="shared" si="5"/>
        <v>103733.3333</v>
      </c>
      <c r="D43" s="4">
        <v>0.5</v>
      </c>
      <c r="E43" s="7">
        <f t="shared" si="6"/>
        <v>155599.99995</v>
      </c>
      <c r="F43" s="7">
        <f t="shared" si="7"/>
        <v>51866.666649999999</v>
      </c>
      <c r="G43" s="4">
        <f t="shared" si="8"/>
        <v>0.33333333333333331</v>
      </c>
      <c r="I43" s="7">
        <f t="shared" si="9"/>
        <v>1555.9999995000001</v>
      </c>
    </row>
    <row r="44" spans="1:9" x14ac:dyDescent="0.25">
      <c r="A44">
        <v>150</v>
      </c>
      <c r="B44" s="6">
        <f t="shared" si="5"/>
        <v>123933.3333</v>
      </c>
      <c r="D44" s="4">
        <v>0.5</v>
      </c>
      <c r="E44" s="7">
        <f t="shared" si="6"/>
        <v>185899.99995</v>
      </c>
      <c r="F44" s="7">
        <f t="shared" si="7"/>
        <v>61966.666649999999</v>
      </c>
      <c r="G44" s="4">
        <f t="shared" si="8"/>
        <v>0.33333333333333331</v>
      </c>
      <c r="I44" s="7">
        <f t="shared" si="9"/>
        <v>1239.333333</v>
      </c>
    </row>
    <row r="45" spans="1:9" x14ac:dyDescent="0.25">
      <c r="A45">
        <v>200</v>
      </c>
      <c r="B45" s="6">
        <f t="shared" si="5"/>
        <v>144133.3333</v>
      </c>
      <c r="D45" s="4">
        <v>0.5</v>
      </c>
      <c r="E45" s="7">
        <f t="shared" si="6"/>
        <v>216199.99995</v>
      </c>
      <c r="F45" s="7">
        <f t="shared" si="7"/>
        <v>72066.666649999999</v>
      </c>
      <c r="G45" s="4">
        <f t="shared" si="8"/>
        <v>0.33333333333333331</v>
      </c>
      <c r="I45" s="7">
        <f t="shared" si="9"/>
        <v>1080.9999997499999</v>
      </c>
    </row>
    <row r="46" spans="1:9" x14ac:dyDescent="0.25">
      <c r="A46">
        <v>250</v>
      </c>
      <c r="B46" s="6">
        <f t="shared" si="5"/>
        <v>164333.3333</v>
      </c>
      <c r="D46" s="4">
        <v>0.5</v>
      </c>
      <c r="E46" s="7">
        <f t="shared" si="6"/>
        <v>246499.99995</v>
      </c>
      <c r="F46" s="7">
        <f t="shared" si="7"/>
        <v>82166.666649999999</v>
      </c>
      <c r="G46" s="4">
        <f t="shared" si="8"/>
        <v>0.33333333333333331</v>
      </c>
      <c r="I46" s="7">
        <f t="shared" si="9"/>
        <v>985.99999979999996</v>
      </c>
    </row>
    <row r="47" spans="1:9" x14ac:dyDescent="0.25">
      <c r="A47">
        <v>300</v>
      </c>
      <c r="B47" s="6">
        <f t="shared" si="5"/>
        <v>184533.3333</v>
      </c>
      <c r="D47" s="4">
        <v>0.5</v>
      </c>
      <c r="E47" s="7">
        <f t="shared" si="6"/>
        <v>276799.99994999997</v>
      </c>
      <c r="F47" s="7">
        <f t="shared" si="7"/>
        <v>92266.66664999997</v>
      </c>
      <c r="G47" s="4">
        <f t="shared" si="8"/>
        <v>0.33333333333333326</v>
      </c>
      <c r="I47" s="7">
        <f t="shared" si="9"/>
        <v>922.66666649999991</v>
      </c>
    </row>
    <row r="48" spans="1:9" x14ac:dyDescent="0.25">
      <c r="A48">
        <v>350</v>
      </c>
      <c r="B48" s="6">
        <f t="shared" si="5"/>
        <v>204733.3333</v>
      </c>
      <c r="D48" s="4">
        <v>0.5</v>
      </c>
      <c r="E48" s="7">
        <f t="shared" si="6"/>
        <v>307099.99994999997</v>
      </c>
      <c r="F48" s="7">
        <f t="shared" si="7"/>
        <v>102366.66664999997</v>
      </c>
      <c r="G48" s="4">
        <f t="shared" si="8"/>
        <v>0.33333333333333326</v>
      </c>
      <c r="I48" s="7">
        <f t="shared" si="9"/>
        <v>877.42857128571416</v>
      </c>
    </row>
    <row r="49" spans="1:9" x14ac:dyDescent="0.25">
      <c r="A49">
        <v>400</v>
      </c>
      <c r="B49" s="6">
        <f t="shared" si="5"/>
        <v>224933.3333</v>
      </c>
      <c r="D49" s="4">
        <v>0.6</v>
      </c>
      <c r="E49" s="7">
        <f t="shared" si="6"/>
        <v>359893.33328000002</v>
      </c>
      <c r="F49" s="7">
        <f t="shared" si="7"/>
        <v>134959.99998000002</v>
      </c>
      <c r="G49" s="4">
        <f t="shared" si="8"/>
        <v>0.37500000000000006</v>
      </c>
      <c r="I49" s="7">
        <f t="shared" si="9"/>
        <v>899.73333320000006</v>
      </c>
    </row>
    <row r="50" spans="1:9" x14ac:dyDescent="0.25">
      <c r="A50">
        <v>450</v>
      </c>
      <c r="B50" s="6">
        <f t="shared" si="5"/>
        <v>245133.3333</v>
      </c>
      <c r="D50" s="4">
        <v>0.6</v>
      </c>
      <c r="E50" s="7">
        <f t="shared" si="6"/>
        <v>392213.33328000002</v>
      </c>
      <c r="F50" s="7">
        <f t="shared" si="7"/>
        <v>147079.99998000002</v>
      </c>
      <c r="G50" s="4">
        <f t="shared" si="8"/>
        <v>0.37500000000000006</v>
      </c>
      <c r="I50" s="7">
        <f t="shared" si="9"/>
        <v>871.58518506666667</v>
      </c>
    </row>
    <row r="51" spans="1:9" x14ac:dyDescent="0.25">
      <c r="A51">
        <v>500</v>
      </c>
      <c r="B51" s="6">
        <f t="shared" si="5"/>
        <v>265333.3333</v>
      </c>
      <c r="D51" s="4">
        <v>0.6</v>
      </c>
      <c r="E51" s="7">
        <f t="shared" si="6"/>
        <v>424533.33328000002</v>
      </c>
      <c r="F51" s="7">
        <f t="shared" si="7"/>
        <v>159199.99998000002</v>
      </c>
      <c r="G51" s="4">
        <f t="shared" si="8"/>
        <v>0.37500000000000006</v>
      </c>
      <c r="I51" s="7">
        <f t="shared" si="9"/>
        <v>849.06666656000004</v>
      </c>
    </row>
    <row r="52" spans="1:9" x14ac:dyDescent="0.25">
      <c r="A52">
        <v>600</v>
      </c>
      <c r="B52" s="6">
        <f t="shared" si="5"/>
        <v>305733.3333</v>
      </c>
      <c r="D52" s="4">
        <v>0.6</v>
      </c>
      <c r="E52" s="7">
        <f t="shared" si="6"/>
        <v>489173.33328000002</v>
      </c>
      <c r="F52" s="7">
        <f t="shared" si="7"/>
        <v>183439.99998000002</v>
      </c>
      <c r="G52" s="4">
        <f t="shared" si="8"/>
        <v>0.37500000000000006</v>
      </c>
      <c r="I52" s="7">
        <f t="shared" si="9"/>
        <v>815.2888888</v>
      </c>
    </row>
    <row r="53" spans="1:9" x14ac:dyDescent="0.25">
      <c r="A53">
        <v>700</v>
      </c>
      <c r="B53" s="6">
        <f t="shared" si="5"/>
        <v>346133.3333</v>
      </c>
      <c r="D53" s="4">
        <v>0.6</v>
      </c>
      <c r="E53" s="7">
        <f t="shared" si="6"/>
        <v>553813.33328000002</v>
      </c>
      <c r="F53" s="7">
        <f t="shared" si="7"/>
        <v>207679.99998000002</v>
      </c>
      <c r="G53" s="4">
        <f t="shared" si="8"/>
        <v>0.375</v>
      </c>
      <c r="I53" s="7">
        <f t="shared" si="9"/>
        <v>791.16190468571426</v>
      </c>
    </row>
    <row r="54" spans="1:9" x14ac:dyDescent="0.25">
      <c r="A54">
        <v>800</v>
      </c>
      <c r="B54" s="6">
        <f t="shared" si="5"/>
        <v>386533.3333</v>
      </c>
      <c r="D54" s="4">
        <v>0.6</v>
      </c>
      <c r="E54" s="7">
        <f t="shared" si="6"/>
        <v>618453.33328000002</v>
      </c>
      <c r="F54" s="7">
        <f t="shared" si="7"/>
        <v>231919.99998000002</v>
      </c>
      <c r="G54" s="4">
        <f t="shared" si="8"/>
        <v>0.375</v>
      </c>
      <c r="I54" s="7">
        <f t="shared" si="9"/>
        <v>773.06666660000008</v>
      </c>
    </row>
    <row r="55" spans="1:9" x14ac:dyDescent="0.25">
      <c r="A55">
        <v>900</v>
      </c>
      <c r="B55" s="6">
        <f t="shared" si="5"/>
        <v>426933.3333</v>
      </c>
      <c r="D55" s="4">
        <v>0.6</v>
      </c>
      <c r="E55" s="7">
        <f t="shared" si="6"/>
        <v>683093.33328000002</v>
      </c>
      <c r="F55" s="7">
        <f t="shared" si="7"/>
        <v>256159.99998000002</v>
      </c>
      <c r="G55" s="4">
        <f t="shared" si="8"/>
        <v>0.375</v>
      </c>
      <c r="I55" s="7">
        <f t="shared" si="9"/>
        <v>758.99259253333332</v>
      </c>
    </row>
    <row r="56" spans="1:9" x14ac:dyDescent="0.25">
      <c r="A56">
        <v>1000</v>
      </c>
      <c r="B56" s="6">
        <f t="shared" si="5"/>
        <v>467333.3333</v>
      </c>
      <c r="D56" s="4">
        <v>0.4</v>
      </c>
      <c r="E56" s="7">
        <f t="shared" si="6"/>
        <v>654266.66661999992</v>
      </c>
      <c r="F56" s="7">
        <f t="shared" si="7"/>
        <v>186933.33331999992</v>
      </c>
      <c r="G56" s="4">
        <f t="shared" si="8"/>
        <v>0.28571428571428564</v>
      </c>
      <c r="I56" s="7">
        <f t="shared" si="9"/>
        <v>654.26666661999991</v>
      </c>
    </row>
    <row r="57" spans="1:9" x14ac:dyDescent="0.25">
      <c r="A57">
        <v>1200</v>
      </c>
      <c r="B57" s="6">
        <f t="shared" si="5"/>
        <v>548133.33330000006</v>
      </c>
      <c r="D57" s="4">
        <v>0.4</v>
      </c>
      <c r="E57" s="7">
        <f t="shared" si="6"/>
        <v>767386.66662000003</v>
      </c>
      <c r="F57" s="7">
        <f t="shared" si="7"/>
        <v>219253.33331999998</v>
      </c>
      <c r="G57" s="4">
        <f t="shared" si="8"/>
        <v>0.2857142857142857</v>
      </c>
      <c r="I57" s="7">
        <f t="shared" si="9"/>
        <v>639.48888885000008</v>
      </c>
    </row>
    <row r="58" spans="1:9" x14ac:dyDescent="0.25">
      <c r="A58">
        <v>1400</v>
      </c>
      <c r="B58" s="6">
        <f t="shared" si="5"/>
        <v>628933.33330000006</v>
      </c>
      <c r="D58" s="4">
        <v>0.4</v>
      </c>
      <c r="E58" s="7">
        <f t="shared" si="6"/>
        <v>880506.66662000003</v>
      </c>
      <c r="F58" s="7">
        <f t="shared" si="7"/>
        <v>251573.33331999998</v>
      </c>
      <c r="G58" s="4">
        <f t="shared" si="8"/>
        <v>0.2857142857142857</v>
      </c>
      <c r="I58" s="7">
        <f t="shared" si="9"/>
        <v>628.93333330000007</v>
      </c>
    </row>
    <row r="59" spans="1:9" x14ac:dyDescent="0.25">
      <c r="A59">
        <v>1500</v>
      </c>
      <c r="B59" s="6">
        <f t="shared" si="5"/>
        <v>669333.33330000006</v>
      </c>
      <c r="D59" s="4">
        <v>0.4</v>
      </c>
      <c r="E59" s="7">
        <f t="shared" si="6"/>
        <v>937066.66662000003</v>
      </c>
      <c r="F59" s="7">
        <f t="shared" si="7"/>
        <v>267733.33331999998</v>
      </c>
      <c r="G59" s="4">
        <f t="shared" si="8"/>
        <v>0.2857142857142857</v>
      </c>
      <c r="I59" s="7">
        <f t="shared" si="9"/>
        <v>624.71111108000002</v>
      </c>
    </row>
    <row r="60" spans="1:9" x14ac:dyDescent="0.25">
      <c r="A60">
        <v>2000</v>
      </c>
      <c r="B60" s="6">
        <f t="shared" si="5"/>
        <v>871333.33330000006</v>
      </c>
      <c r="D60" s="4">
        <v>0.4</v>
      </c>
      <c r="E60" s="7">
        <f t="shared" si="6"/>
        <v>1219866.66662</v>
      </c>
      <c r="F60" s="7">
        <f t="shared" si="7"/>
        <v>348533.33331999998</v>
      </c>
      <c r="G60" s="4">
        <f t="shared" si="8"/>
        <v>0.2857142857142857</v>
      </c>
      <c r="I60" s="7">
        <f t="shared" si="9"/>
        <v>609.93333330999997</v>
      </c>
    </row>
    <row r="61" spans="1:9" x14ac:dyDescent="0.25">
      <c r="A61">
        <v>2500</v>
      </c>
      <c r="B61" s="6">
        <f t="shared" si="5"/>
        <v>1073333.3333000001</v>
      </c>
      <c r="D61" s="4">
        <v>0.4</v>
      </c>
      <c r="E61" s="7">
        <f t="shared" si="6"/>
        <v>1502666.66662</v>
      </c>
      <c r="F61" s="7">
        <f t="shared" si="7"/>
        <v>429333.33331999998</v>
      </c>
      <c r="G61" s="4">
        <f t="shared" si="8"/>
        <v>0.2857142857142857</v>
      </c>
      <c r="I61" s="7">
        <f t="shared" si="9"/>
        <v>601.06666664800002</v>
      </c>
    </row>
    <row r="62" spans="1:9" x14ac:dyDescent="0.25">
      <c r="A62">
        <v>3000</v>
      </c>
      <c r="B62" s="6">
        <f t="shared" si="5"/>
        <v>1275333.3333000001</v>
      </c>
      <c r="D62" s="4">
        <v>0.4</v>
      </c>
      <c r="E62" s="7">
        <f t="shared" si="6"/>
        <v>1785466.66662</v>
      </c>
      <c r="F62" s="7">
        <f t="shared" si="7"/>
        <v>510133.33331999998</v>
      </c>
      <c r="G62" s="4">
        <f t="shared" si="8"/>
        <v>0.2857142857142857</v>
      </c>
      <c r="I62" s="7">
        <f t="shared" si="9"/>
        <v>595.15555554000002</v>
      </c>
    </row>
    <row r="63" spans="1:9" x14ac:dyDescent="0.25">
      <c r="A63">
        <v>3500</v>
      </c>
      <c r="B63" s="6">
        <f t="shared" si="5"/>
        <v>1477333.3333000001</v>
      </c>
      <c r="D63" s="4">
        <v>0.4</v>
      </c>
      <c r="E63" s="7">
        <f t="shared" si="6"/>
        <v>2068266.66662</v>
      </c>
      <c r="F63" s="7">
        <f t="shared" si="7"/>
        <v>590933.33331999998</v>
      </c>
      <c r="G63" s="4">
        <f t="shared" si="8"/>
        <v>0.2857142857142857</v>
      </c>
      <c r="I63" s="7">
        <f t="shared" si="9"/>
        <v>590.93333331999997</v>
      </c>
    </row>
    <row r="64" spans="1:9" x14ac:dyDescent="0.25">
      <c r="A64">
        <v>4000</v>
      </c>
      <c r="B64" s="6">
        <f t="shared" si="5"/>
        <v>1679333.3333000001</v>
      </c>
      <c r="D64" s="4">
        <v>0.4</v>
      </c>
      <c r="E64" s="7">
        <f t="shared" si="6"/>
        <v>2351066.6666199998</v>
      </c>
      <c r="F64" s="7">
        <f t="shared" si="7"/>
        <v>671733.33331999974</v>
      </c>
      <c r="G64" s="4">
        <f t="shared" si="8"/>
        <v>0.28571428571428564</v>
      </c>
      <c r="I64" s="7">
        <f t="shared" si="9"/>
        <v>587.76666665499999</v>
      </c>
    </row>
    <row r="65" spans="1:9" x14ac:dyDescent="0.25">
      <c r="A65">
        <v>5000</v>
      </c>
      <c r="B65" s="6">
        <f t="shared" si="5"/>
        <v>2083333.3333000001</v>
      </c>
      <c r="D65" s="4">
        <v>0.4</v>
      </c>
      <c r="E65" s="7">
        <f t="shared" si="6"/>
        <v>2916666.6666199998</v>
      </c>
      <c r="F65" s="7">
        <f t="shared" si="7"/>
        <v>833333.33331999974</v>
      </c>
      <c r="G65" s="4">
        <f t="shared" si="8"/>
        <v>0.28571428571428564</v>
      </c>
      <c r="I65" s="7">
        <f t="shared" si="9"/>
        <v>583.33333332399991</v>
      </c>
    </row>
    <row r="66" spans="1:9" x14ac:dyDescent="0.25">
      <c r="A66">
        <v>6000</v>
      </c>
      <c r="B66" s="6">
        <f t="shared" si="5"/>
        <v>2487333.3333000001</v>
      </c>
      <c r="D66" s="4">
        <v>0.4</v>
      </c>
      <c r="E66" s="7">
        <f t="shared" si="6"/>
        <v>3482266.6666199998</v>
      </c>
      <c r="F66" s="7">
        <f t="shared" si="7"/>
        <v>994933.33331999974</v>
      </c>
      <c r="G66" s="4">
        <f t="shared" si="8"/>
        <v>0.28571428571428564</v>
      </c>
      <c r="I66" s="7">
        <f t="shared" si="9"/>
        <v>580.37777776999997</v>
      </c>
    </row>
    <row r="67" spans="1:9" x14ac:dyDescent="0.25">
      <c r="A67">
        <v>7000</v>
      </c>
      <c r="B67" s="6">
        <f t="shared" si="5"/>
        <v>2891333.3333000001</v>
      </c>
      <c r="D67" s="4">
        <v>0.4</v>
      </c>
      <c r="E67" s="7">
        <f t="shared" si="6"/>
        <v>4047866.6666199998</v>
      </c>
      <c r="F67" s="7">
        <f t="shared" si="7"/>
        <v>1156533.3333199997</v>
      </c>
      <c r="G67" s="4">
        <f t="shared" si="8"/>
        <v>0.28571428571428564</v>
      </c>
      <c r="I67" s="7">
        <f t="shared" si="9"/>
        <v>578.26666665999994</v>
      </c>
    </row>
    <row r="68" spans="1:9" x14ac:dyDescent="0.25">
      <c r="A68">
        <v>8000</v>
      </c>
      <c r="B68" s="6">
        <f t="shared" si="5"/>
        <v>3295333.3333000001</v>
      </c>
      <c r="D68" s="4">
        <v>0.4</v>
      </c>
      <c r="E68" s="7">
        <f t="shared" si="6"/>
        <v>4613466.6666199993</v>
      </c>
      <c r="F68" s="7">
        <f t="shared" si="7"/>
        <v>1318133.3333199993</v>
      </c>
      <c r="G68" s="4">
        <f t="shared" si="8"/>
        <v>0.28571428571428559</v>
      </c>
      <c r="I68" s="7">
        <f t="shared" si="9"/>
        <v>576.68333332749989</v>
      </c>
    </row>
    <row r="69" spans="1:9" x14ac:dyDescent="0.25">
      <c r="A69">
        <v>9000</v>
      </c>
      <c r="B69" s="6">
        <f t="shared" si="5"/>
        <v>3699333.3333000001</v>
      </c>
      <c r="D69" s="4">
        <v>0.4</v>
      </c>
      <c r="E69" s="7">
        <f t="shared" si="6"/>
        <v>5179066.6666199993</v>
      </c>
      <c r="F69" s="7">
        <f t="shared" si="7"/>
        <v>1479733.3333199993</v>
      </c>
      <c r="G69" s="4">
        <f t="shared" si="8"/>
        <v>0.28571428571428559</v>
      </c>
      <c r="I69" s="7">
        <f t="shared" si="9"/>
        <v>575.45185184666661</v>
      </c>
    </row>
    <row r="70" spans="1:9" x14ac:dyDescent="0.25">
      <c r="A70">
        <v>10000</v>
      </c>
      <c r="B70" s="6">
        <f t="shared" si="5"/>
        <v>4103333.3333000001</v>
      </c>
      <c r="D70" s="4">
        <v>0.4</v>
      </c>
      <c r="E70" s="7">
        <f t="shared" si="6"/>
        <v>5744666.6666199993</v>
      </c>
      <c r="F70" s="7">
        <f t="shared" si="7"/>
        <v>1641333.3333199993</v>
      </c>
      <c r="G70" s="4">
        <f t="shared" si="8"/>
        <v>0.28571428571428564</v>
      </c>
      <c r="I70" s="7">
        <f t="shared" si="9"/>
        <v>574.46666666199997</v>
      </c>
    </row>
    <row r="71" spans="1:9" x14ac:dyDescent="0.25">
      <c r="A71">
        <v>15000</v>
      </c>
      <c r="B71" s="6">
        <f t="shared" si="5"/>
        <v>6123333.3333000001</v>
      </c>
      <c r="D71" s="4">
        <v>0.4</v>
      </c>
      <c r="E71" s="7">
        <f t="shared" si="6"/>
        <v>8572666.6666199993</v>
      </c>
      <c r="F71" s="7">
        <f t="shared" si="7"/>
        <v>2449333.3333199993</v>
      </c>
      <c r="G71" s="4">
        <f t="shared" si="8"/>
        <v>0.28571428571428564</v>
      </c>
      <c r="I71" s="7">
        <f t="shared" si="9"/>
        <v>571.51111110799991</v>
      </c>
    </row>
    <row r="72" spans="1:9" x14ac:dyDescent="0.25">
      <c r="A72">
        <v>20000</v>
      </c>
      <c r="B72" s="6">
        <f t="shared" si="5"/>
        <v>8143333.3333000001</v>
      </c>
      <c r="D72" s="4">
        <v>0.4</v>
      </c>
      <c r="E72" s="7">
        <f t="shared" si="6"/>
        <v>11400666.666619999</v>
      </c>
      <c r="F72" s="7">
        <f t="shared" si="7"/>
        <v>3257333.3333199993</v>
      </c>
      <c r="G72" s="4">
        <f t="shared" si="8"/>
        <v>0.28571428571428564</v>
      </c>
      <c r="I72" s="7">
        <f t="shared" si="9"/>
        <v>570.03333333099999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475455</v>
      </c>
      <c r="F5" s="6"/>
      <c r="G5" s="6"/>
      <c r="I5" s="4">
        <v>0.4</v>
      </c>
      <c r="J5" s="7">
        <f>E5*(1+I5)</f>
        <v>665637</v>
      </c>
      <c r="K5" s="7">
        <f>J5-E5</f>
        <v>190182</v>
      </c>
      <c r="L5" s="4">
        <f>K5/J5</f>
        <v>0.2857142857142857</v>
      </c>
      <c r="N5" s="7">
        <f>J5/A5</f>
        <v>665637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497750</v>
      </c>
      <c r="F6" s="6"/>
      <c r="G6" s="6"/>
      <c r="I6" s="4">
        <v>0.5</v>
      </c>
      <c r="J6" s="7">
        <f t="shared" ref="J6:J36" si="1">E6*(1+I6)</f>
        <v>746625</v>
      </c>
      <c r="K6" s="7">
        <f t="shared" ref="K6:K36" si="2">J6-E6</f>
        <v>248875</v>
      </c>
      <c r="L6" s="4">
        <f t="shared" ref="L6:L36" si="3">K6/J6</f>
        <v>0.33333333333333331</v>
      </c>
      <c r="N6" s="7">
        <f t="shared" ref="N6:N36" si="4">J6/A6</f>
        <v>14932.5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520500</v>
      </c>
      <c r="F7" s="6"/>
      <c r="G7" s="6"/>
      <c r="I7" s="4">
        <v>0.5</v>
      </c>
      <c r="J7" s="7">
        <f t="shared" si="1"/>
        <v>780750</v>
      </c>
      <c r="K7" s="7">
        <f t="shared" si="2"/>
        <v>260250</v>
      </c>
      <c r="L7" s="4">
        <f t="shared" si="3"/>
        <v>0.33333333333333331</v>
      </c>
      <c r="N7" s="7">
        <f t="shared" si="4"/>
        <v>7807.5</v>
      </c>
      <c r="AG7" s="5"/>
    </row>
    <row r="8" spans="1:34" x14ac:dyDescent="0.25">
      <c r="A8">
        <v>150</v>
      </c>
      <c r="E8" s="6">
        <f t="shared" si="0"/>
        <v>543250</v>
      </c>
      <c r="F8" s="6"/>
      <c r="G8" s="6"/>
      <c r="I8" s="4">
        <v>0.5</v>
      </c>
      <c r="J8" s="7">
        <f t="shared" si="1"/>
        <v>814875</v>
      </c>
      <c r="K8" s="7">
        <f t="shared" si="2"/>
        <v>271625</v>
      </c>
      <c r="L8" s="4">
        <f t="shared" si="3"/>
        <v>0.33333333333333331</v>
      </c>
      <c r="N8" s="7">
        <f t="shared" si="4"/>
        <v>5432.5</v>
      </c>
    </row>
    <row r="9" spans="1:34" x14ac:dyDescent="0.25">
      <c r="A9">
        <v>200</v>
      </c>
      <c r="E9" s="6">
        <f t="shared" si="0"/>
        <v>566000</v>
      </c>
      <c r="F9" s="6"/>
      <c r="G9" s="6"/>
      <c r="I9" s="4">
        <v>0.5</v>
      </c>
      <c r="J9" s="7">
        <f t="shared" si="1"/>
        <v>849000</v>
      </c>
      <c r="K9" s="7">
        <f t="shared" si="2"/>
        <v>283000</v>
      </c>
      <c r="L9" s="4">
        <f t="shared" si="3"/>
        <v>0.33333333333333331</v>
      </c>
      <c r="N9" s="7">
        <f t="shared" si="4"/>
        <v>4245</v>
      </c>
    </row>
    <row r="10" spans="1:34" x14ac:dyDescent="0.25">
      <c r="A10">
        <v>250</v>
      </c>
      <c r="E10" s="6">
        <f t="shared" si="0"/>
        <v>588750</v>
      </c>
      <c r="F10" s="6"/>
      <c r="G10" s="6"/>
      <c r="I10" s="4">
        <v>0.5</v>
      </c>
      <c r="J10" s="7">
        <f t="shared" si="1"/>
        <v>883125</v>
      </c>
      <c r="K10" s="7">
        <f t="shared" si="2"/>
        <v>294375</v>
      </c>
      <c r="L10" s="4">
        <f t="shared" si="3"/>
        <v>0.33333333333333331</v>
      </c>
      <c r="N10" s="7">
        <f t="shared" si="4"/>
        <v>3532.5</v>
      </c>
    </row>
    <row r="11" spans="1:34" x14ac:dyDescent="0.25">
      <c r="A11">
        <v>300</v>
      </c>
      <c r="E11" s="6">
        <f t="shared" si="0"/>
        <v>611500</v>
      </c>
      <c r="F11" s="6"/>
      <c r="G11" s="6"/>
      <c r="I11" s="4">
        <v>0.5</v>
      </c>
      <c r="J11" s="7">
        <f t="shared" si="1"/>
        <v>917250</v>
      </c>
      <c r="K11" s="7">
        <f t="shared" si="2"/>
        <v>305750</v>
      </c>
      <c r="L11" s="4">
        <f t="shared" si="3"/>
        <v>0.33333333333333331</v>
      </c>
      <c r="N11" s="7">
        <f t="shared" si="4"/>
        <v>3057.5</v>
      </c>
    </row>
    <row r="12" spans="1:34" x14ac:dyDescent="0.25">
      <c r="A12">
        <v>350</v>
      </c>
      <c r="E12" s="6">
        <f t="shared" si="0"/>
        <v>634250</v>
      </c>
      <c r="F12" s="6"/>
      <c r="G12" s="6"/>
      <c r="I12" s="4">
        <v>0.5</v>
      </c>
      <c r="J12" s="7">
        <f t="shared" si="1"/>
        <v>951375</v>
      </c>
      <c r="K12" s="7">
        <f t="shared" si="2"/>
        <v>317125</v>
      </c>
      <c r="L12" s="4">
        <f t="shared" si="3"/>
        <v>0.33333333333333331</v>
      </c>
      <c r="N12" s="7">
        <f t="shared" si="4"/>
        <v>2718.2142857142858</v>
      </c>
    </row>
    <row r="13" spans="1:34" x14ac:dyDescent="0.25">
      <c r="A13">
        <v>400</v>
      </c>
      <c r="E13" s="6">
        <f t="shared" si="0"/>
        <v>657000</v>
      </c>
      <c r="F13" s="6"/>
      <c r="G13" s="6"/>
      <c r="I13" s="4">
        <v>0.6</v>
      </c>
      <c r="J13" s="7">
        <f t="shared" si="1"/>
        <v>1051200</v>
      </c>
      <c r="K13" s="7">
        <f t="shared" si="2"/>
        <v>394200</v>
      </c>
      <c r="L13" s="4">
        <f t="shared" si="3"/>
        <v>0.375</v>
      </c>
      <c r="N13" s="7">
        <f t="shared" si="4"/>
        <v>2628</v>
      </c>
    </row>
    <row r="14" spans="1:34" x14ac:dyDescent="0.25">
      <c r="A14">
        <v>450</v>
      </c>
      <c r="E14" s="6">
        <f t="shared" si="0"/>
        <v>679750</v>
      </c>
      <c r="F14" s="6"/>
      <c r="G14" s="6"/>
      <c r="I14" s="4">
        <v>0.6</v>
      </c>
      <c r="J14" s="7">
        <f t="shared" si="1"/>
        <v>1087600</v>
      </c>
      <c r="K14" s="7">
        <f t="shared" si="2"/>
        <v>407850</v>
      </c>
      <c r="L14" s="4">
        <f t="shared" si="3"/>
        <v>0.375</v>
      </c>
      <c r="N14" s="7">
        <f t="shared" si="4"/>
        <v>2416.8888888888887</v>
      </c>
    </row>
    <row r="15" spans="1:34" x14ac:dyDescent="0.25">
      <c r="A15">
        <v>500</v>
      </c>
      <c r="E15" s="6">
        <f t="shared" si="0"/>
        <v>702500</v>
      </c>
      <c r="F15" s="6"/>
      <c r="G15" s="6"/>
      <c r="I15" s="4">
        <v>0.6</v>
      </c>
      <c r="J15" s="7">
        <f t="shared" si="1"/>
        <v>1124000</v>
      </c>
      <c r="K15" s="7">
        <f t="shared" si="2"/>
        <v>421500</v>
      </c>
      <c r="L15" s="4">
        <f t="shared" si="3"/>
        <v>0.375</v>
      </c>
      <c r="N15" s="7">
        <f t="shared" si="4"/>
        <v>2248</v>
      </c>
    </row>
    <row r="16" spans="1:34" x14ac:dyDescent="0.25">
      <c r="A16">
        <v>600</v>
      </c>
      <c r="E16" s="6">
        <f t="shared" si="0"/>
        <v>748000</v>
      </c>
      <c r="F16" s="6"/>
      <c r="G16" s="6"/>
      <c r="I16" s="4">
        <v>0.6</v>
      </c>
      <c r="J16" s="7">
        <f t="shared" si="1"/>
        <v>1196800</v>
      </c>
      <c r="K16" s="7">
        <f t="shared" si="2"/>
        <v>448800</v>
      </c>
      <c r="L16" s="4">
        <f t="shared" si="3"/>
        <v>0.375</v>
      </c>
      <c r="N16" s="7">
        <f t="shared" si="4"/>
        <v>1994.6666666666667</v>
      </c>
    </row>
    <row r="17" spans="1:14" x14ac:dyDescent="0.25">
      <c r="A17">
        <v>700</v>
      </c>
      <c r="E17" s="6">
        <f t="shared" si="0"/>
        <v>793500</v>
      </c>
      <c r="F17" s="6"/>
      <c r="G17" s="6"/>
      <c r="I17" s="4">
        <v>0.6</v>
      </c>
      <c r="J17" s="7">
        <f t="shared" si="1"/>
        <v>1269600</v>
      </c>
      <c r="K17" s="7">
        <f t="shared" si="2"/>
        <v>476100</v>
      </c>
      <c r="L17" s="4">
        <f t="shared" si="3"/>
        <v>0.375</v>
      </c>
      <c r="N17" s="7">
        <f t="shared" si="4"/>
        <v>1813.7142857142858</v>
      </c>
    </row>
    <row r="18" spans="1:14" x14ac:dyDescent="0.25">
      <c r="A18">
        <v>800</v>
      </c>
      <c r="E18" s="6">
        <f t="shared" si="0"/>
        <v>839000</v>
      </c>
      <c r="F18" s="6"/>
      <c r="G18" s="6"/>
      <c r="I18" s="4">
        <v>0.6</v>
      </c>
      <c r="J18" s="7">
        <f t="shared" si="1"/>
        <v>1342400</v>
      </c>
      <c r="K18" s="7">
        <f t="shared" si="2"/>
        <v>503400</v>
      </c>
      <c r="L18" s="4">
        <f t="shared" si="3"/>
        <v>0.375</v>
      </c>
      <c r="N18" s="7">
        <f t="shared" si="4"/>
        <v>1678</v>
      </c>
    </row>
    <row r="19" spans="1:14" x14ac:dyDescent="0.25">
      <c r="A19">
        <v>900</v>
      </c>
      <c r="E19" s="6">
        <f t="shared" si="0"/>
        <v>884500</v>
      </c>
      <c r="F19" s="6"/>
      <c r="G19" s="6"/>
      <c r="I19" s="4">
        <v>0.6</v>
      </c>
      <c r="J19" s="7">
        <f t="shared" si="1"/>
        <v>1415200</v>
      </c>
      <c r="K19" s="7">
        <f t="shared" si="2"/>
        <v>530700</v>
      </c>
      <c r="L19" s="4">
        <f t="shared" si="3"/>
        <v>0.375</v>
      </c>
      <c r="N19" s="7">
        <f t="shared" si="4"/>
        <v>1572.4444444444443</v>
      </c>
    </row>
    <row r="20" spans="1:14" x14ac:dyDescent="0.25">
      <c r="A20">
        <v>1000</v>
      </c>
      <c r="E20" s="6">
        <f t="shared" si="0"/>
        <v>930000</v>
      </c>
      <c r="F20" s="6"/>
      <c r="G20" s="6"/>
      <c r="I20" s="4">
        <v>0.4</v>
      </c>
      <c r="J20" s="7">
        <f t="shared" si="1"/>
        <v>1302000</v>
      </c>
      <c r="K20" s="7">
        <f t="shared" si="2"/>
        <v>372000</v>
      </c>
      <c r="L20" s="4">
        <f t="shared" si="3"/>
        <v>0.2857142857142857</v>
      </c>
      <c r="N20" s="7">
        <f t="shared" si="4"/>
        <v>1302</v>
      </c>
    </row>
    <row r="21" spans="1:14" x14ac:dyDescent="0.25">
      <c r="A21">
        <v>1200</v>
      </c>
      <c r="E21" s="6">
        <f t="shared" si="0"/>
        <v>1021000</v>
      </c>
      <c r="F21" s="6"/>
      <c r="G21" s="6"/>
      <c r="I21" s="4">
        <v>0.4</v>
      </c>
      <c r="J21" s="7">
        <f t="shared" si="1"/>
        <v>1429400</v>
      </c>
      <c r="K21" s="7">
        <f t="shared" si="2"/>
        <v>408400</v>
      </c>
      <c r="L21" s="4">
        <f t="shared" si="3"/>
        <v>0.2857142857142857</v>
      </c>
      <c r="N21" s="7">
        <f t="shared" si="4"/>
        <v>1191.1666666666667</v>
      </c>
    </row>
    <row r="22" spans="1:14" x14ac:dyDescent="0.25">
      <c r="A22">
        <v>1400</v>
      </c>
      <c r="E22" s="6">
        <f t="shared" si="0"/>
        <v>1112000</v>
      </c>
      <c r="F22" s="6"/>
      <c r="G22" s="6"/>
      <c r="I22" s="4">
        <v>0.4</v>
      </c>
      <c r="J22" s="7">
        <f t="shared" si="1"/>
        <v>1556800</v>
      </c>
      <c r="K22" s="7">
        <f t="shared" si="2"/>
        <v>444800</v>
      </c>
      <c r="L22" s="4">
        <f t="shared" si="3"/>
        <v>0.2857142857142857</v>
      </c>
      <c r="N22" s="7">
        <f t="shared" si="4"/>
        <v>1112</v>
      </c>
    </row>
    <row r="23" spans="1:14" x14ac:dyDescent="0.25">
      <c r="A23">
        <v>1500</v>
      </c>
      <c r="E23" s="6">
        <f t="shared" si="0"/>
        <v>1157500</v>
      </c>
      <c r="F23" s="6"/>
      <c r="G23" s="6"/>
      <c r="I23" s="4">
        <v>0.4</v>
      </c>
      <c r="J23" s="7">
        <f t="shared" si="1"/>
        <v>1620500</v>
      </c>
      <c r="K23" s="7">
        <f t="shared" si="2"/>
        <v>463000</v>
      </c>
      <c r="L23" s="4">
        <f t="shared" si="3"/>
        <v>0.2857142857142857</v>
      </c>
      <c r="N23" s="7">
        <f t="shared" si="4"/>
        <v>1080.3333333333333</v>
      </c>
    </row>
    <row r="24" spans="1:14" x14ac:dyDescent="0.25">
      <c r="A24">
        <v>2000</v>
      </c>
      <c r="E24" s="6">
        <f t="shared" si="0"/>
        <v>1385000</v>
      </c>
      <c r="F24" s="6"/>
      <c r="G24" s="6"/>
      <c r="I24" s="4">
        <v>0.4</v>
      </c>
      <c r="J24" s="7">
        <f t="shared" si="1"/>
        <v>1938999.9999999998</v>
      </c>
      <c r="K24" s="7">
        <f t="shared" si="2"/>
        <v>553999.99999999977</v>
      </c>
      <c r="L24" s="4">
        <f t="shared" si="3"/>
        <v>0.28571428571428564</v>
      </c>
      <c r="N24" s="7">
        <f t="shared" si="4"/>
        <v>969.49999999999989</v>
      </c>
    </row>
    <row r="25" spans="1:14" x14ac:dyDescent="0.25">
      <c r="A25">
        <v>2500</v>
      </c>
      <c r="E25" s="6">
        <f t="shared" si="0"/>
        <v>1612500</v>
      </c>
      <c r="F25" s="6"/>
      <c r="G25" s="6"/>
      <c r="I25" s="4">
        <v>0.4</v>
      </c>
      <c r="J25" s="7">
        <f t="shared" si="1"/>
        <v>2257500</v>
      </c>
      <c r="K25" s="7">
        <f t="shared" si="2"/>
        <v>645000</v>
      </c>
      <c r="L25" s="4">
        <f t="shared" si="3"/>
        <v>0.2857142857142857</v>
      </c>
      <c r="N25" s="7">
        <f t="shared" si="4"/>
        <v>903</v>
      </c>
    </row>
    <row r="26" spans="1:14" x14ac:dyDescent="0.25">
      <c r="A26">
        <v>3000</v>
      </c>
      <c r="E26" s="6">
        <f t="shared" si="0"/>
        <v>1840000</v>
      </c>
      <c r="F26" s="6"/>
      <c r="G26" s="6"/>
      <c r="I26" s="4">
        <v>0.4</v>
      </c>
      <c r="J26" s="7">
        <f t="shared" si="1"/>
        <v>2576000</v>
      </c>
      <c r="K26" s="7">
        <f t="shared" si="2"/>
        <v>736000</v>
      </c>
      <c r="L26" s="4">
        <f t="shared" si="3"/>
        <v>0.2857142857142857</v>
      </c>
      <c r="N26" s="7">
        <f t="shared" si="4"/>
        <v>858.66666666666663</v>
      </c>
    </row>
    <row r="27" spans="1:14" x14ac:dyDescent="0.25">
      <c r="A27">
        <v>3500</v>
      </c>
      <c r="E27" s="6">
        <f t="shared" si="0"/>
        <v>2067500</v>
      </c>
      <c r="F27" s="6"/>
      <c r="G27" s="6"/>
      <c r="I27" s="4">
        <v>0.4</v>
      </c>
      <c r="J27" s="7">
        <f t="shared" si="1"/>
        <v>2894500</v>
      </c>
      <c r="K27" s="7">
        <f t="shared" si="2"/>
        <v>827000</v>
      </c>
      <c r="L27" s="4">
        <f t="shared" si="3"/>
        <v>0.2857142857142857</v>
      </c>
      <c r="N27" s="7">
        <f t="shared" si="4"/>
        <v>827</v>
      </c>
    </row>
    <row r="28" spans="1:14" x14ac:dyDescent="0.25">
      <c r="A28">
        <v>4000</v>
      </c>
      <c r="E28" s="6">
        <f t="shared" si="0"/>
        <v>2295000</v>
      </c>
      <c r="F28" s="6"/>
      <c r="G28" s="6"/>
      <c r="I28" s="4">
        <v>0.4</v>
      </c>
      <c r="J28" s="7">
        <f t="shared" si="1"/>
        <v>3213000</v>
      </c>
      <c r="K28" s="7">
        <f t="shared" si="2"/>
        <v>918000</v>
      </c>
      <c r="L28" s="4">
        <f t="shared" si="3"/>
        <v>0.2857142857142857</v>
      </c>
      <c r="N28" s="7">
        <f t="shared" si="4"/>
        <v>803.25</v>
      </c>
    </row>
    <row r="29" spans="1:14" x14ac:dyDescent="0.25">
      <c r="A29">
        <v>5000</v>
      </c>
      <c r="E29" s="6">
        <f t="shared" si="0"/>
        <v>2750000</v>
      </c>
      <c r="F29" s="6"/>
      <c r="G29" s="6"/>
      <c r="I29" s="4">
        <v>0.4</v>
      </c>
      <c r="J29" s="7">
        <f t="shared" si="1"/>
        <v>3849999.9999999995</v>
      </c>
      <c r="K29" s="7">
        <f t="shared" si="2"/>
        <v>1099999.9999999995</v>
      </c>
      <c r="L29" s="4">
        <f t="shared" si="3"/>
        <v>0.28571428571428564</v>
      </c>
      <c r="N29" s="7">
        <f t="shared" si="4"/>
        <v>769.99999999999989</v>
      </c>
    </row>
    <row r="30" spans="1:14" x14ac:dyDescent="0.25">
      <c r="A30">
        <v>6000</v>
      </c>
      <c r="E30" s="6">
        <f t="shared" si="0"/>
        <v>3205000</v>
      </c>
      <c r="F30" s="6"/>
      <c r="G30" s="6"/>
      <c r="I30" s="4">
        <v>0.4</v>
      </c>
      <c r="J30" s="7">
        <f t="shared" si="1"/>
        <v>4487000</v>
      </c>
      <c r="K30" s="7">
        <f t="shared" si="2"/>
        <v>1282000</v>
      </c>
      <c r="L30" s="4">
        <f t="shared" si="3"/>
        <v>0.2857142857142857</v>
      </c>
      <c r="N30" s="7">
        <f t="shared" si="4"/>
        <v>747.83333333333337</v>
      </c>
    </row>
    <row r="31" spans="1:14" x14ac:dyDescent="0.25">
      <c r="A31">
        <v>7000</v>
      </c>
      <c r="E31" s="6">
        <f t="shared" si="0"/>
        <v>3660000</v>
      </c>
      <c r="F31" s="6"/>
      <c r="G31" s="6"/>
      <c r="I31" s="4">
        <v>0.4</v>
      </c>
      <c r="J31" s="7">
        <f t="shared" si="1"/>
        <v>5124000</v>
      </c>
      <c r="K31" s="7">
        <f t="shared" si="2"/>
        <v>1464000</v>
      </c>
      <c r="L31" s="4">
        <f t="shared" si="3"/>
        <v>0.2857142857142857</v>
      </c>
      <c r="N31" s="7">
        <f t="shared" si="4"/>
        <v>732</v>
      </c>
    </row>
    <row r="32" spans="1:14" x14ac:dyDescent="0.25">
      <c r="A32">
        <v>8000</v>
      </c>
      <c r="E32" s="6">
        <f t="shared" si="0"/>
        <v>4115000</v>
      </c>
      <c r="F32" s="6"/>
      <c r="G32" s="6"/>
      <c r="I32" s="4">
        <v>0.4</v>
      </c>
      <c r="J32" s="7">
        <f t="shared" si="1"/>
        <v>5761000</v>
      </c>
      <c r="K32" s="7">
        <f t="shared" si="2"/>
        <v>1646000</v>
      </c>
      <c r="L32" s="4">
        <f t="shared" si="3"/>
        <v>0.2857142857142857</v>
      </c>
      <c r="N32" s="7">
        <f t="shared" si="4"/>
        <v>720.125</v>
      </c>
    </row>
    <row r="33" spans="1:14" x14ac:dyDescent="0.25">
      <c r="A33">
        <v>9000</v>
      </c>
      <c r="E33" s="6">
        <f t="shared" si="0"/>
        <v>4570000</v>
      </c>
      <c r="F33" s="6"/>
      <c r="G33" s="6"/>
      <c r="I33" s="4">
        <v>0.4</v>
      </c>
      <c r="J33" s="7">
        <f t="shared" si="1"/>
        <v>6398000</v>
      </c>
      <c r="K33" s="7">
        <f t="shared" si="2"/>
        <v>1828000</v>
      </c>
      <c r="L33" s="4">
        <f t="shared" si="3"/>
        <v>0.2857142857142857</v>
      </c>
      <c r="N33" s="7">
        <f t="shared" si="4"/>
        <v>710.88888888888891</v>
      </c>
    </row>
    <row r="34" spans="1:14" x14ac:dyDescent="0.25">
      <c r="A34">
        <v>10000</v>
      </c>
      <c r="E34" s="6">
        <f t="shared" si="0"/>
        <v>5025000</v>
      </c>
      <c r="F34" s="6"/>
      <c r="G34" s="6"/>
      <c r="I34" s="4">
        <v>0.4</v>
      </c>
      <c r="J34" s="7">
        <f t="shared" si="1"/>
        <v>7035000</v>
      </c>
      <c r="K34" s="7">
        <f t="shared" si="2"/>
        <v>2010000</v>
      </c>
      <c r="L34" s="4">
        <f t="shared" si="3"/>
        <v>0.2857142857142857</v>
      </c>
      <c r="N34" s="7">
        <f t="shared" si="4"/>
        <v>703.5</v>
      </c>
    </row>
    <row r="35" spans="1:14" x14ac:dyDescent="0.25">
      <c r="A35">
        <v>15000</v>
      </c>
      <c r="E35" s="6">
        <f t="shared" si="0"/>
        <v>7300000</v>
      </c>
      <c r="F35" s="6"/>
      <c r="G35" s="6"/>
      <c r="I35" s="4">
        <v>0.4</v>
      </c>
      <c r="J35" s="7">
        <f t="shared" si="1"/>
        <v>10220000</v>
      </c>
      <c r="K35" s="7">
        <f t="shared" si="2"/>
        <v>2920000</v>
      </c>
      <c r="L35" s="4">
        <f t="shared" si="3"/>
        <v>0.2857142857142857</v>
      </c>
      <c r="N35" s="7">
        <f t="shared" si="4"/>
        <v>681.33333333333337</v>
      </c>
    </row>
    <row r="36" spans="1:14" x14ac:dyDescent="0.25">
      <c r="A36">
        <v>20000</v>
      </c>
      <c r="E36" s="6">
        <f t="shared" si="0"/>
        <v>9575000</v>
      </c>
      <c r="F36" s="6"/>
      <c r="G36" s="6"/>
      <c r="I36" s="4">
        <v>0.4</v>
      </c>
      <c r="J36" s="7">
        <f t="shared" si="1"/>
        <v>13405000</v>
      </c>
      <c r="K36" s="7">
        <f t="shared" si="2"/>
        <v>3830000</v>
      </c>
      <c r="L36" s="4">
        <f t="shared" si="3"/>
        <v>0.2857142857142857</v>
      </c>
      <c r="N36" s="7">
        <f t="shared" si="4"/>
        <v>670.25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F5"/>
  <sheetViews>
    <sheetView workbookViewId="0">
      <selection activeCell="M28" sqref="M28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6" x14ac:dyDescent="0.25">
      <c r="B2" t="str">
        <f t="array" ref="B2:F5">DanhSachMayIn()</f>
        <v>ma</v>
      </c>
      <c r="C2" t="str">
        <v>ten_may</v>
      </c>
      <c r="D2" t="str">
        <v>bhr</v>
      </c>
      <c r="E2" t="str">
        <v>thoi_gian_chuan_bi</v>
      </c>
      <c r="F2" t="str">
        <v>to_do_co_so</v>
      </c>
    </row>
    <row r="3" spans="2:6" x14ac:dyDescent="0.25">
      <c r="B3" t="str">
        <v>MI01</v>
      </c>
      <c r="C3" t="str">
        <v>Máy 03 001</v>
      </c>
      <c r="D3">
        <v>450000</v>
      </c>
      <c r="E3">
        <v>8.3333333333333329E-2</v>
      </c>
      <c r="F3">
        <v>0</v>
      </c>
    </row>
    <row r="4" spans="2:6" x14ac:dyDescent="0.25">
      <c r="B4" t="str">
        <v>MI02</v>
      </c>
      <c r="C4" t="str">
        <v>Máy 03 002</v>
      </c>
      <c r="D4">
        <v>500000</v>
      </c>
      <c r="E4">
        <v>8.3333333333333329E-2</v>
      </c>
      <c r="F4">
        <v>0</v>
      </c>
    </row>
    <row r="5" spans="2:6" x14ac:dyDescent="0.25">
      <c r="B5" t="str">
        <v>MI03</v>
      </c>
      <c r="C5" t="str">
        <v>Máy 03 003</v>
      </c>
      <c r="D5">
        <v>600000</v>
      </c>
      <c r="E5">
        <v>8.3333333333333329E-2</v>
      </c>
      <c r="F5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H27"/>
  <sheetViews>
    <sheetView tabSelected="1" workbookViewId="0">
      <selection activeCell="D9" sqref="D9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8" x14ac:dyDescent="0.25">
      <c r="A1" s="1" t="s">
        <v>168</v>
      </c>
      <c r="B1" t="s">
        <v>180</v>
      </c>
      <c r="C1" t="s">
        <v>184</v>
      </c>
    </row>
    <row r="2" spans="1:8" ht="30" x14ac:dyDescent="0.25">
      <c r="A2" t="s">
        <v>169</v>
      </c>
      <c r="B2" t="s">
        <v>170</v>
      </c>
      <c r="D2" s="2" t="s">
        <v>181</v>
      </c>
      <c r="E2" t="s">
        <v>182</v>
      </c>
    </row>
    <row r="3" spans="1:8" x14ac:dyDescent="0.25">
      <c r="A3" t="s">
        <v>171</v>
      </c>
      <c r="B3" t="s">
        <v>174</v>
      </c>
      <c r="C3">
        <v>24</v>
      </c>
      <c r="D3" s="25">
        <v>1000</v>
      </c>
      <c r="E3" s="27">
        <f>D3/C3</f>
        <v>41.666666666666664</v>
      </c>
    </row>
    <row r="4" spans="1:8" x14ac:dyDescent="0.25">
      <c r="A4" t="s">
        <v>172</v>
      </c>
      <c r="B4" t="s">
        <v>173</v>
      </c>
    </row>
    <row r="5" spans="1:8" x14ac:dyDescent="0.25">
      <c r="A5" t="s">
        <v>175</v>
      </c>
      <c r="B5">
        <v>2</v>
      </c>
    </row>
    <row r="6" spans="1:8" x14ac:dyDescent="0.25">
      <c r="A6" t="s">
        <v>176</v>
      </c>
      <c r="B6">
        <v>2</v>
      </c>
      <c r="D6" t="s">
        <v>179</v>
      </c>
    </row>
    <row r="7" spans="1:8" x14ac:dyDescent="0.25">
      <c r="A7" t="s">
        <v>177</v>
      </c>
      <c r="B7">
        <v>10</v>
      </c>
      <c r="C7">
        <v>15</v>
      </c>
      <c r="D7">
        <f xml:space="preserve"> B7*C7</f>
        <v>150</v>
      </c>
    </row>
    <row r="8" spans="1:8" x14ac:dyDescent="0.25">
      <c r="A8" t="s">
        <v>178</v>
      </c>
      <c r="B8">
        <v>10</v>
      </c>
      <c r="C8">
        <v>15</v>
      </c>
      <c r="D8">
        <f xml:space="preserve"> B8*C8</f>
        <v>150</v>
      </c>
      <c r="E8" t="s">
        <v>185</v>
      </c>
      <c r="F8" t="s">
        <v>186</v>
      </c>
      <c r="G8" t="s">
        <v>187</v>
      </c>
    </row>
    <row r="9" spans="1:8" x14ac:dyDescent="0.25">
      <c r="D9">
        <f>SUM(D7:D8)</f>
        <v>300</v>
      </c>
      <c r="E9" t="s">
        <v>164</v>
      </c>
      <c r="F9">
        <v>850</v>
      </c>
      <c r="G9">
        <v>1</v>
      </c>
      <c r="H9" s="29">
        <f>(G9*D9)*F9</f>
        <v>255000</v>
      </c>
    </row>
    <row r="10" spans="1:8" x14ac:dyDescent="0.25">
      <c r="H10" s="29"/>
    </row>
    <row r="11" spans="1:8" ht="30" x14ac:dyDescent="0.25">
      <c r="B11" t="s">
        <v>208</v>
      </c>
      <c r="C11" t="s">
        <v>209</v>
      </c>
      <c r="D11" s="2" t="s">
        <v>210</v>
      </c>
      <c r="E11" t="s">
        <v>189</v>
      </c>
      <c r="F11" t="s">
        <v>190</v>
      </c>
      <c r="G11" t="s">
        <v>191</v>
      </c>
      <c r="H11" s="29"/>
    </row>
    <row r="12" spans="1:8" x14ac:dyDescent="0.25">
      <c r="A12" t="s">
        <v>188</v>
      </c>
      <c r="B12">
        <v>52</v>
      </c>
      <c r="C12">
        <v>5</v>
      </c>
      <c r="D12">
        <f xml:space="preserve"> B12*C12</f>
        <v>260</v>
      </c>
      <c r="E12" t="s">
        <v>160</v>
      </c>
      <c r="F12">
        <v>0.34</v>
      </c>
      <c r="G12" s="26">
        <f>($D$3*C3)/6</f>
        <v>4000</v>
      </c>
      <c r="H12" s="29">
        <f>(G12*D12)*F12</f>
        <v>353600</v>
      </c>
    </row>
    <row r="13" spans="1:8" x14ac:dyDescent="0.25">
      <c r="G13" s="26"/>
      <c r="H13" s="29"/>
    </row>
    <row r="14" spans="1:8" x14ac:dyDescent="0.25">
      <c r="A14" t="s">
        <v>197</v>
      </c>
      <c r="B14" t="s">
        <v>198</v>
      </c>
      <c r="C14" t="s">
        <v>200</v>
      </c>
      <c r="G14" s="26"/>
      <c r="H14" s="29"/>
    </row>
    <row r="15" spans="1:8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201</v>
      </c>
      <c r="D17" s="26">
        <f>D3</f>
        <v>1000</v>
      </c>
    </row>
    <row r="18" spans="1:4" x14ac:dyDescent="0.25">
      <c r="C18" t="s">
        <v>193</v>
      </c>
      <c r="D18" t="s">
        <v>183</v>
      </c>
    </row>
    <row r="19" spans="1:4" x14ac:dyDescent="0.25">
      <c r="A19" t="s">
        <v>202</v>
      </c>
      <c r="C19">
        <v>1</v>
      </c>
      <c r="D19" s="28">
        <f xml:space="preserve"> PhiMayEpKimTuDong(D17*$C19)</f>
        <v>583333.33330000006</v>
      </c>
    </row>
    <row r="20" spans="1:4" x14ac:dyDescent="0.25">
      <c r="A20" t="s">
        <v>194</v>
      </c>
      <c r="D20" s="7">
        <f>H9 + 100000</f>
        <v>355000</v>
      </c>
    </row>
    <row r="21" spans="1:4" x14ac:dyDescent="0.25">
      <c r="A21" t="s">
        <v>192</v>
      </c>
      <c r="D21" s="30">
        <f>H12</f>
        <v>353600</v>
      </c>
    </row>
    <row r="22" spans="1:4" x14ac:dyDescent="0.25">
      <c r="A22" t="s">
        <v>195</v>
      </c>
      <c r="D22" s="30">
        <v>200000</v>
      </c>
    </row>
    <row r="23" spans="1:4" x14ac:dyDescent="0.25">
      <c r="A23" t="s">
        <v>196</v>
      </c>
      <c r="B23" t="s">
        <v>199</v>
      </c>
      <c r="C23">
        <f>D17/$B$15</f>
        <v>3.3333333333333335</v>
      </c>
      <c r="D23" s="30">
        <f>PhiCatGiay(C23,$C$15)</f>
        <v>41666.666700000002</v>
      </c>
    </row>
    <row r="24" spans="1:4" x14ac:dyDescent="0.25">
      <c r="C24" t="s">
        <v>151</v>
      </c>
      <c r="D24" s="30">
        <f>SUM(D19:D23)</f>
        <v>1533600</v>
      </c>
    </row>
    <row r="25" spans="1:4" x14ac:dyDescent="0.25">
      <c r="C25" t="s">
        <v>203</v>
      </c>
      <c r="D25" s="31">
        <v>0.33300000000000002</v>
      </c>
    </row>
    <row r="26" spans="1:4" x14ac:dyDescent="0.25">
      <c r="C26" t="s">
        <v>204</v>
      </c>
      <c r="D26" s="7">
        <f>D24/(1-D25)</f>
        <v>2299250.3748125937</v>
      </c>
    </row>
    <row r="27" spans="1:4" x14ac:dyDescent="0.25">
      <c r="C27" t="s">
        <v>207</v>
      </c>
      <c r="D27" s="7">
        <f>D26/(D17*6)</f>
        <v>383.20839580209895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M28" sqref="M28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 t="shared" ref="D5:D6" si="0">5/60</f>
        <v>8.3333333333333329E-2</v>
      </c>
      <c r="G5" t="str">
        <f t="shared" ref="G5:G11" si="1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 t="shared" si="0"/>
        <v>8.3333333333333329E-2</v>
      </c>
      <c r="G6" t="str">
        <f t="shared" si="1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1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1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1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1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1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2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2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2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2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2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2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2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M4"/>
  <sheetViews>
    <sheetView workbookViewId="0">
      <selection activeCell="N4" sqref="N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</cols>
  <sheetData>
    <row r="1" spans="1:13" x14ac:dyDescent="0.25">
      <c r="A1" s="1" t="s">
        <v>155</v>
      </c>
      <c r="F1" s="1" t="s">
        <v>157</v>
      </c>
      <c r="K1" s="1" t="s">
        <v>158</v>
      </c>
    </row>
    <row r="2" spans="1:13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</row>
    <row r="3" spans="1:13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</row>
    <row r="4" spans="1:13" x14ac:dyDescent="0.25">
      <c r="K4" t="s">
        <v>162</v>
      </c>
      <c r="L4" t="s">
        <v>163</v>
      </c>
      <c r="M4">
        <f>5500/10000</f>
        <v>0.55000000000000004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9" sqref="C9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205</v>
      </c>
      <c r="C2" s="32" t="s">
        <v>206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15</vt:i4>
      </vt:variant>
      <vt:variant>
        <vt:lpstr>Phạm vi Có tên</vt:lpstr>
      </vt:variant>
      <vt:variant>
        <vt:i4>5</vt:i4>
      </vt:variant>
    </vt:vector>
  </HeadingPairs>
  <TitlesOfParts>
    <vt:vector size="20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Sheet1</vt:lpstr>
      <vt:lpstr>BaiCMYK</vt:lpstr>
      <vt:lpstr>Base-MayIn</vt:lpstr>
      <vt:lpstr>NguyenVatLieu</vt:lpstr>
      <vt:lpstr>Base-Margin</vt:lpstr>
      <vt:lpstr>GIA_KHUON_EP_KIM</vt:lpstr>
      <vt:lpstr>GIA_MANG</vt:lpstr>
      <vt:lpstr>GIA_NHU_EP_KIM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2019-05-24T05:04:25Z</dcterms:modified>
</cp:coreProperties>
</file>