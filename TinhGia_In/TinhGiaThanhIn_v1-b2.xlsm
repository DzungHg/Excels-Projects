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filterPrivacy="1" codeName="Sô_la_mviê_cNa_y"/>
  <xr:revisionPtr revIDLastSave="0" documentId="13_ncr:1_{8087755A-B5A2-4D33-88B5-2FB50305757C}" xr6:coauthVersionLast="44" xr6:coauthVersionMax="44" xr10:uidLastSave="{00000000-0000-0000-0000-000000000000}"/>
  <bookViews>
    <workbookView xWindow="0" yWindow="390" windowWidth="28800" windowHeight="15750" firstSheet="15" activeTab="17" xr2:uid="{00000000-000D-0000-FFFF-FFFF00000000}"/>
  </bookViews>
  <sheets>
    <sheet name="In-Toner" sheetId="2" r:id="rId1"/>
    <sheet name="BaiCMYK" sheetId="14" r:id="rId2"/>
    <sheet name="SP-ToRoi-A4" sheetId="17" r:id="rId3"/>
    <sheet name="Test" sheetId="11" r:id="rId4"/>
    <sheet name="SP-Cata-Ruot-A4" sheetId="38" r:id="rId5"/>
    <sheet name="SP-Cata-A4-Kim" sheetId="37" r:id="rId6"/>
    <sheet name="SP-Cata-A4-Keo" sheetId="39" r:id="rId7"/>
    <sheet name="Menu-LXo-10x19" sheetId="45" r:id="rId8"/>
    <sheet name="Menu-LX-15x19" sheetId="46" r:id="rId9"/>
    <sheet name="Menu-LX-19x30" sheetId="47" r:id="rId10"/>
    <sheet name="Menu-LX-15x34" sheetId="48" r:id="rId11"/>
    <sheet name="Menu-LX-10x19-v2" sheetId="56" r:id="rId12"/>
    <sheet name="Menu-LX-DongCuon" sheetId="57" r:id="rId13"/>
    <sheet name="Menu-LX-15x19-v2" sheetId="55" r:id="rId14"/>
    <sheet name="Menu-LX-19x30_v2" sheetId="54" r:id="rId15"/>
    <sheet name="Menu-LX-15x34_v2" sheetId="53" r:id="rId16"/>
    <sheet name="Menu-BiaCungVit-Ruot" sheetId="49" r:id="rId17"/>
    <sheet name="Menu-BatVit-Zen-TheoNhuCau" sheetId="59" r:id="rId18"/>
    <sheet name="Menu-BatVit-LamBiaCung-TheoNhuC" sheetId="60" r:id="rId19"/>
    <sheet name="Menu-BiaCungVit-Bia" sheetId="50" r:id="rId20"/>
    <sheet name="Menu-MoPhang-Ruot" sheetId="51" r:id="rId21"/>
    <sheet name="Menu-MoPhang-Bia" sheetId="52" r:id="rId22"/>
    <sheet name="Base-MayIn" sheetId="10" r:id="rId23"/>
    <sheet name="NguyenVatLieu" sheetId="13" r:id="rId24"/>
    <sheet name="Base-Margin" sheetId="15" r:id="rId25"/>
  </sheets>
  <functionGroups builtInGroupCount="19"/>
  <definedNames>
    <definedName name="atools_list_filter_1" localSheetId="1" hidden="1">BaiCMYK!$E$8:$F$9</definedName>
    <definedName name="atools_list_filter_1" localSheetId="16" hidden="1">'Menu-BiaCungVit-Ruot'!$B$21:$D$21</definedName>
    <definedName name="atools_list_filter_1" localSheetId="7" hidden="1">'Menu-LXo-10x19'!$A$13:$D$13</definedName>
    <definedName name="atools_list_filter_1" localSheetId="21" hidden="1">'Menu-MoPhang-Bia'!$B$19:$D$19</definedName>
    <definedName name="atools_list_filter_1" localSheetId="20" hidden="1">'Menu-MoPhang-Ruot'!$B$19:$D$19</definedName>
    <definedName name="atools_list_filter_1" localSheetId="6" hidden="1">'SP-Cata-A4-Keo'!$A$9:$D$10</definedName>
    <definedName name="atools_list_filter_1" localSheetId="5" hidden="1">'SP-Cata-A4-Kim'!$B$9:$D$11</definedName>
    <definedName name="atools_list_filter_1" localSheetId="4" hidden="1">'SP-Cata-Ruot-A4'!$B$9:$D$9</definedName>
    <definedName name="atools_list_filter_1" localSheetId="2" hidden="1">'SP-ToRoi-A4'!$B$21:$D$21</definedName>
    <definedName name="atools_list_filter_1_colinvisibles_ext" localSheetId="1" hidden="1">""</definedName>
    <definedName name="atools_list_filter_1_colinvisibles_ext" localSheetId="16" hidden="1">";;"</definedName>
    <definedName name="atools_list_filter_1_colinvisibles_ext" localSheetId="7" hidden="1">";;;"</definedName>
    <definedName name="atools_list_filter_1_colinvisibles_ext" localSheetId="21" hidden="1">";;"</definedName>
    <definedName name="atools_list_filter_1_colinvisibles_ext" localSheetId="20" hidden="1">";;"</definedName>
    <definedName name="atools_list_filter_1_colinvisibles_ext" localSheetId="6" hidden="1">";;"</definedName>
    <definedName name="atools_list_filter_1_colinvisibles_ext" localSheetId="5" hidden="1">";;"</definedName>
    <definedName name="atools_list_filter_1_colinvisibles_ext" localSheetId="4" hidden="1">";;"</definedName>
    <definedName name="atools_list_filter_1_colinvisibles_ext" localSheetId="2" hidden="1">";;"</definedName>
    <definedName name="atools_list_filter_1_colsrcidxs_ext" localSheetId="1" hidden="1">"1;3"</definedName>
    <definedName name="atools_list_filter_1_colsrcidxs_ext" localSheetId="16" hidden="1">"1;2;3"</definedName>
    <definedName name="atools_list_filter_1_colsrcidxs_ext" localSheetId="7" hidden="1">"1;2;3;4"</definedName>
    <definedName name="atools_list_filter_1_colsrcidxs_ext" localSheetId="21" hidden="1">"1;2;3"</definedName>
    <definedName name="atools_list_filter_1_colsrcidxs_ext" localSheetId="20" hidden="1">"1;2;3"</definedName>
    <definedName name="atools_list_filter_1_colsrcidxs_ext" localSheetId="6" hidden="1">"1;2;3;4"</definedName>
    <definedName name="atools_list_filter_1_colsrcidxs_ext" localSheetId="5" hidden="1">"1;2;3"</definedName>
    <definedName name="atools_list_filter_1_colsrcidxs_ext" localSheetId="4" hidden="1">"1;2;3"</definedName>
    <definedName name="atools_list_filter_1_colsrcidxs_ext" localSheetId="2" hidden="1">"1;2;3"</definedName>
    <definedName name="atools_list_filter_1_colwidths_ext" localSheetId="1" hidden="1">""</definedName>
    <definedName name="atools_list_filter_1_colwidths_ext" localSheetId="16" hidden="1">"77;96;88"</definedName>
    <definedName name="atools_list_filter_1_colwidths_ext" localSheetId="7" hidden="1">"92;76;71;80"</definedName>
    <definedName name="atools_list_filter_1_colwidths_ext" localSheetId="21" hidden="1">"88;96;84"</definedName>
    <definedName name="atools_list_filter_1_colwidths_ext" localSheetId="20" hidden="1">"88;96;84"</definedName>
    <definedName name="atools_list_filter_1_colwidths_ext" localSheetId="6" hidden="1">"88;96;84"</definedName>
    <definedName name="atools_list_filter_1_colwidths_ext" localSheetId="5" hidden="1">"88;96;84"</definedName>
    <definedName name="atools_list_filter_1_colwidths_ext" localSheetId="4" hidden="1">"88;96;84"</definedName>
    <definedName name="atools_list_filter_1_colwidths_ext" localSheetId="2" hidden="1">"88;96;84"</definedName>
    <definedName name="atools_list_filter_1_onrangeaddr" localSheetId="1" hidden="1">"$E$8:$F$9"</definedName>
    <definedName name="atools_list_filter_1_onrangeaddr" localSheetId="16" hidden="1">"='Menu-BiaCungVit-Ruot'!$B$21:$D$21"</definedName>
    <definedName name="atools_list_filter_1_onrangeaddr" localSheetId="7" hidden="1">"='Menu-LXo'!$A$13:$D$13"</definedName>
    <definedName name="atools_list_filter_1_onrangeaddr" localSheetId="21" hidden="1">"='Menu-MoPhang-Bia'!$B$19:$D$19"</definedName>
    <definedName name="atools_list_filter_1_onrangeaddr" localSheetId="20" hidden="1">"='Menu-MoPhang-Ruot'!$B$19:$D$19"</definedName>
    <definedName name="atools_list_filter_1_onrangeaddr" localSheetId="6" hidden="1">"='SP-Cata-A4-Keo'!$A$9:$D$10"</definedName>
    <definedName name="atools_list_filter_1_onrangeaddr" localSheetId="5" hidden="1">"='SP-Cata-A4-Kim'!$B$9:$D$11"</definedName>
    <definedName name="atools_list_filter_1_onrangeaddr" localSheetId="4" hidden="1">"='SP-Cata-Ruot-A4'!$B$9:$D$9"</definedName>
    <definedName name="atools_list_filter_1_onrangeaddr" localSheetId="2" hidden="1">"='SP-ToRoi-A4'!$B$12:$D$12"</definedName>
    <definedName name="atools_list_filter_1_pos_ext" localSheetId="1" hidden="1">""</definedName>
    <definedName name="atools_list_filter_1_pos_ext" localSheetId="16" hidden="1">"0;1;2"</definedName>
    <definedName name="atools_list_filter_1_pos_ext" localSheetId="7" hidden="1">"0;1;2;3"</definedName>
    <definedName name="atools_list_filter_1_pos_ext" localSheetId="21" hidden="1">"0;1;2"</definedName>
    <definedName name="atools_list_filter_1_pos_ext" localSheetId="20" hidden="1">"0;1;2"</definedName>
    <definedName name="atools_list_filter_1_pos_ext" localSheetId="6" hidden="1">"0;1;2"</definedName>
    <definedName name="atools_list_filter_1_pos_ext" localSheetId="5" hidden="1">"0;1;2"</definedName>
    <definedName name="atools_list_filter_1_pos_ext" localSheetId="4" hidden="1">"0;1;2"</definedName>
    <definedName name="atools_list_filter_1_pos_ext" localSheetId="2" hidden="1">"0;1;2"</definedName>
    <definedName name="atools_list_filter_1_proper" localSheetId="1" hidden="1">"1|1|0|0|0|||0|0||0|,||1||1||0|18|0|2.0|1|1|1|0"</definedName>
    <definedName name="atools_list_filter_1_proper" localSheetId="16" hidden="1">"1|1|0|0|0|||301|72||0|,||1||0||0|18|185|2.0|1|1|1|0"</definedName>
    <definedName name="atools_list_filter_1_proper" localSheetId="7" hidden="1">"1|1|0|0|0|||365|126||0|,||1||0||0|18|185|2.0|1|1|1|0"</definedName>
    <definedName name="atools_list_filter_1_proper" localSheetId="21" hidden="1">"1|1|0|0|0|||322|133||0|,||1||0||0|18|185|2.0|1|1|1|0"</definedName>
    <definedName name="atools_list_filter_1_proper" localSheetId="20" hidden="1">"1|1|0|0|0|||324|118||0|,||1||0||0|18|185|2.0|1|1|1|0"</definedName>
    <definedName name="atools_list_filter_1_proper" localSheetId="6" hidden="1">"1|1|0|0|0|||305|309||0|,||1||0||0|18|185|2.0|1|1|1|0"</definedName>
    <definedName name="atools_list_filter_1_proper" localSheetId="5" hidden="1">"1|1|1|0|0|||305|309||0|,||1||0||0|18|185|2.0|1|1|1|0"</definedName>
    <definedName name="atools_list_filter_1_proper" localSheetId="4" hidden="1">"1|1|0|0|0|||305|309||0|,||1||0||0|18|185|2.0|1|1|1|0"</definedName>
    <definedName name="atools_list_filter_1_proper" localSheetId="2" hidden="1">"1|1|0|0|0|||305|309||0|,||1||0||0|18|185|2.0|1|1|1|0"</definedName>
    <definedName name="atools_list_filter_1_source" localSheetId="1" hidden="1">GIA_KHUON_EP_KIM</definedName>
    <definedName name="atools_list_filter_1_source" localSheetId="16" hidden="1">GIA_MANG</definedName>
    <definedName name="atools_list_filter_1_source" localSheetId="7" hidden="1">KHO_CAT_SAN_PHAM</definedName>
    <definedName name="atools_list_filter_1_source" localSheetId="21" hidden="1">GIA_GIAY_CO_BAN</definedName>
    <definedName name="atools_list_filter_1_source" localSheetId="20" hidden="1">GIA_GIAY_CO_BAN</definedName>
    <definedName name="atools_list_filter_1_source" localSheetId="6" hidden="1">GIA_GIAY_CO_BAN</definedName>
    <definedName name="atools_list_filter_1_source" localSheetId="5" hidden="1">GIA_GIAY_CO_BAN</definedName>
    <definedName name="atools_list_filter_1_source" localSheetId="4" hidden="1">GIA_GIAY_CO_BAN</definedName>
    <definedName name="atools_list_filter_1_source" localSheetId="2" hidden="1">GIA_GIAY_CO_BAN</definedName>
    <definedName name="atools_list_filter_1_sourceaddr" localSheetId="1" hidden="1">"GIA_KHUON_EP_KIM"</definedName>
    <definedName name="atools_list_filter_1_sourceaddr" localSheetId="16" hidden="1">"=GIA_MANG"</definedName>
    <definedName name="atools_list_filter_1_sourceaddr" localSheetId="7" hidden="1">"=KHO_CAT_SAN_PHAM"</definedName>
    <definedName name="atools_list_filter_1_sourceaddr" localSheetId="21" hidden="1">"=GIA_GIAY_CO_BAN"</definedName>
    <definedName name="atools_list_filter_1_sourceaddr" localSheetId="20" hidden="1">"=GIA_GIAY_CO_BAN"</definedName>
    <definedName name="atools_list_filter_1_sourceaddr" localSheetId="6" hidden="1">"=GIA_GIAY_CO_BAN"</definedName>
    <definedName name="atools_list_filter_1_sourceaddr" localSheetId="5" hidden="1">"=GIA_GIAY_CO_BAN"</definedName>
    <definedName name="atools_list_filter_1_sourceaddr" localSheetId="4" hidden="1">"=GIA_GIAY_CO_BAN"</definedName>
    <definedName name="atools_list_filter_1_sourceaddr" localSheetId="2" hidden="1">"=GIA_GIAY_CO_BAN"</definedName>
    <definedName name="atools_list_filter_8" localSheetId="1" hidden="1">BaiCMYK!$E$12:$F$12</definedName>
    <definedName name="atools_list_filter_8" localSheetId="7" hidden="1">'Menu-LXo-10x19'!$B$19:$D$19</definedName>
    <definedName name="atools_list_filter_8_colinvisibles_ext" localSheetId="1" hidden="1">";;"</definedName>
    <definedName name="atools_list_filter_8_colinvisibles_ext" localSheetId="7" hidden="1">";;"</definedName>
    <definedName name="atools_list_filter_8_colsrcidxs_ext" localSheetId="1" hidden="1">"1;3"</definedName>
    <definedName name="atools_list_filter_8_colsrcidxs_ext" localSheetId="7" hidden="1">"1;2;3"</definedName>
    <definedName name="atools_list_filter_8_colwidths_ext" localSheetId="1" hidden="1">"103;96;93"</definedName>
    <definedName name="atools_list_filter_8_colwidths_ext" localSheetId="7" hidden="1">"88;96;84"</definedName>
    <definedName name="atools_list_filter_8_onrangeaddr" localSheetId="1" hidden="1">"=BaiCMYK!$E$12:$F$12"</definedName>
    <definedName name="atools_list_filter_8_onrangeaddr" localSheetId="7" hidden="1">"='Menu-LXo'!$B$19:$D$19"</definedName>
    <definedName name="atools_list_filter_8_pos_ext" localSheetId="1" hidden="1">"0;1;2"</definedName>
    <definedName name="atools_list_filter_8_pos_ext" localSheetId="7" hidden="1">"0;1;2"</definedName>
    <definedName name="atools_list_filter_8_proper" localSheetId="1" hidden="1">"1|1|0|0|0|||329|309||0|,||1||0||0|18|185|2.0|1|1|1|0"</definedName>
    <definedName name="atools_list_filter_8_proper" localSheetId="7" hidden="1">"1|1|0|0|0|||333|153||0|,||1||0||0|18|185|2.0|1|1|1|0"</definedName>
    <definedName name="atools_list_filter_8_source" localSheetId="1" hidden="1">GIA_NHU_EP_KIM</definedName>
    <definedName name="atools_list_filter_8_source" localSheetId="7" hidden="1">GIA_GIAY_CO_BAN</definedName>
    <definedName name="atools_list_filter_8_sourceaddr" localSheetId="1" hidden="1">"=GIA_NHU_EP_KIM"</definedName>
    <definedName name="atools_list_filter_8_sourceaddr" localSheetId="7" hidden="1">"=GIA_GIAY_CO_BAN"</definedName>
    <definedName name="GIA_DECAL_GIAY_VUONG">#REF!</definedName>
    <definedName name="GIA_GIAY_CO_BAN">NguyenVatLieu!$P$2:$R$50</definedName>
    <definedName name="GIA_KHUON_EP_KIM">NguyenVatLieu!$F$2:$H$4</definedName>
    <definedName name="GIA_MANG">NguyenVatLieu!$A$2:$C$4</definedName>
    <definedName name="GIA_NHU_EP_KIM">NguyenVatLieu!$K$2:$M$5</definedName>
    <definedName name="KHO_CAT_SAN_PHAM">'Base-MayIn'!$O$3:$R$19</definedName>
    <definedName name="MARKUP_MARGIN">'Base-Margin'!$B$2:$C$12</definedName>
    <definedName name="MAY_IN_KTS">'Base-MayIn'!$A$3:$E$6</definedName>
    <definedName name="TO_CHAY_MAY_IN_KTS">'Base-MayIn'!$G$3:$L$19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3" i="59" l="1"/>
  <c r="B2" i="11" a="1"/>
  <c r="G8" i="11" a="1"/>
  <c r="G26" i="59"/>
  <c r="C2" i="11" l="1"/>
  <c r="B3" i="11"/>
  <c r="F3" i="11"/>
  <c r="E4" i="11"/>
  <c r="D5" i="11"/>
  <c r="E2" i="11"/>
  <c r="D3" i="11"/>
  <c r="C4" i="11"/>
  <c r="B5" i="11"/>
  <c r="F5" i="11"/>
  <c r="B2" i="11"/>
  <c r="F2" i="11"/>
  <c r="E3" i="11"/>
  <c r="D4" i="11"/>
  <c r="C5" i="11"/>
  <c r="D2" i="11"/>
  <c r="C3" i="11"/>
  <c r="B4" i="11"/>
  <c r="F4" i="11"/>
  <c r="E5" i="11"/>
  <c r="H8" i="11"/>
  <c r="G9" i="11"/>
  <c r="K9" i="11"/>
  <c r="J10" i="11"/>
  <c r="I11" i="11"/>
  <c r="J8" i="11"/>
  <c r="I9" i="11"/>
  <c r="H10" i="11"/>
  <c r="G11" i="11"/>
  <c r="K11" i="11"/>
  <c r="G8" i="11"/>
  <c r="K8" i="11"/>
  <c r="J9" i="11"/>
  <c r="I10" i="11"/>
  <c r="H11" i="11"/>
  <c r="I8" i="11"/>
  <c r="H9" i="11"/>
  <c r="G10" i="11"/>
  <c r="K10" i="11"/>
  <c r="J11" i="11"/>
  <c r="I31" i="60"/>
  <c r="G31" i="60"/>
  <c r="I25" i="60"/>
  <c r="G25" i="60"/>
  <c r="E25" i="60"/>
  <c r="E19" i="60"/>
  <c r="G13" i="60"/>
  <c r="J13" i="60" s="1"/>
  <c r="F13" i="60"/>
  <c r="I13" i="60" s="1"/>
  <c r="B25" i="59"/>
  <c r="E19" i="59"/>
  <c r="G13" i="59"/>
  <c r="F13" i="59"/>
  <c r="F26" i="59"/>
  <c r="E26" i="59"/>
  <c r="G26" i="60"/>
  <c r="E26" i="60"/>
  <c r="E35" i="60"/>
  <c r="E27" i="60"/>
  <c r="I27" i="60"/>
  <c r="I29" i="60"/>
  <c r="E29" i="60"/>
  <c r="I32" i="60"/>
  <c r="D16" i="59"/>
  <c r="I35" i="60"/>
  <c r="G32" i="60"/>
  <c r="G35" i="60"/>
  <c r="G29" i="60"/>
  <c r="M12" i="60"/>
  <c r="G25" i="59" l="1"/>
  <c r="E28" i="60"/>
  <c r="E30" i="60"/>
  <c r="E33" i="60" s="1"/>
  <c r="I28" i="60"/>
  <c r="I30" i="60" s="1"/>
  <c r="I33" i="60" s="1"/>
  <c r="G28" i="60"/>
  <c r="E25" i="59"/>
  <c r="I25" i="59"/>
  <c r="F25" i="59"/>
  <c r="G29" i="59"/>
  <c r="G27" i="59"/>
  <c r="G30" i="59"/>
  <c r="F27" i="59"/>
  <c r="E30" i="59"/>
  <c r="E29" i="59"/>
  <c r="F30" i="59"/>
  <c r="E42" i="50"/>
  <c r="F39" i="50"/>
  <c r="I36" i="60"/>
  <c r="E39" i="50"/>
  <c r="E34" i="50"/>
  <c r="F29" i="59"/>
  <c r="E36" i="60"/>
  <c r="I39" i="50"/>
  <c r="G39" i="50"/>
  <c r="E27" i="59"/>
  <c r="H39" i="50"/>
  <c r="G27" i="60"/>
  <c r="I30" i="59"/>
  <c r="G28" i="59" l="1"/>
  <c r="G31" i="59" s="1"/>
  <c r="F28" i="59"/>
  <c r="F31" i="59" s="1"/>
  <c r="E28" i="59"/>
  <c r="E31" i="59" s="1"/>
  <c r="G30" i="60"/>
  <c r="G33" i="60" s="1"/>
  <c r="I28" i="59"/>
  <c r="G32" i="59"/>
  <c r="I38" i="60"/>
  <c r="I29" i="59"/>
  <c r="G36" i="60"/>
  <c r="F32" i="59"/>
  <c r="E38" i="60"/>
  <c r="I27" i="59"/>
  <c r="E32" i="59"/>
  <c r="G35" i="59" l="1"/>
  <c r="G37" i="59" s="1"/>
  <c r="F33" i="59"/>
  <c r="F35" i="59"/>
  <c r="F37" i="59" s="1"/>
  <c r="E35" i="59"/>
  <c r="I26" i="57"/>
  <c r="H26" i="57"/>
  <c r="G26" i="57"/>
  <c r="F26" i="57"/>
  <c r="E26" i="57"/>
  <c r="I32" i="59"/>
  <c r="G38" i="60"/>
  <c r="E19" i="57" l="1"/>
  <c r="I13" i="57"/>
  <c r="G13" i="57"/>
  <c r="J13" i="57" s="1"/>
  <c r="F13" i="57"/>
  <c r="I25" i="57"/>
  <c r="G25" i="57"/>
  <c r="F25" i="57"/>
  <c r="E25" i="57"/>
  <c r="H25" i="57"/>
  <c r="M12" i="57"/>
  <c r="H27" i="57" l="1"/>
  <c r="H28" i="57" s="1"/>
  <c r="G27" i="57"/>
  <c r="G28" i="57" s="1"/>
  <c r="F27" i="57"/>
  <c r="F28" i="57" s="1"/>
  <c r="E27" i="57"/>
  <c r="E28" i="57" s="1"/>
  <c r="I27" i="57"/>
  <c r="I28" i="57" s="1"/>
  <c r="B67" i="56" l="1"/>
  <c r="B60" i="56"/>
  <c r="B53" i="56"/>
  <c r="B46" i="56"/>
  <c r="B39" i="56"/>
  <c r="B32" i="56"/>
  <c r="B25" i="56"/>
  <c r="E19" i="56"/>
  <c r="G13" i="56"/>
  <c r="F13" i="56"/>
  <c r="B67" i="55"/>
  <c r="B60" i="55"/>
  <c r="B53" i="55"/>
  <c r="B46" i="55"/>
  <c r="B39" i="55"/>
  <c r="B32" i="55"/>
  <c r="B25" i="55"/>
  <c r="E19" i="55"/>
  <c r="G13" i="55"/>
  <c r="F13" i="55"/>
  <c r="B67" i="54"/>
  <c r="B60" i="54"/>
  <c r="B53" i="54"/>
  <c r="B46" i="54"/>
  <c r="B39" i="54"/>
  <c r="B32" i="54"/>
  <c r="B25" i="54"/>
  <c r="E19" i="54"/>
  <c r="G13" i="54"/>
  <c r="F13" i="54"/>
  <c r="B67" i="53"/>
  <c r="B60" i="53"/>
  <c r="B53" i="53"/>
  <c r="B46" i="53"/>
  <c r="B39" i="53"/>
  <c r="B32" i="53"/>
  <c r="B25" i="53"/>
  <c r="E19" i="53"/>
  <c r="G13" i="53"/>
  <c r="F13" i="53"/>
  <c r="D16" i="56"/>
  <c r="D16" i="55"/>
  <c r="D16" i="53"/>
  <c r="D16" i="54"/>
  <c r="F67" i="56" l="1"/>
  <c r="I60" i="56"/>
  <c r="E60" i="56"/>
  <c r="H53" i="56"/>
  <c r="G46" i="56"/>
  <c r="F39" i="56"/>
  <c r="I32" i="56"/>
  <c r="E32" i="56"/>
  <c r="H25" i="56"/>
  <c r="I67" i="56"/>
  <c r="E67" i="56"/>
  <c r="H60" i="56"/>
  <c r="G53" i="56"/>
  <c r="F46" i="56"/>
  <c r="I39" i="56"/>
  <c r="E39" i="56"/>
  <c r="H32" i="56"/>
  <c r="G25" i="56"/>
  <c r="H67" i="56"/>
  <c r="G60" i="56"/>
  <c r="F53" i="56"/>
  <c r="I46" i="56"/>
  <c r="E46" i="56"/>
  <c r="H39" i="56"/>
  <c r="G32" i="56"/>
  <c r="F25" i="56"/>
  <c r="G67" i="56"/>
  <c r="F60" i="56"/>
  <c r="I53" i="56"/>
  <c r="E53" i="56"/>
  <c r="H46" i="56"/>
  <c r="G39" i="56"/>
  <c r="F32" i="56"/>
  <c r="I25" i="56"/>
  <c r="E25" i="56"/>
  <c r="F67" i="55"/>
  <c r="I60" i="55"/>
  <c r="E60" i="55"/>
  <c r="H53" i="55"/>
  <c r="G46" i="55"/>
  <c r="F39" i="55"/>
  <c r="I32" i="55"/>
  <c r="E32" i="55"/>
  <c r="H25" i="55"/>
  <c r="I53" i="55"/>
  <c r="H46" i="55"/>
  <c r="E25" i="55"/>
  <c r="I67" i="55"/>
  <c r="E67" i="55"/>
  <c r="H60" i="55"/>
  <c r="G53" i="55"/>
  <c r="F46" i="55"/>
  <c r="I39" i="55"/>
  <c r="E39" i="55"/>
  <c r="H32" i="55"/>
  <c r="G25" i="55"/>
  <c r="G60" i="55"/>
  <c r="F53" i="55"/>
  <c r="E46" i="55"/>
  <c r="G32" i="55"/>
  <c r="F25" i="55"/>
  <c r="H67" i="55"/>
  <c r="I46" i="55"/>
  <c r="H39" i="55"/>
  <c r="G67" i="55"/>
  <c r="F60" i="55"/>
  <c r="E53" i="55"/>
  <c r="G39" i="55"/>
  <c r="F32" i="55"/>
  <c r="I25" i="55"/>
  <c r="F67" i="54"/>
  <c r="I60" i="54"/>
  <c r="E60" i="54"/>
  <c r="H53" i="54"/>
  <c r="G46" i="54"/>
  <c r="F39" i="54"/>
  <c r="I32" i="54"/>
  <c r="E32" i="54"/>
  <c r="H25" i="54"/>
  <c r="H67" i="54"/>
  <c r="G60" i="54"/>
  <c r="I46" i="54"/>
  <c r="I67" i="54"/>
  <c r="E67" i="54"/>
  <c r="H60" i="54"/>
  <c r="G53" i="54"/>
  <c r="F46" i="54"/>
  <c r="I39" i="54"/>
  <c r="E39" i="54"/>
  <c r="H32" i="54"/>
  <c r="G25" i="54"/>
  <c r="F53" i="54"/>
  <c r="E46" i="54"/>
  <c r="H39" i="54"/>
  <c r="G32" i="54"/>
  <c r="F25" i="54"/>
  <c r="G67" i="54"/>
  <c r="E25" i="54"/>
  <c r="I53" i="54"/>
  <c r="G39" i="54"/>
  <c r="F60" i="54"/>
  <c r="E53" i="54"/>
  <c r="H46" i="54"/>
  <c r="F32" i="54"/>
  <c r="I25" i="54"/>
  <c r="G67" i="53"/>
  <c r="G60" i="53"/>
  <c r="G53" i="53"/>
  <c r="G46" i="53"/>
  <c r="G39" i="53"/>
  <c r="G32" i="53"/>
  <c r="G25" i="53"/>
  <c r="H67" i="53"/>
  <c r="F67" i="53"/>
  <c r="F60" i="53"/>
  <c r="F53" i="53"/>
  <c r="F46" i="53"/>
  <c r="F39" i="53"/>
  <c r="F32" i="53"/>
  <c r="F25" i="53"/>
  <c r="I67" i="53"/>
  <c r="E67" i="53"/>
  <c r="I60" i="53"/>
  <c r="E60" i="53"/>
  <c r="I53" i="53"/>
  <c r="E53" i="53"/>
  <c r="I46" i="53"/>
  <c r="E46" i="53"/>
  <c r="I39" i="53"/>
  <c r="E39" i="53"/>
  <c r="I32" i="53"/>
  <c r="E32" i="53"/>
  <c r="I25" i="53"/>
  <c r="E25" i="53"/>
  <c r="H60" i="53"/>
  <c r="H53" i="53"/>
  <c r="H46" i="53"/>
  <c r="H39" i="53"/>
  <c r="H32" i="53"/>
  <c r="H25" i="53"/>
  <c r="I30" i="52"/>
  <c r="H30" i="52"/>
  <c r="G30" i="52"/>
  <c r="F30" i="52"/>
  <c r="E30" i="52"/>
  <c r="I25" i="52"/>
  <c r="I27" i="52" s="1"/>
  <c r="H25" i="52"/>
  <c r="G25" i="52"/>
  <c r="F25" i="52"/>
  <c r="F27" i="52" s="1"/>
  <c r="E25" i="52"/>
  <c r="E27" i="52" s="1"/>
  <c r="E19" i="52"/>
  <c r="G13" i="52"/>
  <c r="J13" i="52" s="1"/>
  <c r="F13" i="52"/>
  <c r="I13" i="52" s="1"/>
  <c r="B73" i="51"/>
  <c r="B65" i="51"/>
  <c r="B57" i="51"/>
  <c r="B49" i="51"/>
  <c r="B41" i="51"/>
  <c r="B33" i="51"/>
  <c r="B25" i="51"/>
  <c r="E19" i="51"/>
  <c r="G13" i="51"/>
  <c r="F13" i="51"/>
  <c r="H31" i="52"/>
  <c r="G26" i="52"/>
  <c r="I28" i="52"/>
  <c r="G28" i="52"/>
  <c r="E31" i="52"/>
  <c r="G33" i="52"/>
  <c r="H33" i="52"/>
  <c r="I33" i="52"/>
  <c r="E28" i="52"/>
  <c r="E33" i="52"/>
  <c r="F31" i="52"/>
  <c r="F26" i="52"/>
  <c r="F33" i="52"/>
  <c r="H28" i="52"/>
  <c r="G31" i="52"/>
  <c r="I31" i="52"/>
  <c r="D16" i="51"/>
  <c r="M12" i="52"/>
  <c r="E69" i="56" l="1"/>
  <c r="F62" i="56"/>
  <c r="G62" i="56"/>
  <c r="H62" i="56"/>
  <c r="H55" i="56"/>
  <c r="H48" i="56"/>
  <c r="E48" i="56"/>
  <c r="I41" i="56"/>
  <c r="E62" i="56"/>
  <c r="I27" i="56"/>
  <c r="E55" i="56"/>
  <c r="F27" i="56"/>
  <c r="I48" i="56"/>
  <c r="G27" i="56"/>
  <c r="F48" i="56"/>
  <c r="I69" i="56"/>
  <c r="F41" i="56"/>
  <c r="I62" i="56"/>
  <c r="G41" i="56"/>
  <c r="H41" i="56"/>
  <c r="E41" i="56"/>
  <c r="E34" i="56"/>
  <c r="E27" i="56"/>
  <c r="G69" i="56"/>
  <c r="H69" i="56"/>
  <c r="I34" i="56"/>
  <c r="F34" i="56"/>
  <c r="I55" i="56"/>
  <c r="G34" i="56"/>
  <c r="F55" i="56"/>
  <c r="H34" i="56"/>
  <c r="G55" i="56"/>
  <c r="H27" i="56"/>
  <c r="G48" i="56"/>
  <c r="F69" i="56"/>
  <c r="E55" i="55"/>
  <c r="E48" i="55"/>
  <c r="E34" i="55"/>
  <c r="I48" i="55"/>
  <c r="H34" i="55"/>
  <c r="G55" i="55"/>
  <c r="E27" i="55"/>
  <c r="H55" i="55"/>
  <c r="I27" i="55"/>
  <c r="F62" i="55"/>
  <c r="H69" i="55"/>
  <c r="F55" i="55"/>
  <c r="E41" i="55"/>
  <c r="H62" i="55"/>
  <c r="H48" i="55"/>
  <c r="I34" i="55"/>
  <c r="E62" i="55"/>
  <c r="F34" i="55"/>
  <c r="G69" i="55"/>
  <c r="F27" i="55"/>
  <c r="G62" i="55"/>
  <c r="I41" i="55"/>
  <c r="E69" i="55"/>
  <c r="I55" i="55"/>
  <c r="F41" i="55"/>
  <c r="I62" i="55"/>
  <c r="G41" i="55"/>
  <c r="H41" i="55"/>
  <c r="G34" i="55"/>
  <c r="G27" i="55"/>
  <c r="F48" i="55"/>
  <c r="I69" i="55"/>
  <c r="H27" i="55"/>
  <c r="G48" i="55"/>
  <c r="F69" i="55"/>
  <c r="E27" i="54"/>
  <c r="H34" i="54"/>
  <c r="I48" i="54"/>
  <c r="H55" i="54"/>
  <c r="I27" i="54"/>
  <c r="G69" i="54"/>
  <c r="E41" i="54"/>
  <c r="G62" i="54"/>
  <c r="E62" i="54"/>
  <c r="F34" i="54"/>
  <c r="G41" i="54"/>
  <c r="F27" i="54"/>
  <c r="F55" i="54"/>
  <c r="I41" i="54"/>
  <c r="E69" i="54"/>
  <c r="H69" i="54"/>
  <c r="F41" i="54"/>
  <c r="I62" i="54"/>
  <c r="E55" i="54"/>
  <c r="H41" i="54"/>
  <c r="G55" i="54"/>
  <c r="E34" i="54"/>
  <c r="F62" i="54"/>
  <c r="E48" i="54"/>
  <c r="H62" i="54"/>
  <c r="I34" i="54"/>
  <c r="H48" i="54"/>
  <c r="I55" i="54"/>
  <c r="G34" i="54"/>
  <c r="G27" i="54"/>
  <c r="F48" i="54"/>
  <c r="I69" i="54"/>
  <c r="H27" i="54"/>
  <c r="G48" i="54"/>
  <c r="F69" i="54"/>
  <c r="H48" i="53"/>
  <c r="I27" i="53"/>
  <c r="I41" i="53"/>
  <c r="I55" i="53"/>
  <c r="I69" i="53"/>
  <c r="F48" i="53"/>
  <c r="H69" i="53"/>
  <c r="G48" i="53"/>
  <c r="H27" i="53"/>
  <c r="H55" i="53"/>
  <c r="E34" i="53"/>
  <c r="E48" i="53"/>
  <c r="E62" i="53"/>
  <c r="F27" i="53"/>
  <c r="F55" i="53"/>
  <c r="G27" i="53"/>
  <c r="G55" i="53"/>
  <c r="H34" i="53"/>
  <c r="H62" i="53"/>
  <c r="I34" i="53"/>
  <c r="I48" i="53"/>
  <c r="I62" i="53"/>
  <c r="F34" i="53"/>
  <c r="F62" i="53"/>
  <c r="G34" i="53"/>
  <c r="G62" i="53"/>
  <c r="H41" i="53"/>
  <c r="E27" i="53"/>
  <c r="E41" i="53"/>
  <c r="E55" i="53"/>
  <c r="E69" i="53"/>
  <c r="F41" i="53"/>
  <c r="F69" i="53"/>
  <c r="G41" i="53"/>
  <c r="G69" i="53"/>
  <c r="G27" i="52"/>
  <c r="G29" i="52" s="1"/>
  <c r="G32" i="52" s="1"/>
  <c r="H27" i="52"/>
  <c r="E25" i="51"/>
  <c r="G73" i="51"/>
  <c r="G65" i="51"/>
  <c r="G57" i="51"/>
  <c r="G49" i="51"/>
  <c r="G41" i="51"/>
  <c r="G33" i="51"/>
  <c r="G25" i="51"/>
  <c r="H65" i="51"/>
  <c r="H57" i="51"/>
  <c r="F73" i="51"/>
  <c r="F65" i="51"/>
  <c r="F57" i="51"/>
  <c r="F49" i="51"/>
  <c r="F41" i="51"/>
  <c r="F33" i="51"/>
  <c r="F25" i="51"/>
  <c r="I73" i="51"/>
  <c r="E73" i="51"/>
  <c r="I65" i="51"/>
  <c r="E65" i="51"/>
  <c r="I57" i="51"/>
  <c r="E57" i="51"/>
  <c r="I49" i="51"/>
  <c r="E49" i="51"/>
  <c r="I41" i="51"/>
  <c r="E41" i="51"/>
  <c r="I33" i="51"/>
  <c r="E33" i="51"/>
  <c r="I25" i="51"/>
  <c r="H73" i="51"/>
  <c r="H49" i="51"/>
  <c r="H41" i="51"/>
  <c r="H33" i="51"/>
  <c r="H25" i="51"/>
  <c r="E51" i="51" l="1"/>
  <c r="F27" i="51"/>
  <c r="H67" i="51"/>
  <c r="H27" i="51"/>
  <c r="I35" i="51"/>
  <c r="I67" i="51"/>
  <c r="F67" i="51"/>
  <c r="G59" i="51"/>
  <c r="E27" i="51"/>
  <c r="E59" i="51"/>
  <c r="F75" i="51"/>
  <c r="H51" i="51"/>
  <c r="E35" i="51"/>
  <c r="E67" i="51"/>
  <c r="F59" i="51"/>
  <c r="G51" i="51"/>
  <c r="H75" i="51"/>
  <c r="I51" i="51"/>
  <c r="F35" i="51"/>
  <c r="G27" i="51"/>
  <c r="H35" i="51"/>
  <c r="E43" i="51"/>
  <c r="E75" i="51"/>
  <c r="F43" i="51"/>
  <c r="G35" i="51"/>
  <c r="G67" i="51"/>
  <c r="H43" i="51"/>
  <c r="I27" i="51"/>
  <c r="I43" i="51"/>
  <c r="I59" i="51"/>
  <c r="I75" i="51"/>
  <c r="F51" i="51"/>
  <c r="H59" i="51"/>
  <c r="G43" i="51"/>
  <c r="G75" i="51"/>
  <c r="I30" i="50"/>
  <c r="H30" i="50"/>
  <c r="G30" i="50"/>
  <c r="F30" i="50"/>
  <c r="E30" i="50"/>
  <c r="I25" i="50"/>
  <c r="H25" i="50"/>
  <c r="G25" i="50"/>
  <c r="F25" i="50"/>
  <c r="E25" i="50"/>
  <c r="E68" i="54"/>
  <c r="G70" i="51"/>
  <c r="I54" i="54"/>
  <c r="H26" i="52"/>
  <c r="E69" i="51"/>
  <c r="E30" i="51"/>
  <c r="H47" i="54"/>
  <c r="F46" i="51"/>
  <c r="F70" i="54"/>
  <c r="E78" i="51"/>
  <c r="E63" i="54"/>
  <c r="I28" i="54"/>
  <c r="H68" i="56"/>
  <c r="E61" i="51"/>
  <c r="F63" i="56"/>
  <c r="E45" i="51"/>
  <c r="E70" i="55"/>
  <c r="H29" i="51"/>
  <c r="G68" i="51"/>
  <c r="F54" i="56"/>
  <c r="I44" i="51"/>
  <c r="G69" i="51"/>
  <c r="F76" i="51"/>
  <c r="E49" i="53"/>
  <c r="I28" i="53"/>
  <c r="H47" i="56"/>
  <c r="F68" i="56"/>
  <c r="F28" i="51"/>
  <c r="F50" i="51"/>
  <c r="E52" i="51"/>
  <c r="E33" i="55"/>
  <c r="F70" i="53"/>
  <c r="I66" i="51"/>
  <c r="E47" i="54"/>
  <c r="E58" i="51"/>
  <c r="I49" i="53"/>
  <c r="H26" i="53"/>
  <c r="I26" i="53"/>
  <c r="G26" i="53"/>
  <c r="H28" i="54"/>
  <c r="H45" i="51"/>
  <c r="F63" i="54"/>
  <c r="I74" i="51"/>
  <c r="E49" i="56"/>
  <c r="F61" i="53"/>
  <c r="I60" i="51"/>
  <c r="G68" i="53"/>
  <c r="F61" i="54"/>
  <c r="E70" i="56"/>
  <c r="E40" i="53"/>
  <c r="E54" i="54"/>
  <c r="H28" i="56"/>
  <c r="I47" i="54"/>
  <c r="F30" i="51"/>
  <c r="G34" i="52"/>
  <c r="F78" i="51"/>
  <c r="H69" i="51"/>
  <c r="I68" i="55"/>
  <c r="F42" i="54"/>
  <c r="I53" i="51"/>
  <c r="I68" i="51"/>
  <c r="G61" i="53"/>
  <c r="I26" i="52"/>
  <c r="G28" i="56"/>
  <c r="I36" i="51"/>
  <c r="F40" i="54"/>
  <c r="F47" i="54"/>
  <c r="F66" i="51"/>
  <c r="H42" i="54"/>
  <c r="H26" i="51"/>
  <c r="G54" i="54"/>
  <c r="E28" i="55"/>
  <c r="H62" i="51"/>
  <c r="G52" i="51"/>
  <c r="I56" i="53"/>
  <c r="E26" i="53"/>
  <c r="E49" i="54"/>
  <c r="G35" i="56"/>
  <c r="G49" i="55"/>
  <c r="F35" i="55"/>
  <c r="H49" i="55"/>
  <c r="H56" i="53"/>
  <c r="E40" i="54"/>
  <c r="H63" i="56"/>
  <c r="G63" i="53"/>
  <c r="E68" i="53"/>
  <c r="G68" i="54"/>
  <c r="H33" i="56"/>
  <c r="I42" i="55"/>
  <c r="E61" i="55"/>
  <c r="F56" i="53"/>
  <c r="G74" i="51"/>
  <c r="F42" i="55"/>
  <c r="E63" i="55"/>
  <c r="I26" i="55"/>
  <c r="E56" i="53"/>
  <c r="F45" i="51"/>
  <c r="H66" i="51"/>
  <c r="F26" i="51"/>
  <c r="E28" i="54"/>
  <c r="H70" i="53"/>
  <c r="F52" i="51"/>
  <c r="G68" i="56"/>
  <c r="E61" i="54"/>
  <c r="F36" i="51"/>
  <c r="H50" i="51"/>
  <c r="H68" i="53"/>
  <c r="G49" i="53"/>
  <c r="H56" i="54"/>
  <c r="F26" i="54"/>
  <c r="I78" i="51"/>
  <c r="G35" i="55"/>
  <c r="G34" i="50"/>
  <c r="G61" i="55"/>
  <c r="E26" i="51"/>
  <c r="H76" i="51"/>
  <c r="I49" i="54"/>
  <c r="G34" i="51"/>
  <c r="H54" i="53"/>
  <c r="G70" i="55"/>
  <c r="E42" i="56"/>
  <c r="G63" i="55"/>
  <c r="H68" i="54"/>
  <c r="F68" i="55"/>
  <c r="F38" i="51"/>
  <c r="F26" i="53"/>
  <c r="H31" i="50"/>
  <c r="F33" i="53"/>
  <c r="F26" i="50"/>
  <c r="F49" i="53"/>
  <c r="H40" i="55"/>
  <c r="I34" i="51"/>
  <c r="G40" i="55"/>
  <c r="E70" i="53"/>
  <c r="G61" i="51"/>
  <c r="I54" i="53"/>
  <c r="G53" i="51"/>
  <c r="H35" i="56"/>
  <c r="G54" i="55"/>
  <c r="G42" i="51"/>
  <c r="F56" i="55"/>
  <c r="G28" i="51"/>
  <c r="I40" i="54"/>
  <c r="F47" i="56"/>
  <c r="I70" i="54"/>
  <c r="H49" i="53"/>
  <c r="E26" i="54"/>
  <c r="E26" i="55"/>
  <c r="G42" i="53"/>
  <c r="F77" i="51"/>
  <c r="I52" i="51"/>
  <c r="I56" i="54"/>
  <c r="I31" i="50"/>
  <c r="H56" i="55"/>
  <c r="H68" i="55"/>
  <c r="I33" i="56"/>
  <c r="F54" i="55"/>
  <c r="I47" i="56"/>
  <c r="F37" i="51"/>
  <c r="E33" i="56"/>
  <c r="G36" i="51"/>
  <c r="H42" i="56"/>
  <c r="F34" i="51"/>
  <c r="I45" i="51"/>
  <c r="E47" i="53"/>
  <c r="F28" i="56"/>
  <c r="E29" i="51"/>
  <c r="G49" i="56"/>
  <c r="H74" i="51"/>
  <c r="F70" i="55"/>
  <c r="H54" i="55"/>
  <c r="H52" i="51"/>
  <c r="H61" i="55"/>
  <c r="G38" i="51"/>
  <c r="H36" i="51"/>
  <c r="G28" i="54"/>
  <c r="E47" i="55"/>
  <c r="I37" i="51"/>
  <c r="F49" i="54"/>
  <c r="I26" i="51"/>
  <c r="E33" i="53"/>
  <c r="F68" i="54"/>
  <c r="E61" i="56"/>
  <c r="G29" i="51"/>
  <c r="H26" i="55"/>
  <c r="G78" i="51"/>
  <c r="F26" i="56"/>
  <c r="G76" i="51"/>
  <c r="I63" i="56"/>
  <c r="E61" i="53"/>
  <c r="F26" i="55"/>
  <c r="F54" i="53"/>
  <c r="E42" i="51"/>
  <c r="F33" i="56"/>
  <c r="G35" i="54"/>
  <c r="H53" i="51"/>
  <c r="F42" i="51"/>
  <c r="G26" i="54"/>
  <c r="G63" i="54"/>
  <c r="E33" i="54"/>
  <c r="H30" i="51"/>
  <c r="H68" i="51"/>
  <c r="G33" i="53"/>
  <c r="G42" i="56"/>
  <c r="G62" i="51"/>
  <c r="H34" i="50"/>
  <c r="G30" i="51"/>
  <c r="H28" i="51"/>
  <c r="E63" i="56"/>
  <c r="E70" i="54"/>
  <c r="I70" i="56"/>
  <c r="F63" i="55"/>
  <c r="I70" i="51"/>
  <c r="G37" i="51"/>
  <c r="I54" i="51"/>
  <c r="H60" i="51"/>
  <c r="I26" i="50"/>
  <c r="E28" i="56"/>
  <c r="G58" i="51"/>
  <c r="H26" i="56"/>
  <c r="F61" i="51"/>
  <c r="I40" i="55"/>
  <c r="E54" i="55"/>
  <c r="F42" i="56"/>
  <c r="H37" i="51"/>
  <c r="E68" i="51"/>
  <c r="F42" i="53"/>
  <c r="F35" i="54"/>
  <c r="F70" i="56"/>
  <c r="F28" i="54"/>
  <c r="G66" i="51"/>
  <c r="H40" i="53"/>
  <c r="G70" i="56"/>
  <c r="I35" i="56"/>
  <c r="F33" i="55"/>
  <c r="I28" i="56"/>
  <c r="G54" i="51"/>
  <c r="H38" i="51"/>
  <c r="H70" i="51"/>
  <c r="I68" i="53"/>
  <c r="E54" i="56"/>
  <c r="F49" i="56"/>
  <c r="I42" i="56"/>
  <c r="E76" i="51"/>
  <c r="E70" i="51"/>
  <c r="F56" i="56"/>
  <c r="E54" i="51"/>
  <c r="H42" i="51"/>
  <c r="H63" i="54"/>
  <c r="E28" i="53"/>
  <c r="I68" i="54"/>
  <c r="G54" i="53"/>
  <c r="F68" i="53"/>
  <c r="E40" i="56"/>
  <c r="F58" i="51"/>
  <c r="I47" i="53"/>
  <c r="F33" i="54"/>
  <c r="I61" i="51"/>
  <c r="I35" i="53"/>
  <c r="G31" i="50"/>
  <c r="I76" i="51"/>
  <c r="F74" i="51"/>
  <c r="E47" i="56"/>
  <c r="I68" i="56"/>
  <c r="I56" i="55"/>
  <c r="F40" i="53"/>
  <c r="I42" i="51"/>
  <c r="F61" i="55"/>
  <c r="G45" i="51"/>
  <c r="H46" i="51"/>
  <c r="F53" i="51"/>
  <c r="I69" i="51"/>
  <c r="E26" i="52"/>
  <c r="G63" i="56"/>
  <c r="G33" i="56"/>
  <c r="H54" i="56"/>
  <c r="I61" i="55"/>
  <c r="G60" i="51"/>
  <c r="I54" i="56"/>
  <c r="E46" i="51"/>
  <c r="G40" i="54"/>
  <c r="I49" i="56"/>
  <c r="I70" i="53"/>
  <c r="H35" i="54"/>
  <c r="H70" i="55"/>
  <c r="E35" i="55"/>
  <c r="I40" i="56"/>
  <c r="G50" i="51"/>
  <c r="F29" i="51"/>
  <c r="G77" i="51"/>
  <c r="F68" i="51"/>
  <c r="F35" i="53"/>
  <c r="H47" i="55"/>
  <c r="F54" i="54"/>
  <c r="H49" i="54"/>
  <c r="E77" i="51"/>
  <c r="I35" i="55"/>
  <c r="I63" i="53"/>
  <c r="E42" i="55"/>
  <c r="I61" i="56"/>
  <c r="F28" i="52"/>
  <c r="E68" i="56"/>
  <c r="I56" i="56"/>
  <c r="H44" i="51"/>
  <c r="E31" i="50"/>
  <c r="H35" i="55"/>
  <c r="H47" i="53"/>
  <c r="E68" i="55"/>
  <c r="G61" i="54"/>
  <c r="G28" i="55"/>
  <c r="E44" i="51"/>
  <c r="I42" i="54"/>
  <c r="G26" i="55"/>
  <c r="F47" i="53"/>
  <c r="I30" i="51"/>
  <c r="H42" i="55"/>
  <c r="E26" i="56"/>
  <c r="F63" i="53"/>
  <c r="I63" i="54"/>
  <c r="E37" i="51"/>
  <c r="G47" i="56"/>
  <c r="I58" i="51"/>
  <c r="F40" i="56"/>
  <c r="G56" i="54"/>
  <c r="I28" i="55"/>
  <c r="E42" i="53"/>
  <c r="F47" i="55"/>
  <c r="H70" i="56"/>
  <c r="I47" i="55"/>
  <c r="E56" i="55"/>
  <c r="E56" i="54"/>
  <c r="H33" i="55"/>
  <c r="F69" i="51"/>
  <c r="H61" i="53"/>
  <c r="F49" i="55"/>
  <c r="G46" i="51"/>
  <c r="G68" i="55"/>
  <c r="E35" i="53"/>
  <c r="E28" i="51"/>
  <c r="G56" i="55"/>
  <c r="G40" i="53"/>
  <c r="F54" i="51"/>
  <c r="E26" i="50"/>
  <c r="I28" i="51"/>
  <c r="G40" i="56"/>
  <c r="F61" i="56"/>
  <c r="H42" i="53"/>
  <c r="I26" i="56"/>
  <c r="E54" i="53"/>
  <c r="F35" i="56"/>
  <c r="H40" i="54"/>
  <c r="H35" i="53"/>
  <c r="F28" i="53"/>
  <c r="G54" i="56"/>
  <c r="G47" i="53"/>
  <c r="H49" i="56"/>
  <c r="G28" i="53"/>
  <c r="E63" i="53"/>
  <c r="I26" i="54"/>
  <c r="E53" i="51"/>
  <c r="E42" i="54"/>
  <c r="E60" i="51"/>
  <c r="F70" i="51"/>
  <c r="F60" i="51"/>
  <c r="I70" i="55"/>
  <c r="E40" i="55"/>
  <c r="H61" i="51"/>
  <c r="I62" i="51"/>
  <c r="H33" i="53"/>
  <c r="I38" i="51"/>
  <c r="G61" i="56"/>
  <c r="F34" i="50"/>
  <c r="E56" i="56"/>
  <c r="I34" i="50"/>
  <c r="I46" i="51"/>
  <c r="I33" i="53"/>
  <c r="G35" i="53"/>
  <c r="F28" i="55"/>
  <c r="H33" i="54"/>
  <c r="I33" i="54"/>
  <c r="G26" i="51"/>
  <c r="G56" i="56"/>
  <c r="H34" i="51"/>
  <c r="H58" i="51"/>
  <c r="H77" i="51"/>
  <c r="I40" i="53"/>
  <c r="H54" i="51"/>
  <c r="E62" i="51"/>
  <c r="I42" i="53"/>
  <c r="H61" i="54"/>
  <c r="G33" i="54"/>
  <c r="G70" i="53"/>
  <c r="F31" i="50"/>
  <c r="H70" i="54"/>
  <c r="G26" i="50"/>
  <c r="I50" i="51"/>
  <c r="G47" i="55"/>
  <c r="H56" i="56"/>
  <c r="H54" i="54"/>
  <c r="H28" i="53"/>
  <c r="F40" i="55"/>
  <c r="F44" i="51"/>
  <c r="H63" i="55"/>
  <c r="H63" i="53"/>
  <c r="E66" i="51"/>
  <c r="I49" i="55"/>
  <c r="E74" i="51"/>
  <c r="H61" i="56"/>
  <c r="I77" i="51"/>
  <c r="H26" i="50"/>
  <c r="G47" i="54"/>
  <c r="F56" i="54"/>
  <c r="G26" i="56"/>
  <c r="I54" i="55"/>
  <c r="I63" i="55"/>
  <c r="I61" i="53"/>
  <c r="E38" i="51"/>
  <c r="I35" i="54"/>
  <c r="E35" i="56"/>
  <c r="H40" i="56"/>
  <c r="E36" i="51"/>
  <c r="E35" i="54"/>
  <c r="H26" i="54"/>
  <c r="G49" i="54"/>
  <c r="I61" i="54"/>
  <c r="G56" i="53"/>
  <c r="G42" i="55"/>
  <c r="E34" i="51"/>
  <c r="G33" i="55"/>
  <c r="I29" i="51"/>
  <c r="I33" i="55"/>
  <c r="F62" i="51"/>
  <c r="G70" i="54"/>
  <c r="E50" i="51"/>
  <c r="H78" i="51"/>
  <c r="E49" i="55"/>
  <c r="G44" i="51"/>
  <c r="G42" i="54"/>
  <c r="H28" i="55"/>
  <c r="M12" i="50"/>
  <c r="E29" i="52" l="1"/>
  <c r="E32" i="52" s="1"/>
  <c r="F29" i="52"/>
  <c r="F32" i="52" s="1"/>
  <c r="I29" i="52"/>
  <c r="I32" i="52" s="1"/>
  <c r="H29" i="52"/>
  <c r="H32" i="52" s="1"/>
  <c r="E19" i="50"/>
  <c r="G13" i="50"/>
  <c r="J13" i="50" s="1"/>
  <c r="F13" i="50"/>
  <c r="I13" i="50" s="1"/>
  <c r="B67" i="49"/>
  <c r="B60" i="49"/>
  <c r="B53" i="49"/>
  <c r="B46" i="49"/>
  <c r="B39" i="49"/>
  <c r="B32" i="49"/>
  <c r="B25" i="49"/>
  <c r="H40" i="51"/>
  <c r="G79" i="51"/>
  <c r="G38" i="53"/>
  <c r="G44" i="56"/>
  <c r="I71" i="51"/>
  <c r="F65" i="55"/>
  <c r="I55" i="51"/>
  <c r="E37" i="56"/>
  <c r="E51" i="55"/>
  <c r="G32" i="51"/>
  <c r="H48" i="51"/>
  <c r="H72" i="54"/>
  <c r="E51" i="56"/>
  <c r="H58" i="54"/>
  <c r="H73" i="56"/>
  <c r="G51" i="56"/>
  <c r="I51" i="56"/>
  <c r="G65" i="56"/>
  <c r="I31" i="54"/>
  <c r="I79" i="51"/>
  <c r="E48" i="51"/>
  <c r="I80" i="51"/>
  <c r="E59" i="53"/>
  <c r="E73" i="54"/>
  <c r="I48" i="51"/>
  <c r="G36" i="52"/>
  <c r="I30" i="53"/>
  <c r="I58" i="53"/>
  <c r="G38" i="56"/>
  <c r="E52" i="56"/>
  <c r="H51" i="56"/>
  <c r="I45" i="53"/>
  <c r="F45" i="53"/>
  <c r="H51" i="55"/>
  <c r="F52" i="55"/>
  <c r="F31" i="51"/>
  <c r="E72" i="54"/>
  <c r="E51" i="53"/>
  <c r="H72" i="51"/>
  <c r="F73" i="55"/>
  <c r="H80" i="51"/>
  <c r="F48" i="51"/>
  <c r="H44" i="53"/>
  <c r="I52" i="53"/>
  <c r="E73" i="53"/>
  <c r="F45" i="56"/>
  <c r="F72" i="55"/>
  <c r="E37" i="54"/>
  <c r="I66" i="53"/>
  <c r="F59" i="56"/>
  <c r="G44" i="53"/>
  <c r="H71" i="51"/>
  <c r="E66" i="53"/>
  <c r="H30" i="54"/>
  <c r="I31" i="56"/>
  <c r="I44" i="55"/>
  <c r="F37" i="53"/>
  <c r="I66" i="54"/>
  <c r="H52" i="55"/>
  <c r="I72" i="53"/>
  <c r="H58" i="55"/>
  <c r="G73" i="56"/>
  <c r="H72" i="55"/>
  <c r="F30" i="53"/>
  <c r="H52" i="54"/>
  <c r="I59" i="55"/>
  <c r="E52" i="53"/>
  <c r="E72" i="55"/>
  <c r="F73" i="54"/>
  <c r="F58" i="55"/>
  <c r="H66" i="54"/>
  <c r="H31" i="51"/>
  <c r="F59" i="53"/>
  <c r="E47" i="51"/>
  <c r="I31" i="55"/>
  <c r="I73" i="55"/>
  <c r="F73" i="56"/>
  <c r="E39" i="51"/>
  <c r="H59" i="54"/>
  <c r="G72" i="51"/>
  <c r="H37" i="56"/>
  <c r="F44" i="54"/>
  <c r="G44" i="54"/>
  <c r="H58" i="53"/>
  <c r="F34" i="52"/>
  <c r="E30" i="55"/>
  <c r="G45" i="54"/>
  <c r="H34" i="52"/>
  <c r="F51" i="56"/>
  <c r="F51" i="55"/>
  <c r="F40" i="51"/>
  <c r="E66" i="56"/>
  <c r="E56" i="51"/>
  <c r="I38" i="55"/>
  <c r="F59" i="54"/>
  <c r="F73" i="53"/>
  <c r="H66" i="55"/>
  <c r="F72" i="51"/>
  <c r="I45" i="54"/>
  <c r="G38" i="54"/>
  <c r="I66" i="55"/>
  <c r="F72" i="53"/>
  <c r="I66" i="56"/>
  <c r="E71" i="51"/>
  <c r="G37" i="55"/>
  <c r="G72" i="56"/>
  <c r="G65" i="54"/>
  <c r="G31" i="56"/>
  <c r="I58" i="56"/>
  <c r="H72" i="56"/>
  <c r="F58" i="56"/>
  <c r="G55" i="51"/>
  <c r="G58" i="53"/>
  <c r="E45" i="53"/>
  <c r="E38" i="55"/>
  <c r="G59" i="55"/>
  <c r="I63" i="51"/>
  <c r="E52" i="55"/>
  <c r="F71" i="51"/>
  <c r="I38" i="53"/>
  <c r="G56" i="51"/>
  <c r="I52" i="56"/>
  <c r="G52" i="53"/>
  <c r="E38" i="54"/>
  <c r="H37" i="54"/>
  <c r="H73" i="53"/>
  <c r="E31" i="56"/>
  <c r="E30" i="56"/>
  <c r="E30" i="54"/>
  <c r="F72" i="56"/>
  <c r="G51" i="54"/>
  <c r="G51" i="55"/>
  <c r="I30" i="56"/>
  <c r="I51" i="53"/>
  <c r="G38" i="55"/>
  <c r="I44" i="56"/>
  <c r="G37" i="54"/>
  <c r="F66" i="54"/>
  <c r="I37" i="54"/>
  <c r="G37" i="56"/>
  <c r="E79" i="51"/>
  <c r="G37" i="53"/>
  <c r="I59" i="56"/>
  <c r="F37" i="54"/>
  <c r="E72" i="51"/>
  <c r="I65" i="54"/>
  <c r="I44" i="54"/>
  <c r="E59" i="55"/>
  <c r="H52" i="53"/>
  <c r="I51" i="55"/>
  <c r="E30" i="53"/>
  <c r="H47" i="51"/>
  <c r="G72" i="55"/>
  <c r="E55" i="51"/>
  <c r="F39" i="51"/>
  <c r="G71" i="51"/>
  <c r="F31" i="53"/>
  <c r="E59" i="56"/>
  <c r="F31" i="54"/>
  <c r="E44" i="53"/>
  <c r="H44" i="55"/>
  <c r="E44" i="56"/>
  <c r="I59" i="54"/>
  <c r="G30" i="53"/>
  <c r="F38" i="55"/>
  <c r="H64" i="51"/>
  <c r="H52" i="56"/>
  <c r="F47" i="51"/>
  <c r="I72" i="54"/>
  <c r="G31" i="54"/>
  <c r="I44" i="53"/>
  <c r="G45" i="55"/>
  <c r="G51" i="53"/>
  <c r="I30" i="55"/>
  <c r="E65" i="54"/>
  <c r="H59" i="56"/>
  <c r="G31" i="55"/>
  <c r="E31" i="54"/>
  <c r="F31" i="56"/>
  <c r="E66" i="54"/>
  <c r="E65" i="56"/>
  <c r="H30" i="53"/>
  <c r="E44" i="54"/>
  <c r="H31" i="56"/>
  <c r="H58" i="56"/>
  <c r="F44" i="56"/>
  <c r="H55" i="51"/>
  <c r="I40" i="51"/>
  <c r="F59" i="55"/>
  <c r="F63" i="51"/>
  <c r="G48" i="51"/>
  <c r="G59" i="56"/>
  <c r="F66" i="56"/>
  <c r="H38" i="54"/>
  <c r="G66" i="53"/>
  <c r="F37" i="56"/>
  <c r="F66" i="55"/>
  <c r="E38" i="53"/>
  <c r="E66" i="55"/>
  <c r="E40" i="51"/>
  <c r="E63" i="51"/>
  <c r="E58" i="56"/>
  <c r="H65" i="55"/>
  <c r="H45" i="54"/>
  <c r="I51" i="54"/>
  <c r="E64" i="51"/>
  <c r="H38" i="55"/>
  <c r="H31" i="53"/>
  <c r="G59" i="53"/>
  <c r="G73" i="53"/>
  <c r="G72" i="53"/>
  <c r="E34" i="52"/>
  <c r="E65" i="53"/>
  <c r="F66" i="53"/>
  <c r="I65" i="55"/>
  <c r="H31" i="55"/>
  <c r="E52" i="54"/>
  <c r="H38" i="53"/>
  <c r="I58" i="55"/>
  <c r="I72" i="55"/>
  <c r="I38" i="56"/>
  <c r="H56" i="51"/>
  <c r="I52" i="54"/>
  <c r="G73" i="55"/>
  <c r="H37" i="55"/>
  <c r="G66" i="56"/>
  <c r="F79" i="51"/>
  <c r="G30" i="56"/>
  <c r="G72" i="54"/>
  <c r="I31" i="53"/>
  <c r="F38" i="54"/>
  <c r="G58" i="56"/>
  <c r="I38" i="54"/>
  <c r="G52" i="55"/>
  <c r="I45" i="55"/>
  <c r="E73" i="56"/>
  <c r="E45" i="55"/>
  <c r="G66" i="54"/>
  <c r="G65" i="53"/>
  <c r="E58" i="54"/>
  <c r="I31" i="51"/>
  <c r="G40" i="51"/>
  <c r="F55" i="51"/>
  <c r="H59" i="53"/>
  <c r="H45" i="55"/>
  <c r="E44" i="55"/>
  <c r="I72" i="56"/>
  <c r="I59" i="53"/>
  <c r="G45" i="53"/>
  <c r="I45" i="56"/>
  <c r="G52" i="56"/>
  <c r="F38" i="53"/>
  <c r="H59" i="55"/>
  <c r="I32" i="51"/>
  <c r="H30" i="56"/>
  <c r="H51" i="53"/>
  <c r="F52" i="53"/>
  <c r="E31" i="53"/>
  <c r="I52" i="55"/>
  <c r="I65" i="56"/>
  <c r="H65" i="53"/>
  <c r="E72" i="53"/>
  <c r="H51" i="54"/>
  <c r="E31" i="55"/>
  <c r="H39" i="51"/>
  <c r="E65" i="55"/>
  <c r="F44" i="55"/>
  <c r="F44" i="53"/>
  <c r="I73" i="54"/>
  <c r="H72" i="53"/>
  <c r="H44" i="56"/>
  <c r="F37" i="55"/>
  <c r="I73" i="56"/>
  <c r="G73" i="54"/>
  <c r="F52" i="54"/>
  <c r="I56" i="51"/>
  <c r="G30" i="54"/>
  <c r="I39" i="51"/>
  <c r="G44" i="55"/>
  <c r="H37" i="53"/>
  <c r="G59" i="54"/>
  <c r="I37" i="53"/>
  <c r="H73" i="54"/>
  <c r="G47" i="51"/>
  <c r="F65" i="56"/>
  <c r="F65" i="53"/>
  <c r="I30" i="54"/>
  <c r="E72" i="56"/>
  <c r="I37" i="56"/>
  <c r="G80" i="51"/>
  <c r="E45" i="54"/>
  <c r="E73" i="55"/>
  <c r="I73" i="53"/>
  <c r="F45" i="55"/>
  <c r="H32" i="51"/>
  <c r="H63" i="51"/>
  <c r="G31" i="53"/>
  <c r="F32" i="51"/>
  <c r="E58" i="55"/>
  <c r="H45" i="56"/>
  <c r="E37" i="53"/>
  <c r="E31" i="51"/>
  <c r="E38" i="56"/>
  <c r="F65" i="54"/>
  <c r="G65" i="55"/>
  <c r="F30" i="54"/>
  <c r="F58" i="54"/>
  <c r="F52" i="56"/>
  <c r="E58" i="53"/>
  <c r="G39" i="51"/>
  <c r="G66" i="55"/>
  <c r="H73" i="55"/>
  <c r="H30" i="55"/>
  <c r="F56" i="51"/>
  <c r="E51" i="54"/>
  <c r="E59" i="54"/>
  <c r="I58" i="54"/>
  <c r="H66" i="53"/>
  <c r="G52" i="54"/>
  <c r="I64" i="51"/>
  <c r="F51" i="54"/>
  <c r="H38" i="56"/>
  <c r="E37" i="55"/>
  <c r="H44" i="54"/>
  <c r="I47" i="51"/>
  <c r="F30" i="56"/>
  <c r="E80" i="51"/>
  <c r="F58" i="53"/>
  <c r="H65" i="54"/>
  <c r="H79" i="51"/>
  <c r="F30" i="55"/>
  <c r="G30" i="55"/>
  <c r="F31" i="55"/>
  <c r="E45" i="56"/>
  <c r="G45" i="56"/>
  <c r="F45" i="54"/>
  <c r="I34" i="52"/>
  <c r="E32" i="51"/>
  <c r="F64" i="51"/>
  <c r="G31" i="51"/>
  <c r="G64" i="51"/>
  <c r="H65" i="56"/>
  <c r="G58" i="55"/>
  <c r="I65" i="53"/>
  <c r="F38" i="56"/>
  <c r="I72" i="51"/>
  <c r="H31" i="54"/>
  <c r="G63" i="51"/>
  <c r="I37" i="55"/>
  <c r="F80" i="51"/>
  <c r="G58" i="54"/>
  <c r="F51" i="53"/>
  <c r="F72" i="54"/>
  <c r="H66" i="56"/>
  <c r="H45" i="53"/>
  <c r="G13" i="49" l="1"/>
  <c r="F13" i="49"/>
  <c r="E19" i="49"/>
  <c r="H36" i="52"/>
  <c r="D16" i="49"/>
  <c r="E36" i="52"/>
  <c r="F36" i="52"/>
  <c r="I36" i="52"/>
  <c r="G27" i="50" l="1"/>
  <c r="E27" i="50"/>
  <c r="I27" i="50"/>
  <c r="F27" i="50"/>
  <c r="H27" i="50"/>
  <c r="H67" i="49"/>
  <c r="I60" i="49"/>
  <c r="E60" i="49"/>
  <c r="F53" i="49"/>
  <c r="G46" i="49"/>
  <c r="H39" i="49"/>
  <c r="I32" i="49"/>
  <c r="E32" i="49"/>
  <c r="G67" i="49"/>
  <c r="H60" i="49"/>
  <c r="I53" i="49"/>
  <c r="E53" i="49"/>
  <c r="F46" i="49"/>
  <c r="G39" i="49"/>
  <c r="H32" i="49"/>
  <c r="F67" i="49"/>
  <c r="G60" i="49"/>
  <c r="H53" i="49"/>
  <c r="I46" i="49"/>
  <c r="E46" i="49"/>
  <c r="F39" i="49"/>
  <c r="G32" i="49"/>
  <c r="I67" i="49"/>
  <c r="E67" i="49"/>
  <c r="F60" i="49"/>
  <c r="G53" i="49"/>
  <c r="H46" i="49"/>
  <c r="I39" i="49"/>
  <c r="E39" i="49"/>
  <c r="F32" i="49"/>
  <c r="F25" i="49"/>
  <c r="I25" i="49"/>
  <c r="E25" i="49"/>
  <c r="G25" i="49"/>
  <c r="H25" i="49"/>
  <c r="B37" i="48"/>
  <c r="B36" i="48"/>
  <c r="B35" i="48"/>
  <c r="B34" i="48"/>
  <c r="B33" i="48"/>
  <c r="B32" i="48"/>
  <c r="B31" i="48"/>
  <c r="B30" i="48"/>
  <c r="B29" i="48"/>
  <c r="B28" i="48"/>
  <c r="B27" i="48"/>
  <c r="B26" i="48"/>
  <c r="B25" i="48"/>
  <c r="B24" i="48"/>
  <c r="E19" i="48"/>
  <c r="B37" i="47"/>
  <c r="B36" i="47"/>
  <c r="B35" i="47"/>
  <c r="B34" i="47"/>
  <c r="B33" i="47"/>
  <c r="B32" i="47"/>
  <c r="B31" i="47"/>
  <c r="B30" i="47"/>
  <c r="B29" i="47"/>
  <c r="B28" i="47"/>
  <c r="B27" i="47"/>
  <c r="B26" i="47"/>
  <c r="B25" i="47"/>
  <c r="B24" i="47"/>
  <c r="E19" i="47"/>
  <c r="F57" i="49"/>
  <c r="I28" i="50"/>
  <c r="G28" i="50"/>
  <c r="D16" i="47"/>
  <c r="G47" i="49"/>
  <c r="F28" i="50"/>
  <c r="G63" i="49"/>
  <c r="F54" i="49"/>
  <c r="H56" i="49"/>
  <c r="F56" i="49"/>
  <c r="F41" i="48"/>
  <c r="H28" i="50"/>
  <c r="G41" i="48"/>
  <c r="F42" i="49"/>
  <c r="H36" i="49"/>
  <c r="F29" i="49"/>
  <c r="E28" i="50"/>
  <c r="G64" i="49"/>
  <c r="E40" i="49"/>
  <c r="F50" i="49"/>
  <c r="F61" i="49"/>
  <c r="G61" i="49"/>
  <c r="E41" i="48"/>
  <c r="I41" i="48"/>
  <c r="E28" i="49"/>
  <c r="F40" i="49"/>
  <c r="F64" i="49"/>
  <c r="E26" i="49"/>
  <c r="E35" i="49"/>
  <c r="I41" i="47"/>
  <c r="H41" i="47"/>
  <c r="E42" i="49"/>
  <c r="F47" i="49"/>
  <c r="E56" i="49"/>
  <c r="G70" i="49"/>
  <c r="E57" i="49"/>
  <c r="F41" i="47"/>
  <c r="E41" i="47"/>
  <c r="F33" i="49"/>
  <c r="E33" i="49"/>
  <c r="E29" i="49"/>
  <c r="G35" i="49"/>
  <c r="G71" i="49"/>
  <c r="G33" i="49"/>
  <c r="D16" i="48"/>
  <c r="E70" i="49"/>
  <c r="F43" i="49"/>
  <c r="F63" i="49"/>
  <c r="I33" i="49"/>
  <c r="E71" i="49"/>
  <c r="E36" i="49"/>
  <c r="G41" i="47"/>
  <c r="E47" i="49"/>
  <c r="E68" i="49"/>
  <c r="E43" i="49"/>
  <c r="G49" i="49"/>
  <c r="H63" i="49"/>
  <c r="G40" i="49"/>
  <c r="F70" i="49"/>
  <c r="I63" i="49"/>
  <c r="H57" i="49"/>
  <c r="G42" i="49"/>
  <c r="G28" i="49"/>
  <c r="H41" i="48"/>
  <c r="I26" i="49"/>
  <c r="H71" i="49"/>
  <c r="H68" i="49"/>
  <c r="H70" i="49"/>
  <c r="G68" i="49"/>
  <c r="I43" i="49"/>
  <c r="H61" i="49"/>
  <c r="G50" i="49"/>
  <c r="F35" i="49"/>
  <c r="I49" i="49"/>
  <c r="E54" i="49"/>
  <c r="G36" i="49"/>
  <c r="F49" i="49"/>
  <c r="F71" i="49"/>
  <c r="E50" i="49"/>
  <c r="I42" i="49"/>
  <c r="I29" i="49"/>
  <c r="E61" i="49"/>
  <c r="H49" i="49"/>
  <c r="I64" i="49"/>
  <c r="G57" i="49"/>
  <c r="I57" i="49"/>
  <c r="H26" i="49"/>
  <c r="H40" i="49"/>
  <c r="G29" i="49"/>
  <c r="I70" i="49"/>
  <c r="I29" i="50" l="1"/>
  <c r="I32" i="50" s="1"/>
  <c r="E29" i="50"/>
  <c r="E32" i="50" s="1"/>
  <c r="G29" i="50"/>
  <c r="G32" i="50" s="1"/>
  <c r="H29" i="50"/>
  <c r="H32" i="50" s="1"/>
  <c r="F29" i="50"/>
  <c r="F32" i="50" s="1"/>
  <c r="E69" i="49"/>
  <c r="F69" i="49"/>
  <c r="E34" i="49"/>
  <c r="H48" i="49"/>
  <c r="I48" i="49"/>
  <c r="I55" i="49"/>
  <c r="I34" i="49"/>
  <c r="F34" i="49"/>
  <c r="G55" i="49"/>
  <c r="G34" i="49"/>
  <c r="H55" i="49"/>
  <c r="G41" i="49"/>
  <c r="H62" i="49"/>
  <c r="H41" i="49"/>
  <c r="I62" i="49"/>
  <c r="I41" i="49"/>
  <c r="E48" i="49"/>
  <c r="E55" i="49"/>
  <c r="F55" i="49"/>
  <c r="I69" i="49"/>
  <c r="H34" i="49"/>
  <c r="E62" i="49"/>
  <c r="E41" i="49"/>
  <c r="F62" i="49"/>
  <c r="F41" i="49"/>
  <c r="G62" i="49"/>
  <c r="F48" i="49"/>
  <c r="G69" i="49"/>
  <c r="G48" i="49"/>
  <c r="H69" i="49"/>
  <c r="G27" i="49"/>
  <c r="E27" i="49"/>
  <c r="I27" i="49"/>
  <c r="H27" i="49"/>
  <c r="F27" i="49"/>
  <c r="O22" i="48"/>
  <c r="P22" i="48"/>
  <c r="S22" i="48"/>
  <c r="H42" i="48"/>
  <c r="G42" i="48"/>
  <c r="E42" i="48"/>
  <c r="I42" i="48"/>
  <c r="F42" i="48"/>
  <c r="H42" i="47"/>
  <c r="O22" i="47"/>
  <c r="S22" i="47"/>
  <c r="P22" i="47"/>
  <c r="E42" i="47"/>
  <c r="I42" i="47"/>
  <c r="G42" i="47"/>
  <c r="F42" i="47"/>
  <c r="E49" i="49"/>
  <c r="F68" i="49"/>
  <c r="N27" i="47"/>
  <c r="N37" i="48"/>
  <c r="I36" i="48"/>
  <c r="H54" i="49"/>
  <c r="E28" i="48"/>
  <c r="I32" i="48"/>
  <c r="F28" i="48"/>
  <c r="I28" i="47"/>
  <c r="M27" i="47"/>
  <c r="N29" i="48"/>
  <c r="N25" i="47"/>
  <c r="J31" i="48"/>
  <c r="M37" i="47"/>
  <c r="M31" i="47"/>
  <c r="J35" i="47"/>
  <c r="I30" i="48"/>
  <c r="F32" i="47"/>
  <c r="L33" i="47"/>
  <c r="L37" i="48"/>
  <c r="J25" i="48"/>
  <c r="H26" i="48"/>
  <c r="H30" i="47"/>
  <c r="H33" i="49"/>
  <c r="F34" i="47"/>
  <c r="F24" i="48"/>
  <c r="G34" i="48"/>
  <c r="G34" i="47"/>
  <c r="E31" i="49"/>
  <c r="M29" i="47"/>
  <c r="J33" i="47"/>
  <c r="H34" i="48"/>
  <c r="F32" i="48"/>
  <c r="H42" i="49"/>
  <c r="F30" i="47"/>
  <c r="J31" i="47"/>
  <c r="G26" i="49"/>
  <c r="F36" i="48"/>
  <c r="E30" i="47"/>
  <c r="E26" i="48"/>
  <c r="L31" i="48"/>
  <c r="K37" i="47"/>
  <c r="K31" i="47"/>
  <c r="E34" i="48"/>
  <c r="E36" i="48"/>
  <c r="G24" i="47"/>
  <c r="E51" i="49"/>
  <c r="E64" i="49"/>
  <c r="M25" i="48"/>
  <c r="M35" i="47"/>
  <c r="H26" i="47"/>
  <c r="E32" i="48"/>
  <c r="N27" i="48"/>
  <c r="L35" i="48"/>
  <c r="K33" i="48"/>
  <c r="G32" i="47"/>
  <c r="F26" i="47"/>
  <c r="I47" i="49"/>
  <c r="I36" i="47"/>
  <c r="F30" i="48"/>
  <c r="M31" i="48"/>
  <c r="K29" i="47"/>
  <c r="H35" i="50"/>
  <c r="E38" i="49"/>
  <c r="G52" i="49"/>
  <c r="I32" i="47"/>
  <c r="E36" i="47"/>
  <c r="K33" i="47"/>
  <c r="J37" i="47"/>
  <c r="H43" i="49"/>
  <c r="N31" i="47"/>
  <c r="H28" i="48"/>
  <c r="M25" i="47"/>
  <c r="I56" i="49"/>
  <c r="G32" i="48"/>
  <c r="I54" i="49"/>
  <c r="I26" i="48"/>
  <c r="F34" i="48"/>
  <c r="K35" i="47"/>
  <c r="L31" i="47"/>
  <c r="H32" i="48"/>
  <c r="E24" i="48"/>
  <c r="J25" i="47"/>
  <c r="I28" i="49"/>
  <c r="F36" i="49"/>
  <c r="I30" i="47"/>
  <c r="L27" i="47"/>
  <c r="H30" i="48"/>
  <c r="F28" i="49"/>
  <c r="H64" i="49"/>
  <c r="M33" i="48"/>
  <c r="E45" i="49"/>
  <c r="S23" i="47"/>
  <c r="K29" i="48"/>
  <c r="I28" i="48"/>
  <c r="E28" i="47"/>
  <c r="F66" i="49"/>
  <c r="G28" i="47"/>
  <c r="E34" i="47"/>
  <c r="E24" i="47"/>
  <c r="F28" i="47"/>
  <c r="F26" i="49"/>
  <c r="K35" i="48"/>
  <c r="H28" i="47"/>
  <c r="I24" i="47"/>
  <c r="N33" i="47"/>
  <c r="I35" i="49"/>
  <c r="K27" i="47"/>
  <c r="K31" i="48"/>
  <c r="N35" i="47"/>
  <c r="F36" i="47"/>
  <c r="I34" i="47"/>
  <c r="N37" i="47"/>
  <c r="E72" i="49"/>
  <c r="M27" i="48"/>
  <c r="L37" i="47"/>
  <c r="H34" i="47"/>
  <c r="F44" i="49"/>
  <c r="G36" i="47"/>
  <c r="G26" i="47"/>
  <c r="H32" i="47"/>
  <c r="J35" i="48"/>
  <c r="H50" i="49"/>
  <c r="I71" i="49"/>
  <c r="E58" i="49"/>
  <c r="N31" i="48"/>
  <c r="K37" i="48"/>
  <c r="L35" i="47"/>
  <c r="F24" i="47"/>
  <c r="H28" i="49"/>
  <c r="G54" i="49"/>
  <c r="E35" i="50"/>
  <c r="I40" i="49"/>
  <c r="G30" i="47"/>
  <c r="N35" i="48"/>
  <c r="I34" i="48"/>
  <c r="F26" i="48"/>
  <c r="N29" i="47"/>
  <c r="L29" i="48"/>
  <c r="H24" i="48"/>
  <c r="M37" i="48"/>
  <c r="E44" i="49"/>
  <c r="M35" i="48"/>
  <c r="L33" i="48"/>
  <c r="J37" i="48"/>
  <c r="E30" i="48"/>
  <c r="K25" i="47"/>
  <c r="J33" i="48"/>
  <c r="G56" i="49"/>
  <c r="I68" i="49"/>
  <c r="K25" i="48"/>
  <c r="G26" i="48"/>
  <c r="G43" i="49"/>
  <c r="J27" i="47"/>
  <c r="J29" i="48"/>
  <c r="G24" i="48"/>
  <c r="K27" i="48"/>
  <c r="I61" i="49"/>
  <c r="I26" i="47"/>
  <c r="E32" i="47"/>
  <c r="H29" i="49"/>
  <c r="F58" i="49"/>
  <c r="L27" i="48"/>
  <c r="I50" i="49"/>
  <c r="M33" i="47"/>
  <c r="N33" i="48"/>
  <c r="G73" i="49"/>
  <c r="L29" i="47"/>
  <c r="F59" i="49"/>
  <c r="H35" i="49"/>
  <c r="G28" i="48"/>
  <c r="J29" i="47"/>
  <c r="E63" i="49"/>
  <c r="L25" i="47"/>
  <c r="N25" i="48"/>
  <c r="I30" i="49"/>
  <c r="S23" i="48"/>
  <c r="F52" i="49"/>
  <c r="H36" i="48"/>
  <c r="E26" i="47"/>
  <c r="I24" i="48"/>
  <c r="H24" i="47"/>
  <c r="F35" i="50"/>
  <c r="M29" i="48"/>
  <c r="G36" i="48"/>
  <c r="L25" i="48"/>
  <c r="J27" i="48"/>
  <c r="I36" i="49"/>
  <c r="G30" i="48"/>
  <c r="E37" i="49"/>
  <c r="F45" i="49"/>
  <c r="I35" i="50"/>
  <c r="H47" i="49"/>
  <c r="H36" i="47"/>
  <c r="G35" i="50"/>
  <c r="G37" i="49"/>
  <c r="G66" i="49"/>
  <c r="H72" i="49"/>
  <c r="E59" i="49"/>
  <c r="L30" i="48" l="1"/>
  <c r="L28" i="48"/>
  <c r="M30" i="48"/>
  <c r="N36" i="48"/>
  <c r="K28" i="48"/>
  <c r="L34" i="48"/>
  <c r="K30" i="48"/>
  <c r="L36" i="48"/>
  <c r="M28" i="48"/>
  <c r="L24" i="48"/>
  <c r="J28" i="48"/>
  <c r="K34" i="48"/>
  <c r="J32" i="48"/>
  <c r="M32" i="48"/>
  <c r="N24" i="48"/>
  <c r="N32" i="48"/>
  <c r="J26" i="48"/>
  <c r="K32" i="48"/>
  <c r="J24" i="48"/>
  <c r="M34" i="48"/>
  <c r="N28" i="48"/>
  <c r="L26" i="48"/>
  <c r="J30" i="48"/>
  <c r="K36" i="48"/>
  <c r="K24" i="48"/>
  <c r="J34" i="48"/>
  <c r="N34" i="48"/>
  <c r="M26" i="48"/>
  <c r="N26" i="48"/>
  <c r="M36" i="48"/>
  <c r="K26" i="48"/>
  <c r="L32" i="48"/>
  <c r="J36" i="48"/>
  <c r="M24" i="48"/>
  <c r="N30" i="48"/>
  <c r="K24" i="47"/>
  <c r="J26" i="47"/>
  <c r="L24" i="47"/>
  <c r="M32" i="47"/>
  <c r="N24" i="47"/>
  <c r="K32" i="47"/>
  <c r="N28" i="47"/>
  <c r="M34" i="47"/>
  <c r="M28" i="47"/>
  <c r="J30" i="47"/>
  <c r="K36" i="47"/>
  <c r="L36" i="47"/>
  <c r="N26" i="47"/>
  <c r="J36" i="47"/>
  <c r="L30" i="47"/>
  <c r="J24" i="47"/>
  <c r="J28" i="47"/>
  <c r="K34" i="47"/>
  <c r="N32" i="47"/>
  <c r="N34" i="47"/>
  <c r="J32" i="47"/>
  <c r="M26" i="47"/>
  <c r="L26" i="47"/>
  <c r="J34" i="47"/>
  <c r="K26" i="47"/>
  <c r="L32" i="47"/>
  <c r="M36" i="47"/>
  <c r="M24" i="47"/>
  <c r="N30" i="47"/>
  <c r="L28" i="47"/>
  <c r="M30" i="47"/>
  <c r="N36" i="47"/>
  <c r="K30" i="47"/>
  <c r="K28" i="47"/>
  <c r="L34" i="47"/>
  <c r="B37" i="46"/>
  <c r="B36" i="46"/>
  <c r="B35" i="46"/>
  <c r="B34" i="46"/>
  <c r="B33" i="46"/>
  <c r="B32" i="46"/>
  <c r="B31" i="46"/>
  <c r="B30" i="46"/>
  <c r="B29" i="46"/>
  <c r="B28" i="46"/>
  <c r="B27" i="46"/>
  <c r="B26" i="46"/>
  <c r="B25" i="46"/>
  <c r="B24" i="46"/>
  <c r="E19" i="46"/>
  <c r="I45" i="49"/>
  <c r="H44" i="49"/>
  <c r="G31" i="49"/>
  <c r="I51" i="49"/>
  <c r="E65" i="49"/>
  <c r="H73" i="49"/>
  <c r="I38" i="49"/>
  <c r="H30" i="49"/>
  <c r="I66" i="49"/>
  <c r="F31" i="49"/>
  <c r="G58" i="49"/>
  <c r="I59" i="49"/>
  <c r="H52" i="49"/>
  <c r="H65" i="49"/>
  <c r="G59" i="49"/>
  <c r="I41" i="46"/>
  <c r="G51" i="49"/>
  <c r="H58" i="49"/>
  <c r="I73" i="49"/>
  <c r="H66" i="49"/>
  <c r="F38" i="49"/>
  <c r="G30" i="49"/>
  <c r="I72" i="49"/>
  <c r="H37" i="49"/>
  <c r="E66" i="49"/>
  <c r="I58" i="49"/>
  <c r="G72" i="49"/>
  <c r="H38" i="49"/>
  <c r="F73" i="49"/>
  <c r="H37" i="50"/>
  <c r="H31" i="49"/>
  <c r="I37" i="49"/>
  <c r="I37" i="50"/>
  <c r="E30" i="49"/>
  <c r="F51" i="49"/>
  <c r="G65" i="49"/>
  <c r="H51" i="49"/>
  <c r="G44" i="49"/>
  <c r="F65" i="49"/>
  <c r="D16" i="46"/>
  <c r="I52" i="49"/>
  <c r="F72" i="49"/>
  <c r="G45" i="49"/>
  <c r="E73" i="49"/>
  <c r="G37" i="50"/>
  <c r="E52" i="49"/>
  <c r="F37" i="50"/>
  <c r="G41" i="46"/>
  <c r="F30" i="49"/>
  <c r="F41" i="46"/>
  <c r="H45" i="49"/>
  <c r="I44" i="49"/>
  <c r="G38" i="49"/>
  <c r="I31" i="49"/>
  <c r="E41" i="46"/>
  <c r="I65" i="49"/>
  <c r="F37" i="49"/>
  <c r="H41" i="46"/>
  <c r="H59" i="49"/>
  <c r="E37" i="50"/>
  <c r="O22" i="46" l="1"/>
  <c r="F42" i="46"/>
  <c r="G42" i="46"/>
  <c r="S22" i="46"/>
  <c r="P22" i="46"/>
  <c r="H42" i="46"/>
  <c r="E42" i="46"/>
  <c r="I42" i="46"/>
  <c r="M27" i="46"/>
  <c r="L29" i="46"/>
  <c r="H28" i="46"/>
  <c r="E32" i="46"/>
  <c r="F34" i="46"/>
  <c r="S23" i="46"/>
  <c r="M35" i="46"/>
  <c r="F30" i="46"/>
  <c r="K37" i="46"/>
  <c r="N31" i="46"/>
  <c r="L35" i="46"/>
  <c r="E30" i="46"/>
  <c r="F32" i="46"/>
  <c r="M29" i="46"/>
  <c r="J29" i="46"/>
  <c r="K27" i="46"/>
  <c r="J35" i="46"/>
  <c r="H24" i="46"/>
  <c r="N33" i="46"/>
  <c r="I26" i="46"/>
  <c r="N35" i="46"/>
  <c r="I32" i="46"/>
  <c r="E24" i="46"/>
  <c r="M25" i="46"/>
  <c r="M37" i="46"/>
  <c r="G24" i="46"/>
  <c r="F26" i="46"/>
  <c r="H32" i="46"/>
  <c r="L37" i="46"/>
  <c r="J27" i="46"/>
  <c r="L27" i="46"/>
  <c r="M31" i="46"/>
  <c r="K29" i="46"/>
  <c r="I34" i="46"/>
  <c r="L25" i="46"/>
  <c r="G28" i="46"/>
  <c r="N25" i="46"/>
  <c r="H34" i="46"/>
  <c r="I24" i="46"/>
  <c r="G30" i="46"/>
  <c r="G26" i="46"/>
  <c r="G32" i="46"/>
  <c r="E28" i="46"/>
  <c r="F24" i="46"/>
  <c r="E34" i="46"/>
  <c r="L33" i="46"/>
  <c r="K33" i="46"/>
  <c r="F36" i="46"/>
  <c r="N29" i="46"/>
  <c r="F28" i="46"/>
  <c r="E36" i="46"/>
  <c r="E26" i="46"/>
  <c r="K31" i="46"/>
  <c r="G36" i="46"/>
  <c r="H26" i="46"/>
  <c r="I36" i="46"/>
  <c r="J37" i="46"/>
  <c r="H36" i="46"/>
  <c r="M33" i="46"/>
  <c r="J25" i="46"/>
  <c r="L31" i="46"/>
  <c r="I30" i="46"/>
  <c r="J33" i="46"/>
  <c r="I28" i="46"/>
  <c r="G34" i="46"/>
  <c r="J31" i="46"/>
  <c r="N27" i="46"/>
  <c r="K25" i="46"/>
  <c r="H30" i="46"/>
  <c r="N37" i="46"/>
  <c r="K35" i="46"/>
  <c r="L28" i="46" l="1"/>
  <c r="N30" i="46"/>
  <c r="M28" i="46"/>
  <c r="K30" i="46"/>
  <c r="J26" i="46"/>
  <c r="J28" i="46"/>
  <c r="M30" i="46"/>
  <c r="L24" i="46"/>
  <c r="L34" i="46"/>
  <c r="J34" i="46"/>
  <c r="K34" i="46"/>
  <c r="N32" i="46"/>
  <c r="N34" i="46"/>
  <c r="J30" i="46"/>
  <c r="M32" i="46"/>
  <c r="K24" i="46"/>
  <c r="N28" i="46"/>
  <c r="L30" i="46"/>
  <c r="M24" i="46"/>
  <c r="J36" i="46"/>
  <c r="M26" i="46"/>
  <c r="L26" i="46"/>
  <c r="N24" i="46"/>
  <c r="N26" i="46"/>
  <c r="L36" i="46"/>
  <c r="N36" i="46"/>
  <c r="M34" i="46"/>
  <c r="L32" i="46"/>
  <c r="J24" i="46"/>
  <c r="K26" i="46"/>
  <c r="K28" i="46"/>
  <c r="K32" i="46"/>
  <c r="J32" i="46"/>
  <c r="M36" i="46"/>
  <c r="K36" i="46"/>
  <c r="B26" i="45"/>
  <c r="B27" i="45"/>
  <c r="O7" i="10"/>
  <c r="O6" i="10"/>
  <c r="O5" i="10"/>
  <c r="O4" i="10"/>
  <c r="B24" i="45"/>
  <c r="E19" i="45"/>
  <c r="B13" i="38"/>
  <c r="D16" i="45"/>
  <c r="G41" i="45"/>
  <c r="F41" i="45"/>
  <c r="E41" i="45"/>
  <c r="H41" i="45"/>
  <c r="I41" i="45"/>
  <c r="O22" i="45" l="1"/>
  <c r="S22" i="45"/>
  <c r="P22" i="45"/>
  <c r="E42" i="45"/>
  <c r="G42" i="45"/>
  <c r="H42" i="45"/>
  <c r="F42" i="45"/>
  <c r="I42" i="45"/>
  <c r="B25" i="45"/>
  <c r="I34" i="45"/>
  <c r="E24" i="45"/>
  <c r="J37" i="45"/>
  <c r="K35" i="45"/>
  <c r="J27" i="45"/>
  <c r="N31" i="45"/>
  <c r="J35" i="45"/>
  <c r="G24" i="45"/>
  <c r="H26" i="45"/>
  <c r="L25" i="45"/>
  <c r="I36" i="45"/>
  <c r="N33" i="45"/>
  <c r="I26" i="45"/>
  <c r="L33" i="45"/>
  <c r="F24" i="45"/>
  <c r="J29" i="45"/>
  <c r="I28" i="45"/>
  <c r="M37" i="45"/>
  <c r="G16" i="17"/>
  <c r="K33" i="45"/>
  <c r="K37" i="45"/>
  <c r="M31" i="45"/>
  <c r="K25" i="45"/>
  <c r="H36" i="45"/>
  <c r="N29" i="45"/>
  <c r="J31" i="45"/>
  <c r="I15" i="17"/>
  <c r="F36" i="45"/>
  <c r="L35" i="45"/>
  <c r="N27" i="45"/>
  <c r="E36" i="45"/>
  <c r="M25" i="45"/>
  <c r="G15" i="17"/>
  <c r="H30" i="45"/>
  <c r="H24" i="45"/>
  <c r="G36" i="45"/>
  <c r="L29" i="45"/>
  <c r="G26" i="45"/>
  <c r="E32" i="45"/>
  <c r="E34" i="45"/>
  <c r="E28" i="45"/>
  <c r="E30" i="45"/>
  <c r="F15" i="17"/>
  <c r="M29" i="45"/>
  <c r="F28" i="45"/>
  <c r="J15" i="17"/>
  <c r="M35" i="45"/>
  <c r="H28" i="45"/>
  <c r="M27" i="45"/>
  <c r="I30" i="45"/>
  <c r="E16" i="17"/>
  <c r="F32" i="45"/>
  <c r="K27" i="45"/>
  <c r="F26" i="45"/>
  <c r="G28" i="45"/>
  <c r="E26" i="45"/>
  <c r="L27" i="45"/>
  <c r="I16" i="17"/>
  <c r="F34" i="45"/>
  <c r="H15" i="17"/>
  <c r="K31" i="45"/>
  <c r="J25" i="45"/>
  <c r="N35" i="45"/>
  <c r="G30" i="45"/>
  <c r="K29" i="45"/>
  <c r="J33" i="45"/>
  <c r="H16" i="17"/>
  <c r="S23" i="45"/>
  <c r="I32" i="45"/>
  <c r="F16" i="17"/>
  <c r="G34" i="45"/>
  <c r="H32" i="45"/>
  <c r="N37" i="45"/>
  <c r="F30" i="45"/>
  <c r="L31" i="45"/>
  <c r="E15" i="17"/>
  <c r="G32" i="45"/>
  <c r="J16" i="17"/>
  <c r="L37" i="45"/>
  <c r="H34" i="45"/>
  <c r="N25" i="45"/>
  <c r="I24" i="45"/>
  <c r="M33" i="45"/>
  <c r="L32" i="45" l="1"/>
  <c r="N24" i="45"/>
  <c r="L24" i="45"/>
  <c r="N26" i="45"/>
  <c r="J28" i="45"/>
  <c r="L26" i="45"/>
  <c r="M32" i="45"/>
  <c r="M34" i="45"/>
  <c r="J26" i="45"/>
  <c r="L30" i="45"/>
  <c r="K28" i="45"/>
  <c r="K32" i="45"/>
  <c r="N30" i="45"/>
  <c r="J34" i="45"/>
  <c r="L36" i="45"/>
  <c r="M30" i="45"/>
  <c r="K36" i="45"/>
  <c r="M36" i="45"/>
  <c r="L28" i="45"/>
  <c r="J30" i="45"/>
  <c r="L34" i="45"/>
  <c r="N34" i="45"/>
  <c r="J36" i="45"/>
  <c r="M26" i="45"/>
  <c r="K30" i="45"/>
  <c r="J24" i="45"/>
  <c r="M24" i="45"/>
  <c r="K34" i="45"/>
  <c r="N32" i="45"/>
  <c r="N28" i="45"/>
  <c r="K24" i="45"/>
  <c r="M28" i="45"/>
  <c r="N36" i="45"/>
  <c r="J32" i="45"/>
  <c r="K26" i="45"/>
  <c r="B28" i="45"/>
  <c r="N14" i="38"/>
  <c r="D25" i="38"/>
  <c r="E13" i="38"/>
  <c r="D13" i="38"/>
  <c r="F25" i="38"/>
  <c r="H15" i="38"/>
  <c r="G16" i="38"/>
  <c r="E18" i="38"/>
  <c r="H19" i="38"/>
  <c r="H13" i="38"/>
  <c r="F21" i="38"/>
  <c r="C15" i="38"/>
  <c r="C20" i="38"/>
  <c r="C21" i="38"/>
  <c r="H23" i="38"/>
  <c r="E16" i="38"/>
  <c r="G13" i="38"/>
  <c r="D23" i="38"/>
  <c r="E19" i="38"/>
  <c r="C17" i="38"/>
  <c r="D19" i="38"/>
  <c r="D14" i="38"/>
  <c r="C22" i="38"/>
  <c r="D15" i="38"/>
  <c r="E25" i="38"/>
  <c r="F13" i="38"/>
  <c r="H14" i="38"/>
  <c r="G15" i="38"/>
  <c r="F14" i="38"/>
  <c r="D17" i="38"/>
  <c r="E15" i="38"/>
  <c r="N13" i="38"/>
  <c r="F19" i="38"/>
  <c r="E21" i="38"/>
  <c r="H25" i="38"/>
  <c r="G25" i="38"/>
  <c r="D24" i="38"/>
  <c r="G17" i="38"/>
  <c r="G24" i="38"/>
  <c r="D18" i="38"/>
  <c r="D20" i="38"/>
  <c r="F23" i="38"/>
  <c r="D16" i="38"/>
  <c r="C18" i="38"/>
  <c r="F15" i="38"/>
  <c r="G23" i="38"/>
  <c r="F24" i="38"/>
  <c r="F22" i="38"/>
  <c r="G22" i="38"/>
  <c r="H20" i="38"/>
  <c r="D21" i="38"/>
  <c r="E23" i="38"/>
  <c r="C13" i="38"/>
  <c r="F18" i="38"/>
  <c r="G19" i="38"/>
  <c r="E17" i="38"/>
  <c r="H21" i="38"/>
  <c r="C24" i="38"/>
  <c r="H24" i="38"/>
  <c r="F16" i="38"/>
  <c r="C16" i="38"/>
  <c r="E14" i="38"/>
  <c r="C23" i="38"/>
  <c r="C19" i="38"/>
  <c r="C25" i="38"/>
  <c r="E22" i="38"/>
  <c r="E24" i="38"/>
  <c r="C14" i="38"/>
  <c r="G20" i="38"/>
  <c r="H18" i="38"/>
  <c r="D22" i="38"/>
  <c r="H16" i="38"/>
  <c r="H22" i="38"/>
  <c r="E20" i="38"/>
  <c r="H17" i="38"/>
  <c r="G18" i="38"/>
  <c r="F20" i="38"/>
  <c r="G14" i="38"/>
  <c r="F17" i="38"/>
  <c r="G21" i="38"/>
  <c r="B29" i="45" l="1"/>
  <c r="B21" i="38"/>
  <c r="B20" i="38"/>
  <c r="B19" i="38"/>
  <c r="B18" i="38"/>
  <c r="B17" i="38"/>
  <c r="B16" i="38"/>
  <c r="B15" i="38"/>
  <c r="B14" i="38"/>
  <c r="E10" i="39"/>
  <c r="F10" i="39" s="1"/>
  <c r="H15" i="39"/>
  <c r="H21" i="39" s="1"/>
  <c r="G15" i="39"/>
  <c r="G21" i="39" s="1"/>
  <c r="F15" i="39"/>
  <c r="F20" i="39" s="1"/>
  <c r="E15" i="39"/>
  <c r="E20" i="39" s="1"/>
  <c r="D15" i="39"/>
  <c r="D20" i="39" s="1"/>
  <c r="C15" i="39"/>
  <c r="C20" i="39" s="1"/>
  <c r="E9" i="39"/>
  <c r="F9" i="39" s="1"/>
  <c r="H24" i="37"/>
  <c r="G24" i="37"/>
  <c r="F24" i="37"/>
  <c r="E24" i="37"/>
  <c r="D24" i="37"/>
  <c r="C24" i="37"/>
  <c r="H19" i="37"/>
  <c r="G19" i="37"/>
  <c r="F19" i="37"/>
  <c r="E19" i="37"/>
  <c r="D19" i="37"/>
  <c r="C19" i="37"/>
  <c r="F10" i="37"/>
  <c r="F9" i="37"/>
  <c r="G26" i="39"/>
  <c r="C18" i="39"/>
  <c r="C18" i="37"/>
  <c r="G18" i="37"/>
  <c r="D18" i="37"/>
  <c r="F26" i="39"/>
  <c r="E18" i="37"/>
  <c r="H18" i="37"/>
  <c r="D18" i="39"/>
  <c r="F18" i="39"/>
  <c r="G18" i="39"/>
  <c r="E18" i="39"/>
  <c r="D26" i="39"/>
  <c r="H18" i="39"/>
  <c r="F18" i="37"/>
  <c r="C26" i="39"/>
  <c r="E26" i="39"/>
  <c r="H26" i="39"/>
  <c r="B30" i="45" l="1"/>
  <c r="G27" i="39"/>
  <c r="C27" i="39"/>
  <c r="H27" i="39"/>
  <c r="D27" i="39"/>
  <c r="E27" i="39"/>
  <c r="F27" i="39"/>
  <c r="C21" i="39"/>
  <c r="D21" i="39"/>
  <c r="G16" i="39"/>
  <c r="G20" i="39"/>
  <c r="H20" i="39"/>
  <c r="C16" i="39"/>
  <c r="E21" i="39"/>
  <c r="H16" i="39"/>
  <c r="D16" i="39"/>
  <c r="F21" i="39"/>
  <c r="E16" i="39"/>
  <c r="F16" i="39"/>
  <c r="A15" i="38"/>
  <c r="A16" i="38" s="1"/>
  <c r="A17" i="38" s="1"/>
  <c r="A18" i="38" s="1"/>
  <c r="A19" i="38" s="1"/>
  <c r="A20" i="38" s="1"/>
  <c r="A21" i="38" s="1"/>
  <c r="A22" i="38" s="1"/>
  <c r="A23" i="38" s="1"/>
  <c r="A24" i="38" s="1"/>
  <c r="A25" i="38" s="1"/>
  <c r="A26" i="38" s="1"/>
  <c r="A27" i="38" s="1"/>
  <c r="A28" i="38" s="1"/>
  <c r="A29" i="38" s="1"/>
  <c r="A30" i="38" s="1"/>
  <c r="A31" i="38" s="1"/>
  <c r="A32" i="38" s="1"/>
  <c r="A33" i="38" s="1"/>
  <c r="A34" i="38" s="1"/>
  <c r="A35" i="38" s="1"/>
  <c r="A36" i="38" s="1"/>
  <c r="A14" i="38"/>
  <c r="E9" i="38"/>
  <c r="J11" i="38" s="1"/>
  <c r="E10" i="37"/>
  <c r="E9" i="37"/>
  <c r="H15" i="37"/>
  <c r="H16" i="37" s="1"/>
  <c r="G15" i="37"/>
  <c r="G16" i="37" s="1"/>
  <c r="F15" i="37"/>
  <c r="F20" i="37" s="1"/>
  <c r="E15" i="37"/>
  <c r="E20" i="37" s="1"/>
  <c r="D15" i="37"/>
  <c r="D20" i="37" s="1"/>
  <c r="C15" i="37"/>
  <c r="C20" i="37" s="1"/>
  <c r="F26" i="37"/>
  <c r="E17" i="39"/>
  <c r="C17" i="39"/>
  <c r="C26" i="37"/>
  <c r="G26" i="37"/>
  <c r="D17" i="39"/>
  <c r="G17" i="39"/>
  <c r="H17" i="37"/>
  <c r="D26" i="37"/>
  <c r="E26" i="37"/>
  <c r="F17" i="39"/>
  <c r="G17" i="37"/>
  <c r="H26" i="37"/>
  <c r="H17" i="39"/>
  <c r="B32" i="45" l="1"/>
  <c r="B31" i="45"/>
  <c r="D23" i="39"/>
  <c r="D29" i="39" s="1"/>
  <c r="G27" i="37"/>
  <c r="G30" i="37" s="1"/>
  <c r="G33" i="37" s="1"/>
  <c r="E23" i="39"/>
  <c r="E29" i="39" s="1"/>
  <c r="G23" i="37"/>
  <c r="C27" i="37"/>
  <c r="C30" i="37" s="1"/>
  <c r="C33" i="37" s="1"/>
  <c r="F27" i="37"/>
  <c r="F30" i="37" s="1"/>
  <c r="F33" i="37" s="1"/>
  <c r="G23" i="39"/>
  <c r="G29" i="39" s="1"/>
  <c r="H23" i="37"/>
  <c r="C23" i="39"/>
  <c r="C29" i="39" s="1"/>
  <c r="H27" i="37"/>
  <c r="H30" i="37" s="1"/>
  <c r="H33" i="37" s="1"/>
  <c r="H23" i="39"/>
  <c r="H29" i="39" s="1"/>
  <c r="D27" i="37"/>
  <c r="D30" i="37" s="1"/>
  <c r="D33" i="37" s="1"/>
  <c r="F23" i="39"/>
  <c r="F29" i="39" s="1"/>
  <c r="E27" i="37"/>
  <c r="E30" i="37" s="1"/>
  <c r="E33" i="37" s="1"/>
  <c r="C19" i="39"/>
  <c r="H19" i="39"/>
  <c r="F19" i="39"/>
  <c r="D19" i="39"/>
  <c r="E19" i="39"/>
  <c r="G19" i="39"/>
  <c r="E21" i="37"/>
  <c r="F21" i="37"/>
  <c r="G21" i="37"/>
  <c r="H21" i="37"/>
  <c r="C21" i="37"/>
  <c r="D21" i="37"/>
  <c r="F16" i="37"/>
  <c r="E16" i="37"/>
  <c r="D16" i="37"/>
  <c r="C16" i="37"/>
  <c r="H20" i="37"/>
  <c r="G20" i="37"/>
  <c r="H34" i="39"/>
  <c r="F17" i="37"/>
  <c r="D34" i="39"/>
  <c r="D17" i="37"/>
  <c r="F34" i="39"/>
  <c r="C17" i="37"/>
  <c r="C34" i="39"/>
  <c r="G34" i="39"/>
  <c r="E17" i="37"/>
  <c r="E34" i="39"/>
  <c r="B33" i="45" l="1"/>
  <c r="H29" i="37"/>
  <c r="H34" i="37" s="1"/>
  <c r="G29" i="37"/>
  <c r="G34" i="37" s="1"/>
  <c r="F23" i="37"/>
  <c r="F29" i="37" s="1"/>
  <c r="F34" i="37" s="1"/>
  <c r="C23" i="37"/>
  <c r="C29" i="37" s="1"/>
  <c r="C34" i="37" s="1"/>
  <c r="D23" i="37"/>
  <c r="D29" i="37" s="1"/>
  <c r="D34" i="37" s="1"/>
  <c r="E23" i="37"/>
  <c r="E29" i="37" s="1"/>
  <c r="E34" i="37" s="1"/>
  <c r="B34" i="45" l="1"/>
  <c r="J21" i="17"/>
  <c r="I21" i="17"/>
  <c r="H21" i="17"/>
  <c r="G21" i="17"/>
  <c r="F21" i="17"/>
  <c r="J14" i="17"/>
  <c r="I14" i="17"/>
  <c r="H14" i="17"/>
  <c r="G14" i="17"/>
  <c r="F14" i="17"/>
  <c r="J13" i="17"/>
  <c r="I13" i="17"/>
  <c r="H13" i="17"/>
  <c r="G13" i="17"/>
  <c r="F13" i="17"/>
  <c r="E13" i="17"/>
  <c r="E21" i="17" s="1"/>
  <c r="B35" i="45" l="1"/>
  <c r="E14" i="17"/>
  <c r="J18" i="17"/>
  <c r="J23" i="17" s="1"/>
  <c r="J26" i="17" s="1"/>
  <c r="I18" i="17"/>
  <c r="I23" i="17" s="1"/>
  <c r="I26" i="17" s="1"/>
  <c r="H18" i="17"/>
  <c r="H23" i="17" s="1"/>
  <c r="H26" i="17" s="1"/>
  <c r="F18" i="17"/>
  <c r="F23" i="17" s="1"/>
  <c r="F26" i="17" s="1"/>
  <c r="G18" i="17"/>
  <c r="G23" i="17" s="1"/>
  <c r="G26" i="17" s="1"/>
  <c r="I17" i="17"/>
  <c r="F17" i="17"/>
  <c r="G17" i="17"/>
  <c r="H17" i="17"/>
  <c r="J17" i="17"/>
  <c r="E9" i="17"/>
  <c r="K16" i="2"/>
  <c r="K15" i="2"/>
  <c r="K14" i="2"/>
  <c r="K13" i="2"/>
  <c r="K12" i="2"/>
  <c r="K11" i="2"/>
  <c r="K10" i="2"/>
  <c r="K9" i="2"/>
  <c r="K8" i="2"/>
  <c r="K7" i="2"/>
  <c r="K6" i="2"/>
  <c r="K5" i="2"/>
  <c r="B36" i="45" l="1"/>
  <c r="E18" i="17"/>
  <c r="E23" i="17" s="1"/>
  <c r="E26" i="17" s="1"/>
  <c r="E17" i="17"/>
  <c r="E20" i="17" s="1"/>
  <c r="J22" i="17"/>
  <c r="J25" i="17" s="1"/>
  <c r="J20" i="17"/>
  <c r="J19" i="17"/>
  <c r="G22" i="17"/>
  <c r="G25" i="17" s="1"/>
  <c r="G19" i="17"/>
  <c r="G20" i="17"/>
  <c r="I22" i="17"/>
  <c r="I25" i="17" s="1"/>
  <c r="I20" i="17"/>
  <c r="I19" i="17"/>
  <c r="H22" i="17"/>
  <c r="H25" i="17" s="1"/>
  <c r="H19" i="17"/>
  <c r="H20" i="17"/>
  <c r="F22" i="17"/>
  <c r="F25" i="17" s="1"/>
  <c r="F20" i="17"/>
  <c r="F19" i="17"/>
  <c r="E22" i="17"/>
  <c r="E25" i="17" s="1"/>
  <c r="E3" i="14"/>
  <c r="R4" i="2" a="1"/>
  <c r="B5" i="2"/>
  <c r="B37" i="45" l="1"/>
  <c r="E19" i="17"/>
  <c r="R4" i="2"/>
  <c r="R6" i="2"/>
  <c r="R8" i="2"/>
  <c r="R10" i="2"/>
  <c r="R12" i="2"/>
  <c r="R14" i="2"/>
  <c r="S6" i="2"/>
  <c r="S8" i="2"/>
  <c r="S12" i="2"/>
  <c r="S14" i="2"/>
  <c r="S4" i="2"/>
  <c r="S10" i="2"/>
  <c r="R5" i="2"/>
  <c r="R7" i="2"/>
  <c r="R9" i="2"/>
  <c r="R11" i="2"/>
  <c r="R13" i="2"/>
  <c r="S5" i="2"/>
  <c r="S7" i="2"/>
  <c r="S9" i="2"/>
  <c r="S11" i="2"/>
  <c r="S13" i="2"/>
  <c r="G12" i="14"/>
  <c r="D17" i="14"/>
  <c r="M3" i="13"/>
  <c r="C15" i="14" l="1"/>
  <c r="C23" i="14"/>
  <c r="D19" i="14"/>
  <c r="D23" i="14"/>
  <c r="D12" i="14" l="1"/>
  <c r="H12" i="14" s="1"/>
  <c r="D21" i="14" s="1"/>
  <c r="D8" i="14"/>
  <c r="D7" i="14"/>
  <c r="D9" i="14" s="1"/>
  <c r="H9" i="14" s="1"/>
  <c r="D20" i="14" s="1"/>
  <c r="M4" i="13"/>
  <c r="D24" i="14" l="1"/>
  <c r="D26" i="14" s="1"/>
  <c r="D27" i="14" s="1"/>
  <c r="G19" i="10" l="1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D6" i="10"/>
  <c r="G5" i="10"/>
  <c r="D5" i="10"/>
  <c r="G4" i="10"/>
  <c r="D4" i="10"/>
  <c r="B52" i="2"/>
  <c r="B21" i="2"/>
  <c r="B66" i="2"/>
  <c r="B27" i="2"/>
  <c r="B23" i="2"/>
  <c r="B30" i="2"/>
  <c r="B29" i="2"/>
  <c r="B48" i="2"/>
  <c r="B72" i="2"/>
  <c r="B17" i="2"/>
  <c r="B26" i="2"/>
  <c r="B68" i="2"/>
  <c r="B55" i="2"/>
  <c r="B47" i="2"/>
  <c r="B31" i="2"/>
  <c r="B59" i="2"/>
  <c r="B7" i="2"/>
  <c r="B33" i="2"/>
  <c r="B12" i="2"/>
  <c r="B49" i="2"/>
  <c r="B32" i="2"/>
  <c r="B54" i="2"/>
  <c r="B20" i="2"/>
  <c r="B51" i="2"/>
  <c r="B69" i="2"/>
  <c r="B57" i="2"/>
  <c r="B25" i="2"/>
  <c r="B16" i="2"/>
  <c r="B71" i="2"/>
  <c r="B13" i="2"/>
  <c r="B44" i="2"/>
  <c r="B62" i="2"/>
  <c r="B56" i="2"/>
  <c r="B18" i="2"/>
  <c r="B61" i="2"/>
  <c r="B43" i="2"/>
  <c r="B53" i="2"/>
  <c r="B50" i="2"/>
  <c r="B8" i="2"/>
  <c r="B15" i="2"/>
  <c r="B6" i="2"/>
  <c r="B60" i="2"/>
  <c r="B64" i="2"/>
  <c r="B41" i="2"/>
  <c r="B34" i="2"/>
  <c r="B36" i="2"/>
  <c r="B70" i="2"/>
  <c r="B35" i="2"/>
  <c r="B14" i="2"/>
  <c r="B58" i="2"/>
  <c r="B65" i="2"/>
  <c r="B24" i="2"/>
  <c r="B63" i="2"/>
  <c r="B11" i="2"/>
  <c r="B67" i="2"/>
  <c r="B42" i="2"/>
  <c r="B19" i="2"/>
  <c r="B9" i="2"/>
  <c r="B45" i="2"/>
  <c r="B46" i="2"/>
  <c r="B22" i="2"/>
  <c r="B10" i="2"/>
  <c r="B28" i="2"/>
  <c r="E41" i="2" l="1"/>
  <c r="E42" i="2"/>
  <c r="E59" i="2"/>
  <c r="E9" i="2"/>
  <c r="J9" i="2" s="1"/>
  <c r="E25" i="2"/>
  <c r="J25" i="2" s="1"/>
  <c r="E18" i="2"/>
  <c r="J18" i="2" s="1"/>
  <c r="E15" i="2"/>
  <c r="J15" i="2" s="1"/>
  <c r="E31" i="2"/>
  <c r="J31" i="2" s="1"/>
  <c r="E8" i="2"/>
  <c r="J8" i="2" s="1"/>
  <c r="E24" i="2"/>
  <c r="J24" i="2" s="1"/>
  <c r="E45" i="2"/>
  <c r="E61" i="2"/>
  <c r="E46" i="2"/>
  <c r="E62" i="2"/>
  <c r="E47" i="2"/>
  <c r="E63" i="2"/>
  <c r="E48" i="2"/>
  <c r="E64" i="2"/>
  <c r="E13" i="2"/>
  <c r="J13" i="2" s="1"/>
  <c r="E6" i="2"/>
  <c r="J6" i="2" s="1"/>
  <c r="E22" i="2"/>
  <c r="J22" i="2" s="1"/>
  <c r="E29" i="2"/>
  <c r="J29" i="2" s="1"/>
  <c r="E19" i="2"/>
  <c r="J19" i="2" s="1"/>
  <c r="E35" i="2"/>
  <c r="J35" i="2" s="1"/>
  <c r="E12" i="2"/>
  <c r="J12" i="2" s="1"/>
  <c r="E28" i="2"/>
  <c r="J28" i="2" s="1"/>
  <c r="E49" i="2"/>
  <c r="E65" i="2"/>
  <c r="E50" i="2"/>
  <c r="E66" i="2"/>
  <c r="E51" i="2"/>
  <c r="E67" i="2"/>
  <c r="E52" i="2"/>
  <c r="E68" i="2"/>
  <c r="E17" i="2"/>
  <c r="J17" i="2" s="1"/>
  <c r="E10" i="2"/>
  <c r="J10" i="2" s="1"/>
  <c r="E26" i="2"/>
  <c r="J26" i="2" s="1"/>
  <c r="E7" i="2"/>
  <c r="J7" i="2" s="1"/>
  <c r="E23" i="2"/>
  <c r="J23" i="2" s="1"/>
  <c r="E5" i="2"/>
  <c r="J5" i="2" s="1"/>
  <c r="E16" i="2"/>
  <c r="E32" i="2"/>
  <c r="J32" i="2" s="1"/>
  <c r="E57" i="2"/>
  <c r="E58" i="2"/>
  <c r="E43" i="2"/>
  <c r="E44" i="2"/>
  <c r="E60" i="2"/>
  <c r="E34" i="2"/>
  <c r="J34" i="2" s="1"/>
  <c r="E53" i="2"/>
  <c r="E69" i="2"/>
  <c r="E54" i="2"/>
  <c r="E70" i="2"/>
  <c r="E55" i="2"/>
  <c r="E71" i="2"/>
  <c r="E56" i="2"/>
  <c r="E72" i="2"/>
  <c r="E21" i="2"/>
  <c r="J21" i="2" s="1"/>
  <c r="E14" i="2"/>
  <c r="J14" i="2" s="1"/>
  <c r="E30" i="2"/>
  <c r="J30" i="2" s="1"/>
  <c r="E11" i="2"/>
  <c r="J11" i="2" s="1"/>
  <c r="E27" i="2"/>
  <c r="J27" i="2" s="1"/>
  <c r="E33" i="2"/>
  <c r="J33" i="2" s="1"/>
  <c r="E20" i="2"/>
  <c r="J20" i="2" s="1"/>
  <c r="E36" i="2"/>
  <c r="J36" i="2" s="1"/>
  <c r="J16" i="2" l="1"/>
  <c r="I16" i="2"/>
  <c r="F36" i="2"/>
  <c r="G36" i="2" s="1"/>
  <c r="I36" i="2"/>
  <c r="F70" i="2"/>
  <c r="G70" i="2" s="1"/>
  <c r="I70" i="2"/>
  <c r="I43" i="2"/>
  <c r="F43" i="2"/>
  <c r="G43" i="2" s="1"/>
  <c r="F26" i="2"/>
  <c r="G26" i="2" s="1"/>
  <c r="I26" i="2"/>
  <c r="I67" i="2"/>
  <c r="F67" i="2"/>
  <c r="G67" i="2" s="1"/>
  <c r="F6" i="2"/>
  <c r="G6" i="2" s="1"/>
  <c r="I6" i="2"/>
  <c r="I63" i="2"/>
  <c r="F63" i="2"/>
  <c r="G63" i="2" s="1"/>
  <c r="I31" i="2"/>
  <c r="F31" i="2"/>
  <c r="G31" i="2" s="1"/>
  <c r="F30" i="2"/>
  <c r="G30" i="2" s="1"/>
  <c r="I30" i="2"/>
  <c r="F54" i="2"/>
  <c r="G54" i="2" s="1"/>
  <c r="I54" i="2"/>
  <c r="F5" i="2"/>
  <c r="G5" i="2" s="1"/>
  <c r="I5" i="2"/>
  <c r="F49" i="2"/>
  <c r="G49" i="2" s="1"/>
  <c r="I49" i="2"/>
  <c r="I65" i="2"/>
  <c r="F65" i="2"/>
  <c r="G65" i="2" s="1"/>
  <c r="I9" i="2"/>
  <c r="F9" i="2"/>
  <c r="G9" i="2" s="1"/>
  <c r="I20" i="2"/>
  <c r="F20" i="2"/>
  <c r="G20" i="2" s="1"/>
  <c r="F56" i="2"/>
  <c r="G56" i="2" s="1"/>
  <c r="I56" i="2"/>
  <c r="F34" i="2"/>
  <c r="G34" i="2" s="1"/>
  <c r="I34" i="2"/>
  <c r="F58" i="2"/>
  <c r="G58" i="2" s="1"/>
  <c r="I58" i="2"/>
  <c r="I10" i="2"/>
  <c r="F10" i="2"/>
  <c r="G10" i="2" s="1"/>
  <c r="I51" i="2"/>
  <c r="F51" i="2"/>
  <c r="G51" i="2" s="1"/>
  <c r="F19" i="2"/>
  <c r="G19" i="2" s="1"/>
  <c r="I19" i="2"/>
  <c r="I13" i="2"/>
  <c r="F13" i="2"/>
  <c r="G13" i="2" s="1"/>
  <c r="I47" i="2"/>
  <c r="F47" i="2"/>
  <c r="G47" i="2" s="1"/>
  <c r="F45" i="2"/>
  <c r="G45" i="2" s="1"/>
  <c r="I45" i="2"/>
  <c r="F15" i="2"/>
  <c r="G15" i="2" s="1"/>
  <c r="I15" i="2"/>
  <c r="I59" i="2"/>
  <c r="F59" i="2"/>
  <c r="G59" i="2" s="1"/>
  <c r="F33" i="2"/>
  <c r="G33" i="2" s="1"/>
  <c r="I33" i="2"/>
  <c r="I14" i="2"/>
  <c r="F14" i="2"/>
  <c r="G14" i="2" s="1"/>
  <c r="I71" i="2"/>
  <c r="F71" i="2"/>
  <c r="G71" i="2" s="1"/>
  <c r="F69" i="2"/>
  <c r="G69" i="2" s="1"/>
  <c r="I69" i="2"/>
  <c r="I60" i="2"/>
  <c r="F60" i="2"/>
  <c r="G60" i="2" s="1"/>
  <c r="F57" i="2"/>
  <c r="G57" i="2" s="1"/>
  <c r="I57" i="2"/>
  <c r="I23" i="2"/>
  <c r="F23" i="2"/>
  <c r="G23" i="2" s="1"/>
  <c r="I17" i="2"/>
  <c r="F17" i="2"/>
  <c r="G17" i="2" s="1"/>
  <c r="I68" i="2"/>
  <c r="F68" i="2"/>
  <c r="G68" i="2" s="1"/>
  <c r="F66" i="2"/>
  <c r="G66" i="2" s="1"/>
  <c r="I66" i="2"/>
  <c r="I28" i="2"/>
  <c r="F28" i="2"/>
  <c r="G28" i="2" s="1"/>
  <c r="I29" i="2"/>
  <c r="F29" i="2"/>
  <c r="G29" i="2" s="1"/>
  <c r="F64" i="2"/>
  <c r="G64" i="2" s="1"/>
  <c r="I64" i="2"/>
  <c r="F62" i="2"/>
  <c r="G62" i="2" s="1"/>
  <c r="I62" i="2"/>
  <c r="I24" i="2"/>
  <c r="F24" i="2"/>
  <c r="G24" i="2" s="1"/>
  <c r="F18" i="2"/>
  <c r="G18" i="2" s="1"/>
  <c r="I18" i="2"/>
  <c r="I42" i="2"/>
  <c r="F42" i="2"/>
  <c r="G42" i="2" s="1"/>
  <c r="I11" i="2"/>
  <c r="F11" i="2"/>
  <c r="G11" i="2" s="1"/>
  <c r="I72" i="2"/>
  <c r="F72" i="2"/>
  <c r="G72" i="2" s="1"/>
  <c r="F16" i="2"/>
  <c r="G16" i="2" s="1"/>
  <c r="I35" i="2"/>
  <c r="F35" i="2"/>
  <c r="G35" i="2" s="1"/>
  <c r="F61" i="2"/>
  <c r="G61" i="2" s="1"/>
  <c r="I61" i="2"/>
  <c r="F27" i="2"/>
  <c r="G27" i="2" s="1"/>
  <c r="I27" i="2"/>
  <c r="I21" i="2"/>
  <c r="F21" i="2"/>
  <c r="G21" i="2" s="1"/>
  <c r="I55" i="2"/>
  <c r="F55" i="2"/>
  <c r="G55" i="2" s="1"/>
  <c r="F53" i="2"/>
  <c r="G53" i="2" s="1"/>
  <c r="I53" i="2"/>
  <c r="F44" i="2"/>
  <c r="G44" i="2" s="1"/>
  <c r="I44" i="2"/>
  <c r="I32" i="2"/>
  <c r="F32" i="2"/>
  <c r="G32" i="2" s="1"/>
  <c r="I7" i="2"/>
  <c r="F7" i="2"/>
  <c r="G7" i="2" s="1"/>
  <c r="I52" i="2"/>
  <c r="F52" i="2"/>
  <c r="G52" i="2" s="1"/>
  <c r="F50" i="2"/>
  <c r="G50" i="2" s="1"/>
  <c r="I50" i="2"/>
  <c r="I12" i="2"/>
  <c r="F12" i="2"/>
  <c r="G12" i="2" s="1"/>
  <c r="F22" i="2"/>
  <c r="G22" i="2" s="1"/>
  <c r="I22" i="2"/>
  <c r="I48" i="2"/>
  <c r="F48" i="2"/>
  <c r="G48" i="2" s="1"/>
  <c r="F46" i="2"/>
  <c r="G46" i="2" s="1"/>
  <c r="I46" i="2"/>
  <c r="I8" i="2"/>
  <c r="F8" i="2"/>
  <c r="G8" i="2" s="1"/>
  <c r="I25" i="2"/>
  <c r="F25" i="2"/>
  <c r="G25" i="2" s="1"/>
  <c r="F41" i="2"/>
  <c r="G41" i="2" s="1"/>
  <c r="I41" i="2"/>
</calcChain>
</file>

<file path=xl/sharedStrings.xml><?xml version="1.0" encoding="utf-8"?>
<sst xmlns="http://schemas.openxmlformats.org/spreadsheetml/2006/main" count="1470" uniqueCount="394">
  <si>
    <t>Chi phí theo số lượng</t>
  </si>
  <si>
    <t>Lợi nhuận</t>
  </si>
  <si>
    <t>Doanh thu</t>
  </si>
  <si>
    <t>Tính toán</t>
  </si>
  <si>
    <t>Giá thành</t>
  </si>
  <si>
    <t>Lợi nhuận biên (%)</t>
  </si>
  <si>
    <t>Số lượng tính</t>
  </si>
  <si>
    <t>Markup (theo ngành)</t>
  </si>
  <si>
    <t>Giá bán</t>
  </si>
  <si>
    <t>Giá TB/A4</t>
  </si>
  <si>
    <t>TÍNH TOÁN LẠI IN</t>
  </si>
  <si>
    <t>Trang</t>
  </si>
  <si>
    <t>Giá</t>
  </si>
  <si>
    <t>1-10</t>
  </si>
  <si>
    <t>BẢNG GIA CHO GIA CÔNG IN LẺ</t>
  </si>
  <si>
    <t>11-50</t>
  </si>
  <si>
    <t>51-&gt;up</t>
  </si>
  <si>
    <t>In lẻ &lt;10 trang</t>
  </si>
  <si>
    <t>20000đ</t>
  </si>
  <si>
    <t>1 In 4 màu</t>
  </si>
  <si>
    <t>2. In đen trắng</t>
  </si>
  <si>
    <t>In theo gói</t>
  </si>
  <si>
    <t>Số lượng (trang)</t>
  </si>
  <si>
    <t>Giá/Trang</t>
  </si>
  <si>
    <t>300.000đ</t>
  </si>
  <si>
    <t>450.000đ</t>
  </si>
  <si>
    <t>555.000đ</t>
  </si>
  <si>
    <t>650.000đ</t>
  </si>
  <si>
    <t>750.000đ</t>
  </si>
  <si>
    <t>1.400.000đ</t>
  </si>
  <si>
    <t>6.000.000đ</t>
  </si>
  <si>
    <t>10.000.000đ</t>
  </si>
  <si>
    <t>In àu</t>
  </si>
  <si>
    <r>
      <t>I.</t>
    </r>
    <r>
      <rPr>
        <b/>
        <sz val="7"/>
        <color theme="1"/>
        <rFont val="Times New Roman"/>
        <family val="1"/>
      </rPr>
      <t xml:space="preserve">                   </t>
    </r>
    <r>
      <rPr>
        <b/>
        <sz val="13"/>
        <color theme="1"/>
        <rFont val="Times New Roman"/>
        <family val="1"/>
      </rPr>
      <t>In danh thiếp</t>
    </r>
  </si>
  <si>
    <r>
      <t>a.</t>
    </r>
    <r>
      <rPr>
        <b/>
        <sz val="7"/>
        <color theme="1"/>
        <rFont val="Times New Roman"/>
        <family val="1"/>
      </rPr>
      <t xml:space="preserve">      </t>
    </r>
    <r>
      <rPr>
        <b/>
        <sz val="13"/>
        <color theme="1"/>
        <rFont val="Times New Roman"/>
        <family val="1"/>
      </rPr>
      <t>Danh thiếp giấy Couche 300gsm cán màng mờ 2 mặt</t>
    </r>
  </si>
  <si>
    <t>Giấy couche 300gsm in 2 mặt và cán màng</t>
  </si>
  <si>
    <t>70.000đ/hộp</t>
  </si>
  <si>
    <r>
      <t>b.</t>
    </r>
    <r>
      <rPr>
        <b/>
        <sz val="7"/>
        <color theme="1"/>
        <rFont val="Times New Roman"/>
        <family val="1"/>
      </rPr>
      <t xml:space="preserve">     </t>
    </r>
    <r>
      <rPr>
        <b/>
        <sz val="13"/>
        <color theme="1"/>
        <rFont val="Times New Roman"/>
        <family val="1"/>
      </rPr>
      <t>Danh thiếp giấy nhựa</t>
    </r>
  </si>
  <si>
    <t>Giấy nhựa trắng mờ định lượng 200 gsm</t>
  </si>
  <si>
    <t>150.000đ/hộp</t>
  </si>
  <si>
    <t>Giấy nhựa trắng mờ định lượng 280gsm</t>
  </si>
  <si>
    <t xml:space="preserve">Đựng trong hộp mica </t>
  </si>
  <si>
    <t>300.000đ/hộp</t>
  </si>
  <si>
    <t>Bảng lũy tiến đề nghị</t>
  </si>
  <si>
    <t>11-&gt; up</t>
  </si>
  <si>
    <t>Một lần in tối thiểu 10 trang</t>
  </si>
  <si>
    <t>25.000đ/hộp</t>
  </si>
  <si>
    <t>In lẻ 20.000đ/trang</t>
  </si>
  <si>
    <t>MÁY IN</t>
  </si>
  <si>
    <t>MÁY IN KỸ THUẬT SỐ</t>
  </si>
  <si>
    <t>tốc độ hiệu quả A4/h</t>
  </si>
  <si>
    <t>Tờ Chạy</t>
  </si>
  <si>
    <t>ma</t>
  </si>
  <si>
    <t>ten_may</t>
  </si>
  <si>
    <t>bhr</t>
  </si>
  <si>
    <t>thoi_gian_chuan_bi</t>
  </si>
  <si>
    <t>to_do_co_so</t>
  </si>
  <si>
    <t>ma_gop</t>
  </si>
  <si>
    <t>ma_to_chay</t>
  </si>
  <si>
    <t>ma_may_in</t>
  </si>
  <si>
    <t>dien_giai</t>
  </si>
  <si>
    <t>toc_do_to_gio</t>
  </si>
  <si>
    <t>thu_tu</t>
  </si>
  <si>
    <t>MI01</t>
  </si>
  <si>
    <t>Máy 03 001</t>
  </si>
  <si>
    <t>30x21</t>
  </si>
  <si>
    <t>30 x 21cm</t>
  </si>
  <si>
    <t>MI02</t>
  </si>
  <si>
    <t>Máy 03 002</t>
  </si>
  <si>
    <t>32x23</t>
  </si>
  <si>
    <t>32 x 23cm</t>
  </si>
  <si>
    <t>MI03</t>
  </si>
  <si>
    <t>Máy 03 003</t>
  </si>
  <si>
    <t>32x26</t>
  </si>
  <si>
    <t>32 x 26cm</t>
  </si>
  <si>
    <t>32x39</t>
  </si>
  <si>
    <t>32 x 39cm</t>
  </si>
  <si>
    <t>32x44</t>
  </si>
  <si>
    <t>32 x 44cm</t>
  </si>
  <si>
    <t>32x47</t>
  </si>
  <si>
    <t>32 x 47cm</t>
  </si>
  <si>
    <t>32x48.5</t>
  </si>
  <si>
    <t>32 x 48.5cm</t>
  </si>
  <si>
    <t>32x65</t>
  </si>
  <si>
    <t>32 x 65cm</t>
  </si>
  <si>
    <t>Tổng phí</t>
  </si>
  <si>
    <t>KEO EVA</t>
  </si>
  <si>
    <t>MÀNG</t>
  </si>
  <si>
    <t>gia_m2</t>
  </si>
  <si>
    <t>KHUÔN ÉP KIM</t>
  </si>
  <si>
    <t>KIM ÉP</t>
  </si>
  <si>
    <t>gia_cm2</t>
  </si>
  <si>
    <t>NHU-KIM-THUONG</t>
  </si>
  <si>
    <t>Nhũ kim thường</t>
  </si>
  <si>
    <t>NHU-KIM-VI-TINH</t>
  </si>
  <si>
    <t>Nhũ kim vi tính</t>
  </si>
  <si>
    <t>KHUON-EP-KIM-NHOM</t>
  </si>
  <si>
    <t>Khuôn ép kim nhôm</t>
  </si>
  <si>
    <t>MANG-NHIET</t>
  </si>
  <si>
    <t>Màng nhiệt</t>
  </si>
  <si>
    <t>TÍNH BÀI CMYK</t>
  </si>
  <si>
    <t>Tờ ép khổ</t>
  </si>
  <si>
    <t>54x76cm</t>
  </si>
  <si>
    <t>Số con/tờ</t>
  </si>
  <si>
    <t>Đối thủ làm</t>
  </si>
  <si>
    <t>3 con /tờ</t>
  </si>
  <si>
    <t>3x8 con</t>
  </si>
  <si>
    <t>Màu kim /tờ</t>
  </si>
  <si>
    <t>Số vòng ép</t>
  </si>
  <si>
    <t>Khuôn 1 kích thước</t>
  </si>
  <si>
    <t>Khuôn 2 kích thước</t>
  </si>
  <si>
    <t>tổng cm2</t>
  </si>
  <si>
    <t>Nhãn rượu</t>
  </si>
  <si>
    <t xml:space="preserve">Phí </t>
  </si>
  <si>
    <t>cắt ra nhãn nhỏ</t>
  </si>
  <si>
    <t>Mã ép kim</t>
  </si>
  <si>
    <t>Giá khuôn /cm2</t>
  </si>
  <si>
    <t>Số bộ</t>
  </si>
  <si>
    <t>Nhũ ép kim</t>
  </si>
  <si>
    <t>Mã nhũ ép kim</t>
  </si>
  <si>
    <t>Giá /cm2</t>
  </si>
  <si>
    <t>Số con dập</t>
  </si>
  <si>
    <t>Phí nhũ</t>
  </si>
  <si>
    <t>Số lần chạy</t>
  </si>
  <si>
    <t>Phí khuôn &amp; phí lấy</t>
  </si>
  <si>
    <t>Phí vận chuyển</t>
  </si>
  <si>
    <t>Phí cắt</t>
  </si>
  <si>
    <t>Cắt giấy</t>
  </si>
  <si>
    <t>Số tờ /xấp cắt</t>
  </si>
  <si>
    <t>Số xấp</t>
  </si>
  <si>
    <t>Số đường cắt/xấp</t>
  </si>
  <si>
    <t>Tính ép kim/Số tờ chạy</t>
  </si>
  <si>
    <t>Phí riêng kép kim</t>
  </si>
  <si>
    <t>Margin ngành</t>
  </si>
  <si>
    <t>Giá bán ngành</t>
  </si>
  <si>
    <t>Markup</t>
  </si>
  <si>
    <t>Margin</t>
  </si>
  <si>
    <t>Giá TB/Nhãn</t>
  </si>
  <si>
    <t>Rộng (cm)</t>
  </si>
  <si>
    <t>Cao (cm)</t>
  </si>
  <si>
    <t>Diện tích nhũ ép/lần</t>
  </si>
  <si>
    <t>Tổng tờ chạy đặt</t>
  </si>
  <si>
    <t>Tổng nhãn</t>
  </si>
  <si>
    <t>GIẤY CƠ BẢN</t>
  </si>
  <si>
    <t>gia_to</t>
  </si>
  <si>
    <t>C150gsm 32x47</t>
  </si>
  <si>
    <t>C200gsm 32x47</t>
  </si>
  <si>
    <t>C250gsm 32x47</t>
  </si>
  <si>
    <t>C300gsm 32x47</t>
  </si>
  <si>
    <t>B250gsm 32x47</t>
  </si>
  <si>
    <t>B300gsm 32x47</t>
  </si>
  <si>
    <t>B350gsm 32x47</t>
  </si>
  <si>
    <t>COC150-32x47</t>
  </si>
  <si>
    <t>COC200-32x47</t>
  </si>
  <si>
    <t>COC250-32x47</t>
  </si>
  <si>
    <t>COC300-32x47</t>
  </si>
  <si>
    <t>BRT250-32x47</t>
  </si>
  <si>
    <t>BRT300-32x47</t>
  </si>
  <si>
    <t>BRT350-32x47</t>
  </si>
  <si>
    <t>FOR180-32x43</t>
  </si>
  <si>
    <t>FOR180-32x47</t>
  </si>
  <si>
    <t>FOR150-32x47</t>
  </si>
  <si>
    <t>FOR250-32x47</t>
  </si>
  <si>
    <t>FOR100-32x47</t>
  </si>
  <si>
    <t>FOR120-32x47</t>
  </si>
  <si>
    <t>COC-M-150-32x47</t>
  </si>
  <si>
    <t>COC-M-115-32x43</t>
  </si>
  <si>
    <t>COC-M-250-32x43</t>
  </si>
  <si>
    <t>IVR-210-32x43</t>
  </si>
  <si>
    <t>IVR-350-32x43</t>
  </si>
  <si>
    <t>IVR-350-32x47</t>
  </si>
  <si>
    <t>IVR-300-32x47</t>
  </si>
  <si>
    <t>IVR-250-32x47</t>
  </si>
  <si>
    <t>COC100-32x47</t>
  </si>
  <si>
    <t>COC115-32x47</t>
  </si>
  <si>
    <t>COC100-32x43</t>
  </si>
  <si>
    <t>COC120-32x43</t>
  </si>
  <si>
    <t>COC120-32x47</t>
  </si>
  <si>
    <t>COC150-32x43</t>
  </si>
  <si>
    <t>C100gsm 32x47</t>
  </si>
  <si>
    <t>C120gsm 32x47</t>
  </si>
  <si>
    <t>C115gsm 32x47</t>
  </si>
  <si>
    <t>C120gsm 32x43</t>
  </si>
  <si>
    <t>C150gsm 32x43</t>
  </si>
  <si>
    <t>FO100gsm 32x47</t>
  </si>
  <si>
    <t>FO120gsm 32x47</t>
  </si>
  <si>
    <t>FO150gsm 32x47</t>
  </si>
  <si>
    <t>FO180gsm 32x47</t>
  </si>
  <si>
    <t>FO180gsm 32x43</t>
  </si>
  <si>
    <t>FO250gsm 32x47</t>
  </si>
  <si>
    <t>C-Matt 115gsm 32x43</t>
  </si>
  <si>
    <t>C-Matt 250gsm 32x43</t>
  </si>
  <si>
    <t>C-Matt 150gsm 32x47</t>
  </si>
  <si>
    <t>IVORY 210 32x43</t>
  </si>
  <si>
    <t>IVORY 250 32x47</t>
  </si>
  <si>
    <t>IVORY 300 32x47</t>
  </si>
  <si>
    <t>IVORY 350 32x47</t>
  </si>
  <si>
    <t>IVORY 350 32x43</t>
  </si>
  <si>
    <t>C100gsm 32x43</t>
  </si>
  <si>
    <t>COC200-32x43</t>
  </si>
  <si>
    <t>C200gsm 32x43</t>
  </si>
  <si>
    <t>COC250-32x43</t>
  </si>
  <si>
    <t>C250gsm 32x43</t>
  </si>
  <si>
    <t>COC300-32x43</t>
  </si>
  <si>
    <t>C300gsm 32x43</t>
  </si>
  <si>
    <t>TỜ RƠI A4</t>
  </si>
  <si>
    <t>Tờ chạy</t>
  </si>
  <si>
    <t>32x43</t>
  </si>
  <si>
    <t>Khổ cắt</t>
  </si>
  <si>
    <t>Dài (cm)</t>
  </si>
  <si>
    <t>Mục / số lượng SP</t>
  </si>
  <si>
    <t>Chi phí in gồm mực</t>
  </si>
  <si>
    <t>Giá TB/A3</t>
  </si>
  <si>
    <t>Số trang A3 tương ứng</t>
  </si>
  <si>
    <t>Giấy</t>
  </si>
  <si>
    <t>Mã</t>
  </si>
  <si>
    <t>Tên</t>
  </si>
  <si>
    <t>Thành tiền Mark up</t>
  </si>
  <si>
    <t>Đơn giá /Tờ chạy</t>
  </si>
  <si>
    <t>Số sản phẩm/ tờ chạy</t>
  </si>
  <si>
    <t>Giá TB 1M/trang tờ chạy</t>
  </si>
  <si>
    <t>Cập nhật ngày</t>
  </si>
  <si>
    <t>Gíá TB 1M/A4</t>
  </si>
  <si>
    <t>Giá giấy theo số SP</t>
  </si>
  <si>
    <t>Phí In 1M</t>
  </si>
  <si>
    <t>Giá In 1M sau khi Markup</t>
  </si>
  <si>
    <t>Tổng giá bán in 1M + giấy</t>
  </si>
  <si>
    <t>Tổng giá bán in 2M + giấy</t>
  </si>
  <si>
    <t>Giá In 2M sau khi Markup</t>
  </si>
  <si>
    <t>Số tờ chạy theo giấy cần + bù hao</t>
  </si>
  <si>
    <t>Số tờ A4 theo tờ chạy (tính in)</t>
  </si>
  <si>
    <t>Số tờ A4 / tờ chạy (dùng tính click in)</t>
  </si>
  <si>
    <t>Phí In 2M</t>
  </si>
  <si>
    <t>(là 43% margin)</t>
  </si>
  <si>
    <t>đã chạy</t>
  </si>
  <si>
    <t>COC250-32x65</t>
  </si>
  <si>
    <t>COC300-32x65</t>
  </si>
  <si>
    <t>C300gsm 32x65</t>
  </si>
  <si>
    <t>C250gsm 32x65</t>
  </si>
  <si>
    <t>EUR-PRI-350-32x47</t>
  </si>
  <si>
    <t>Euro Prim 350 32x47</t>
  </si>
  <si>
    <t>EUR-PRI-350-32x39</t>
  </si>
  <si>
    <t>Euro Prim 350 32x39</t>
  </si>
  <si>
    <t>COC300-32x39</t>
  </si>
  <si>
    <t>C300gsm 32x39</t>
  </si>
  <si>
    <t>Phí giấy default</t>
  </si>
  <si>
    <t>EUR-PRI-120-32x45</t>
  </si>
  <si>
    <t>Euro Prim 120 32x45</t>
  </si>
  <si>
    <t>Niêm yết 1M</t>
  </si>
  <si>
    <t>Niêm yết 2M</t>
  </si>
  <si>
    <t>FORT120-79x109</t>
  </si>
  <si>
    <t>FO120 79x109</t>
  </si>
  <si>
    <t>FOR150-79x109</t>
  </si>
  <si>
    <t>Cataloque A4 - Kim</t>
  </si>
  <si>
    <t>Giấy bìa riêng</t>
  </si>
  <si>
    <t>Giấy ruột &amp; bìa chung</t>
  </si>
  <si>
    <t>Phí giấy ruột + bìa chung</t>
  </si>
  <si>
    <t>Tổng giá bán in 1M + bìa  chung</t>
  </si>
  <si>
    <t>Phí đón cuốn kim lồng</t>
  </si>
  <si>
    <t>Giá đóng kim lồng</t>
  </si>
  <si>
    <t xml:space="preserve">Ruột Cata A4 </t>
  </si>
  <si>
    <t>(phần bìa và đóng kim)</t>
  </si>
  <si>
    <t>=Phí in số trang * lợi nhuận</t>
  </si>
  <si>
    <t>Số trang, tiền in 2 M theo  số lượng cuốn, giá TB/trang A4</t>
  </si>
  <si>
    <t>Tiền bán giấy / A4</t>
  </si>
  <si>
    <t>NY-Giá đóng kim lồng</t>
  </si>
  <si>
    <t>Phí in bìa 1M Bìa riêng 300gsm</t>
  </si>
  <si>
    <t>Phí cán màng bìa riêng 300</t>
  </si>
  <si>
    <t>Tổng giá bán in 1M + giấy bìa riêng + Cán Màng</t>
  </si>
  <si>
    <t>Giá  in bìa 1M bìa chung (giá tb vơi ruột)</t>
  </si>
  <si>
    <t>Giá in bìa riêng cán màng + phí đóng</t>
  </si>
  <si>
    <t>Giá in chung  + phí đóng</t>
  </si>
  <si>
    <t>NY-Giá đóng kim lồng + Bìa riêng</t>
  </si>
  <si>
    <t>Cataloque A4 - Keo</t>
  </si>
  <si>
    <t>Phí đóng cuốn KEO EVA</t>
  </si>
  <si>
    <t>Giá đóng  KEO EVA</t>
  </si>
  <si>
    <t xml:space="preserve">Tổng giá bán in 1M + giấy bìa riêng </t>
  </si>
  <si>
    <t>Decal-32x485</t>
  </si>
  <si>
    <t>Decal 32 x 48.5 cm</t>
  </si>
  <si>
    <t>Decal-32x26</t>
  </si>
  <si>
    <t>Decal 32 x 26 cm</t>
  </si>
  <si>
    <t>Decal-32x39</t>
  </si>
  <si>
    <t>Decal 32 x 39 cm</t>
  </si>
  <si>
    <t>=*(1+$D$7)/($A13*C$12)</t>
  </si>
  <si>
    <t>Giá tờ giấy 150gsm A4</t>
  </si>
  <si>
    <t>Quy cách</t>
  </si>
  <si>
    <t>Cán phủ</t>
  </si>
  <si>
    <t>Ruột Menu</t>
  </si>
  <si>
    <t>Menu lò xo các khổ</t>
  </si>
  <si>
    <t>Giấy ruột giống nhau</t>
  </si>
  <si>
    <t>In tờ chạy</t>
  </si>
  <si>
    <t>Couche 300gsm</t>
  </si>
  <si>
    <t>Không / cán màng</t>
  </si>
  <si>
    <t xml:space="preserve">Đóng cuốn </t>
  </si>
  <si>
    <t>Lò xo bình thưởng</t>
  </si>
  <si>
    <t>Khổ cắt SP</t>
  </si>
  <si>
    <t>rong</t>
  </si>
  <si>
    <t>cao</t>
  </si>
  <si>
    <t>bleed</t>
  </si>
  <si>
    <t>10x19cm</t>
  </si>
  <si>
    <t>Blead</t>
  </si>
  <si>
    <t>Giấy c300gsm</t>
  </si>
  <si>
    <t xml:space="preserve">Dùng khổ menu to nhất để tính click </t>
  </si>
  <si>
    <t>không</t>
  </si>
  <si>
    <t>cán</t>
  </si>
  <si>
    <t>Tính theo bảng giá cài trên web</t>
  </si>
  <si>
    <t>Tiền in</t>
  </si>
  <si>
    <t>số tờ chạy theo trang</t>
  </si>
  <si>
    <t>Tờ a4 in 2M</t>
  </si>
  <si>
    <t>Tính thử cho in</t>
  </si>
  <si>
    <t>Tiền cán màng</t>
  </si>
  <si>
    <t>Tiín thử cho cán màng</t>
  </si>
  <si>
    <t>số tờ chạy theo trang số mặt</t>
  </si>
  <si>
    <t>Tính cán qua đây để chống việc 0 nhất quán về công thức</t>
  </si>
  <si>
    <t xml:space="preserve">Tiền đóng cuốn </t>
  </si>
  <si>
    <t>Tiền /m lò xo TB</t>
  </si>
  <si>
    <t>Phí đóng lò xo</t>
  </si>
  <si>
    <t>Giá lô</t>
  </si>
  <si>
    <t>Tóm giá lô</t>
  </si>
  <si>
    <t>số tờ chạy theo trang * cuốn</t>
  </si>
  <si>
    <t>Tiền cán màng 2M</t>
  </si>
  <si>
    <t>15x34cm</t>
  </si>
  <si>
    <t>15x19cm</t>
  </si>
  <si>
    <t>19x30cm</t>
  </si>
  <si>
    <t>Ruột menu bìa cứng bắt vít</t>
  </si>
  <si>
    <t>20x28cm</t>
  </si>
  <si>
    <t>Chừa lề bắt vít</t>
  </si>
  <si>
    <t>T. Rộng</t>
  </si>
  <si>
    <t>T. Cao</t>
  </si>
  <si>
    <t>Tổng không màng</t>
  </si>
  <si>
    <t>Tổng cán màng</t>
  </si>
  <si>
    <t>Màng (đ/m2)</t>
  </si>
  <si>
    <t>Số tờ chạy</t>
  </si>
  <si>
    <t>Tiền giấy</t>
  </si>
  <si>
    <t>Tiền cấn</t>
  </si>
  <si>
    <t>Phần bìa cứng của me nu</t>
  </si>
  <si>
    <t>Bìa cứng 2 cánh có vít, giấy C150gsm cán màng, bồi lên bìa cứng 2.5 ly của Lanvi, đóng cuốn bắt vít</t>
  </si>
  <si>
    <t>Công đoạn: in, cán màng, cắt bìa cứng, vô bìa cứng</t>
  </si>
  <si>
    <t>Số cuốn</t>
  </si>
  <si>
    <t>Khổ sản phẩm</t>
  </si>
  <si>
    <t>Rộng</t>
  </si>
  <si>
    <t>Cao</t>
  </si>
  <si>
    <t>Cánh bìa cứng (một cánh)</t>
  </si>
  <si>
    <t>Giá mua tờ bìa cứng 2.5mm</t>
  </si>
  <si>
    <t>Tờ A4</t>
  </si>
  <si>
    <t>Tờ chạy in</t>
  </si>
  <si>
    <t>Số tấm in / tờ chạy</t>
  </si>
  <si>
    <t>Số tờ in ch</t>
  </si>
  <si>
    <t>Tiền in bìa 1 mặt</t>
  </si>
  <si>
    <t>Phí carton</t>
  </si>
  <si>
    <t>Tiền bồi bìa gổm carton</t>
  </si>
  <si>
    <t>Tổng tiền giấy bao</t>
  </si>
  <si>
    <t>Tổng tiền làm bìa</t>
  </si>
  <si>
    <t>Tiền vô bìa</t>
  </si>
  <si>
    <t>Tiền đóng cuốn bìa cứng bắt vít</t>
  </si>
  <si>
    <t>I12:J13</t>
  </si>
  <si>
    <t>Giá TB/Cuốn</t>
  </si>
  <si>
    <t>Ruột Mở phẳng 20x28</t>
  </si>
  <si>
    <t>Couche 250gsm</t>
  </si>
  <si>
    <t>Tiền ghép thành ruột tờ lót keo</t>
  </si>
  <si>
    <t>Tiền đóng cuốn bìa cứng</t>
  </si>
  <si>
    <t>Giấy c150gsm</t>
  </si>
  <si>
    <t>Ruột menu Lò xo cơ bản</t>
  </si>
  <si>
    <t>Đóng cuốn lò xo</t>
  </si>
  <si>
    <t>Bìa lò xo chung cuốn</t>
  </si>
  <si>
    <t>Lấy giá lò xo trung bình</t>
  </si>
  <si>
    <t>Công đoạn: sắp cuốn, đột, vô lò xo</t>
  </si>
  <si>
    <t>Phí sắp đột vô lò xo</t>
  </si>
  <si>
    <t>Lò xo</t>
  </si>
  <si>
    <t>Loxo chung</t>
  </si>
  <si>
    <t>Lò xo chung</t>
  </si>
  <si>
    <t>Đơn giá /met</t>
  </si>
  <si>
    <t>Phí lò xo lấy a4</t>
  </si>
  <si>
    <t>Niêm yết TB cuốn</t>
  </si>
  <si>
    <t xml:space="preserve">Tiền làm ruột Slit, công thức (soCuon As Integer, soTo As Integer, gayCao As Double) </t>
  </si>
  <si>
    <t>Yêu cầu: menu bắt vit Zen Vbind</t>
  </si>
  <si>
    <t>Cán màng</t>
  </si>
  <si>
    <t>Zen Vbind</t>
  </si>
  <si>
    <t>Tiền AccBind</t>
  </si>
  <si>
    <t>Phần bìa cứng của htoe nhu cầu</t>
  </si>
  <si>
    <t>A4</t>
  </si>
  <si>
    <t>Làm tay</t>
  </si>
  <si>
    <t>Tổng tiền in +  giấy gói bìa</t>
  </si>
  <si>
    <t>Tổng phí làm ruột</t>
  </si>
  <si>
    <t>Tổng bán theo lãi</t>
  </si>
  <si>
    <t>Tổng phí làm bìa</t>
  </si>
  <si>
    <t>Phí vô bìa</t>
  </si>
  <si>
    <t>Tiền đóng cuốn bìa cứng bắt vít lãi</t>
  </si>
  <si>
    <t>Tổng giá bán</t>
  </si>
  <si>
    <t>Giá TB/cuốn</t>
  </si>
  <si>
    <t>Tiền kỹ thuật in</t>
  </si>
  <si>
    <t>Phí KTI làm ruột</t>
  </si>
  <si>
    <t>Tiền bìa + đóng cuốn bán theo lãi</t>
  </si>
  <si>
    <t>GIÁ tb BÌA/CUỐN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</si>
</sst>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\ [$₫-42A]_-;\-* #,##0.00\ [$₫-42A]_-;_-* &quot;-&quot;??\ [$₫-42A]_-;_-@_-"/>
    <numFmt numFmtId="165" formatCode="_(* #,##0_);_(* \(#,##0\);_(* &quot;-&quot;??_);_(@_)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3"/>
      <color theme="1"/>
      <name val="Times New Roman"/>
      <family val="1"/>
    </font>
    <font>
      <b/>
      <sz val="13"/>
      <color theme="1"/>
      <name val="Times New Roman"/>
      <family val="1"/>
    </font>
    <font>
      <b/>
      <sz val="7"/>
      <color theme="1"/>
      <name val="Times New Roman"/>
      <family val="1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theme="2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8" fillId="3" borderId="0" applyNumberFormat="0" applyBorder="0" applyAlignment="0" applyProtection="0"/>
    <xf numFmtId="0" fontId="9" fillId="4" borderId="5" applyNumberFormat="0" applyAlignment="0" applyProtection="0"/>
  </cellStyleXfs>
  <cellXfs count="45"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9" fontId="0" fillId="0" borderId="0" xfId="2" applyFont="1"/>
    <xf numFmtId="0" fontId="0" fillId="0" borderId="0" xfId="0" applyAlignment="1">
      <alignment horizontal="right"/>
    </xf>
    <xf numFmtId="164" fontId="0" fillId="0" borderId="0" xfId="2" applyNumberFormat="1" applyFont="1"/>
    <xf numFmtId="164" fontId="0" fillId="0" borderId="0" xfId="0" applyNumberFormat="1"/>
    <xf numFmtId="16" fontId="0" fillId="0" borderId="0" xfId="0" quotePrefix="1" applyNumberFormat="1"/>
    <xf numFmtId="17" fontId="0" fillId="0" borderId="0" xfId="0" quotePrefix="1" applyNumberFormat="1"/>
    <xf numFmtId="0" fontId="3" fillId="0" borderId="1" xfId="0" applyFont="1" applyBorder="1" applyAlignment="1">
      <alignment vertical="center" wrapText="1"/>
    </xf>
    <xf numFmtId="0" fontId="3" fillId="0" borderId="2" xfId="0" applyFont="1" applyBorder="1" applyAlignment="1">
      <alignment vertical="center" wrapText="1"/>
    </xf>
    <xf numFmtId="0" fontId="3" fillId="0" borderId="3" xfId="0" applyFont="1" applyBorder="1" applyAlignment="1">
      <alignment vertical="center" wrapText="1"/>
    </xf>
    <xf numFmtId="0" fontId="3" fillId="0" borderId="4" xfId="0" applyFont="1" applyBorder="1" applyAlignment="1">
      <alignment vertical="center" wrapText="1"/>
    </xf>
    <xf numFmtId="0" fontId="4" fillId="0" borderId="0" xfId="0" applyFont="1" applyAlignment="1">
      <alignment horizontal="left" vertical="center" indent="8"/>
    </xf>
    <xf numFmtId="0" fontId="4" fillId="0" borderId="0" xfId="0" applyFont="1" applyAlignment="1">
      <alignment horizontal="left" vertical="center" indent="10"/>
    </xf>
    <xf numFmtId="0" fontId="4" fillId="0" borderId="0" xfId="0" applyFont="1" applyAlignment="1">
      <alignment vertical="center"/>
    </xf>
    <xf numFmtId="0" fontId="4" fillId="0" borderId="0" xfId="0" applyFont="1" applyAlignment="1">
      <alignment vertical="center" wrapText="1"/>
    </xf>
    <xf numFmtId="43" fontId="0" fillId="0" borderId="0" xfId="3" applyFont="1"/>
    <xf numFmtId="0" fontId="2" fillId="0" borderId="0" xfId="0" applyFont="1" applyAlignment="1">
      <alignment wrapText="1"/>
    </xf>
    <xf numFmtId="164" fontId="0" fillId="2" borderId="0" xfId="0" applyNumberFormat="1" applyFill="1"/>
    <xf numFmtId="165" fontId="0" fillId="0" borderId="0" xfId="3" applyNumberFormat="1" applyFont="1"/>
    <xf numFmtId="165" fontId="0" fillId="0" borderId="0" xfId="0" applyNumberFormat="1"/>
    <xf numFmtId="43" fontId="0" fillId="0" borderId="0" xfId="0" applyNumberFormat="1"/>
    <xf numFmtId="164" fontId="0" fillId="0" borderId="0" xfId="3" applyNumberFormat="1" applyFont="1"/>
    <xf numFmtId="164" fontId="2" fillId="0" borderId="0" xfId="0" applyNumberFormat="1" applyFont="1"/>
    <xf numFmtId="164" fontId="0" fillId="0" borderId="0" xfId="1" applyNumberFormat="1" applyFont="1"/>
    <xf numFmtId="9" fontId="0" fillId="0" borderId="0" xfId="0" applyNumberFormat="1"/>
    <xf numFmtId="0" fontId="7" fillId="0" borderId="0" xfId="0" applyFont="1"/>
    <xf numFmtId="9" fontId="7" fillId="0" borderId="0" xfId="0" applyNumberFormat="1" applyFont="1"/>
    <xf numFmtId="10" fontId="7" fillId="0" borderId="0" xfId="0" applyNumberFormat="1" applyFont="1"/>
    <xf numFmtId="14" fontId="0" fillId="0" borderId="0" xfId="0" applyNumberFormat="1"/>
    <xf numFmtId="164" fontId="0" fillId="0" borderId="0" xfId="0" applyNumberFormat="1" applyFont="1"/>
    <xf numFmtId="9" fontId="8" fillId="3" borderId="5" xfId="4" applyNumberFormat="1" applyBorder="1"/>
    <xf numFmtId="0" fontId="9" fillId="4" borderId="5" xfId="5"/>
    <xf numFmtId="0" fontId="0" fillId="0" borderId="0" xfId="0" quotePrefix="1"/>
    <xf numFmtId="0" fontId="0" fillId="0" borderId="0" xfId="0" quotePrefix="1" applyAlignment="1">
      <alignment wrapText="1"/>
    </xf>
    <xf numFmtId="164" fontId="6" fillId="0" borderId="0" xfId="0" quotePrefix="1" applyNumberFormat="1" applyFont="1"/>
    <xf numFmtId="0" fontId="0" fillId="5" borderId="0" xfId="0" applyFill="1" applyAlignment="1">
      <alignment wrapText="1"/>
    </xf>
    <xf numFmtId="0" fontId="0" fillId="5" borderId="0" xfId="0" applyFill="1"/>
    <xf numFmtId="164" fontId="0" fillId="5" borderId="0" xfId="0" applyNumberFormat="1" applyFill="1"/>
    <xf numFmtId="0" fontId="10" fillId="0" borderId="0" xfId="0" applyFont="1"/>
    <xf numFmtId="164" fontId="2" fillId="0" borderId="0" xfId="1" applyNumberFormat="1" applyFont="1"/>
    <xf numFmtId="164" fontId="11" fillId="0" borderId="0" xfId="0" applyNumberFormat="1" applyFont="1"/>
    <xf numFmtId="0" fontId="12" fillId="0" borderId="0" xfId="0" applyFont="1"/>
  </cellXfs>
  <cellStyles count="6">
    <cellStyle name="Bình thường" xfId="0" builtinId="0"/>
    <cellStyle name="Dấu phẩy" xfId="3" builtinId="3"/>
    <cellStyle name="Phần trăm" xfId="2" builtinId="5"/>
    <cellStyle name="Tiền tệ" xfId="1" builtinId="4"/>
    <cellStyle name="Tính toán" xfId="5" builtinId="22"/>
    <cellStyle name="Tốt" xfId="4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981075</xdr:colOff>
      <xdr:row>0</xdr:row>
      <xdr:rowOff>133350</xdr:rowOff>
    </xdr:from>
    <xdr:to>
      <xdr:col>6</xdr:col>
      <xdr:colOff>704850</xdr:colOff>
      <xdr:row>5</xdr:row>
      <xdr:rowOff>180975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E66CD219-7906-4CEC-B7A9-F76C6DE66047}"/>
            </a:ext>
          </a:extLst>
        </xdr:cNvPr>
        <xdr:cNvSpPr txBox="1"/>
      </xdr:nvSpPr>
      <xdr:spPr>
        <a:xfrm>
          <a:off x="3486150" y="133350"/>
          <a:ext cx="3990975" cy="100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Đóng</a:t>
          </a:r>
          <a:r>
            <a:rPr lang="en-US" sz="1100" baseline="0"/>
            <a:t> cuốn lò xo gồm công đoạn</a:t>
          </a:r>
        </a:p>
        <a:p>
          <a:r>
            <a:rPr lang="en-US" sz="1100" baseline="0"/>
            <a:t>1). Cắt </a:t>
          </a:r>
        </a:p>
        <a:p>
          <a:r>
            <a:rPr lang="en-US" sz="1100" baseline="0"/>
            <a:t>2).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Sắp thành cuốn</a:t>
          </a:r>
          <a:endParaRPr lang="en-US" sz="1100" baseline="0"/>
        </a:p>
        <a:p>
          <a:r>
            <a:rPr lang="en-US" sz="1100" baseline="0"/>
            <a:t>3). Bấm lỗ</a:t>
          </a:r>
        </a:p>
        <a:p>
          <a:r>
            <a:rPr lang="en-US" sz="1100" baseline="0"/>
            <a:t>4). Đóng lò xo vô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981075</xdr:colOff>
      <xdr:row>0</xdr:row>
      <xdr:rowOff>133350</xdr:rowOff>
    </xdr:from>
    <xdr:to>
      <xdr:col>6</xdr:col>
      <xdr:colOff>704850</xdr:colOff>
      <xdr:row>5</xdr:row>
      <xdr:rowOff>180975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05A3EEC4-6BBC-4532-940D-7AEED91E2985}"/>
            </a:ext>
          </a:extLst>
        </xdr:cNvPr>
        <xdr:cNvSpPr txBox="1"/>
      </xdr:nvSpPr>
      <xdr:spPr>
        <a:xfrm>
          <a:off x="3086100" y="133350"/>
          <a:ext cx="3990975" cy="100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Đóng</a:t>
          </a:r>
          <a:r>
            <a:rPr lang="en-US" sz="1100" baseline="0"/>
            <a:t> cuốn lò xo gồm công đoạn</a:t>
          </a:r>
        </a:p>
        <a:p>
          <a:r>
            <a:rPr lang="en-US" sz="1100" baseline="0"/>
            <a:t>1). Cắt </a:t>
          </a:r>
        </a:p>
        <a:p>
          <a:r>
            <a:rPr lang="en-US" sz="1100" baseline="0"/>
            <a:t>2).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Sắp thành cuốn</a:t>
          </a:r>
          <a:endParaRPr lang="en-US" sz="1100" baseline="0"/>
        </a:p>
        <a:p>
          <a:r>
            <a:rPr lang="en-US" sz="1100" baseline="0"/>
            <a:t>3). Bấm lỗ</a:t>
          </a:r>
        </a:p>
        <a:p>
          <a:r>
            <a:rPr lang="en-US" sz="1100" baseline="0"/>
            <a:t>4). Đóng lò xo vô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981075</xdr:colOff>
      <xdr:row>0</xdr:row>
      <xdr:rowOff>133350</xdr:rowOff>
    </xdr:from>
    <xdr:to>
      <xdr:col>6</xdr:col>
      <xdr:colOff>704850</xdr:colOff>
      <xdr:row>5</xdr:row>
      <xdr:rowOff>180975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92C77888-CCC2-42AC-A4DB-731E5AC079C3}"/>
            </a:ext>
          </a:extLst>
        </xdr:cNvPr>
        <xdr:cNvSpPr txBox="1"/>
      </xdr:nvSpPr>
      <xdr:spPr>
        <a:xfrm>
          <a:off x="3238500" y="133350"/>
          <a:ext cx="4295775" cy="952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Đóng</a:t>
          </a:r>
          <a:r>
            <a:rPr lang="en-US" sz="1100" baseline="0"/>
            <a:t> cuốn lò xo gồm công đoạn</a:t>
          </a:r>
        </a:p>
        <a:p>
          <a:r>
            <a:rPr lang="en-US" sz="1100" baseline="0"/>
            <a:t>1). Cắt </a:t>
          </a:r>
        </a:p>
        <a:p>
          <a:r>
            <a:rPr lang="en-US" sz="1100" baseline="0"/>
            <a:t>2).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Sắp thành cuốn</a:t>
          </a:r>
          <a:endParaRPr lang="en-US" sz="1100" baseline="0"/>
        </a:p>
        <a:p>
          <a:r>
            <a:rPr lang="en-US" sz="1100" baseline="0"/>
            <a:t>3). Bấm lỗ</a:t>
          </a:r>
        </a:p>
        <a:p>
          <a:r>
            <a:rPr lang="en-US" sz="1100" baseline="0"/>
            <a:t>4). Đóng lò xo vô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180975</xdr:rowOff>
    </xdr:from>
    <xdr:to>
      <xdr:col>12</xdr:col>
      <xdr:colOff>333375</xdr:colOff>
      <xdr:row>6</xdr:row>
      <xdr:rowOff>38100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07E4F3E0-9C6C-4ED7-BD23-B4C66931A365}"/>
            </a:ext>
          </a:extLst>
        </xdr:cNvPr>
        <xdr:cNvSpPr txBox="1"/>
      </xdr:nvSpPr>
      <xdr:spPr>
        <a:xfrm>
          <a:off x="8591550" y="180975"/>
          <a:ext cx="3990975" cy="100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Đóng</a:t>
          </a:r>
          <a:r>
            <a:rPr lang="en-US" sz="1100" baseline="0"/>
            <a:t> cuốn lò xo gồm công đoạn</a:t>
          </a:r>
        </a:p>
        <a:p>
          <a:r>
            <a:rPr lang="en-US" sz="1100" baseline="0"/>
            <a:t>1). Cắt </a:t>
          </a:r>
        </a:p>
        <a:p>
          <a:r>
            <a:rPr lang="en-US" sz="1100" baseline="0"/>
            <a:t>2).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Sắp thành cuốn</a:t>
          </a:r>
          <a:endParaRPr lang="en-US" sz="1100" baseline="0"/>
        </a:p>
        <a:p>
          <a:r>
            <a:rPr lang="en-US" sz="1100" baseline="0"/>
            <a:t>3). Bấm lỗ</a:t>
          </a:r>
        </a:p>
        <a:p>
          <a:r>
            <a:rPr lang="en-US" sz="1100" baseline="0"/>
            <a:t>4). Đóng lò xo vô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190499</xdr:colOff>
      <xdr:row>14</xdr:row>
      <xdr:rowOff>66675</xdr:rowOff>
    </xdr:from>
    <xdr:to>
      <xdr:col>18</xdr:col>
      <xdr:colOff>428624</xdr:colOff>
      <xdr:row>22</xdr:row>
      <xdr:rowOff>171450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000BDB77-69EA-43BD-95FD-6C4086667499}"/>
            </a:ext>
          </a:extLst>
        </xdr:cNvPr>
        <xdr:cNvSpPr txBox="1"/>
      </xdr:nvSpPr>
      <xdr:spPr>
        <a:xfrm>
          <a:off x="12630149" y="2733675"/>
          <a:ext cx="3286125" cy="181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Hướng</a:t>
          </a:r>
          <a:r>
            <a:rPr lang="en-US" sz="1100" baseline="0"/>
            <a:t> dẫn hàm:</a:t>
          </a:r>
          <a:endParaRPr lang="en-US" sz="1100"/>
        </a:p>
        <a:p>
          <a:r>
            <a:rPr lang="en-US" sz="1100">
              <a:solidFill>
                <a:srgbClr val="0070C0"/>
              </a:solidFill>
            </a:rPr>
            <a:t>PhiMayCanMang(soMat As Integer, rong As Single, dai As Single): rộng,</a:t>
          </a:r>
          <a:r>
            <a:rPr lang="en-US" sz="1100" baseline="0">
              <a:solidFill>
                <a:srgbClr val="0070C0"/>
              </a:solidFill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PhiMangCan(soMat As Integer, rong As Single, dai As Single, giaMang): rộng,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dài tính = mét</a:t>
          </a:r>
          <a:endParaRPr lang="en-US">
            <a:effectLst/>
          </a:endParaRPr>
        </a:p>
        <a:p>
          <a:endParaRPr lang="en-US" sz="1100" baseline="0">
            <a:solidFill>
              <a:srgbClr val="0070C0"/>
            </a:solidFill>
          </a:endParaRPr>
        </a:p>
        <a:p>
          <a:endParaRPr lang="en-US" sz="1100">
            <a:solidFill>
              <a:srgbClr val="0070C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190499</xdr:colOff>
      <xdr:row>14</xdr:row>
      <xdr:rowOff>66675</xdr:rowOff>
    </xdr:from>
    <xdr:to>
      <xdr:col>18</xdr:col>
      <xdr:colOff>428624</xdr:colOff>
      <xdr:row>22</xdr:row>
      <xdr:rowOff>171450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B85355AF-E5BC-40EB-82E0-3B1707B42F0C}"/>
            </a:ext>
          </a:extLst>
        </xdr:cNvPr>
        <xdr:cNvSpPr txBox="1"/>
      </xdr:nvSpPr>
      <xdr:spPr>
        <a:xfrm>
          <a:off x="12630149" y="2733675"/>
          <a:ext cx="3286125" cy="181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Hướng</a:t>
          </a:r>
          <a:r>
            <a:rPr lang="en-US" sz="1100" baseline="0"/>
            <a:t> dẫn hàm:</a:t>
          </a:r>
          <a:endParaRPr lang="en-US" sz="1100"/>
        </a:p>
        <a:p>
          <a:r>
            <a:rPr lang="en-US" sz="1100">
              <a:solidFill>
                <a:srgbClr val="0070C0"/>
              </a:solidFill>
            </a:rPr>
            <a:t>PhiMayCanMang(soMat As Integer, rong As Single, dai As Single): rộng,</a:t>
          </a:r>
          <a:r>
            <a:rPr lang="en-US" sz="1100" baseline="0">
              <a:solidFill>
                <a:srgbClr val="0070C0"/>
              </a:solidFill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PhiMangCan(soMat As Integer, rong As Single, dai As Single, giaMang): rộng,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dài tính = mét</a:t>
          </a:r>
          <a:endParaRPr lang="en-US">
            <a:effectLst/>
          </a:endParaRPr>
        </a:p>
        <a:p>
          <a:endParaRPr lang="en-US" sz="1100" baseline="0">
            <a:solidFill>
              <a:srgbClr val="0070C0"/>
            </a:solidFill>
          </a:endParaRPr>
        </a:p>
        <a:p>
          <a:endParaRPr lang="en-US" sz="1100">
            <a:solidFill>
              <a:srgbClr val="0070C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190499</xdr:colOff>
      <xdr:row>14</xdr:row>
      <xdr:rowOff>66675</xdr:rowOff>
    </xdr:from>
    <xdr:to>
      <xdr:col>18</xdr:col>
      <xdr:colOff>428624</xdr:colOff>
      <xdr:row>22</xdr:row>
      <xdr:rowOff>171450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7D2E73B2-3D6C-4395-B8BB-0A253013C594}"/>
            </a:ext>
          </a:extLst>
        </xdr:cNvPr>
        <xdr:cNvSpPr txBox="1"/>
      </xdr:nvSpPr>
      <xdr:spPr>
        <a:xfrm>
          <a:off x="12630149" y="2733675"/>
          <a:ext cx="3286125" cy="181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Hướng</a:t>
          </a:r>
          <a:r>
            <a:rPr lang="en-US" sz="1100" baseline="0"/>
            <a:t> dẫn hàm:</a:t>
          </a:r>
          <a:endParaRPr lang="en-US" sz="1100"/>
        </a:p>
        <a:p>
          <a:r>
            <a:rPr lang="en-US" sz="1100">
              <a:solidFill>
                <a:srgbClr val="0070C0"/>
              </a:solidFill>
            </a:rPr>
            <a:t>PhiMayCanMang(soMat As Integer, rong As Single, dai As Single): rộng,</a:t>
          </a:r>
          <a:r>
            <a:rPr lang="en-US" sz="1100" baseline="0">
              <a:solidFill>
                <a:srgbClr val="0070C0"/>
              </a:solidFill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PhiMangCan(soMat As Integer, rong As Single, dai As Single, giaMang): rộng,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dài tính = mét</a:t>
          </a:r>
          <a:endParaRPr lang="en-US">
            <a:effectLst/>
          </a:endParaRPr>
        </a:p>
        <a:p>
          <a:endParaRPr lang="en-US" sz="1100" baseline="0">
            <a:solidFill>
              <a:srgbClr val="0070C0"/>
            </a:solidFill>
          </a:endParaRPr>
        </a:p>
        <a:p>
          <a:endParaRPr lang="en-US" sz="1100">
            <a:solidFill>
              <a:srgbClr val="0070C0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190499</xdr:colOff>
      <xdr:row>14</xdr:row>
      <xdr:rowOff>66675</xdr:rowOff>
    </xdr:from>
    <xdr:to>
      <xdr:col>18</xdr:col>
      <xdr:colOff>428624</xdr:colOff>
      <xdr:row>22</xdr:row>
      <xdr:rowOff>171450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7413EA70-F6C7-415F-B50B-1D3A7495444F}"/>
            </a:ext>
          </a:extLst>
        </xdr:cNvPr>
        <xdr:cNvSpPr txBox="1"/>
      </xdr:nvSpPr>
      <xdr:spPr>
        <a:xfrm>
          <a:off x="12630149" y="2733675"/>
          <a:ext cx="3286125" cy="181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Hướng</a:t>
          </a:r>
          <a:r>
            <a:rPr lang="en-US" sz="1100" baseline="0"/>
            <a:t> dẫn hàm:</a:t>
          </a:r>
          <a:endParaRPr lang="en-US" sz="1100"/>
        </a:p>
        <a:p>
          <a:r>
            <a:rPr lang="en-US" sz="1100">
              <a:solidFill>
                <a:srgbClr val="0070C0"/>
              </a:solidFill>
            </a:rPr>
            <a:t>PhiMayCanMang(soMat As Integer, rong As Single, dai As Single): rộng,</a:t>
          </a:r>
          <a:r>
            <a:rPr lang="en-US" sz="1100" baseline="0">
              <a:solidFill>
                <a:srgbClr val="0070C0"/>
              </a:solidFill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PhiMangCan(soMat As Integer, rong As Single, dai As Single, giaMang): rộng,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dài tính = mét</a:t>
          </a:r>
          <a:endParaRPr lang="en-US">
            <a:effectLst/>
          </a:endParaRPr>
        </a:p>
        <a:p>
          <a:endParaRPr lang="en-US" sz="1100" baseline="0">
            <a:solidFill>
              <a:srgbClr val="0070C0"/>
            </a:solidFill>
          </a:endParaRPr>
        </a:p>
        <a:p>
          <a:endParaRPr lang="en-US" sz="1100">
            <a:solidFill>
              <a:srgbClr val="0070C0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190499</xdr:colOff>
      <xdr:row>14</xdr:row>
      <xdr:rowOff>66675</xdr:rowOff>
    </xdr:from>
    <xdr:to>
      <xdr:col>18</xdr:col>
      <xdr:colOff>428624</xdr:colOff>
      <xdr:row>22</xdr:row>
      <xdr:rowOff>171450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6FBDB533-5AEE-4CF9-BBF3-9FF01315F97C}"/>
            </a:ext>
          </a:extLst>
        </xdr:cNvPr>
        <xdr:cNvSpPr txBox="1"/>
      </xdr:nvSpPr>
      <xdr:spPr>
        <a:xfrm>
          <a:off x="11020424" y="2733675"/>
          <a:ext cx="3286125" cy="181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Hướng</a:t>
          </a:r>
          <a:r>
            <a:rPr lang="en-US" sz="1100" baseline="0"/>
            <a:t> dẫn hàm:</a:t>
          </a:r>
          <a:endParaRPr lang="en-US" sz="1100"/>
        </a:p>
        <a:p>
          <a:r>
            <a:rPr lang="en-US" sz="1100">
              <a:solidFill>
                <a:srgbClr val="0070C0"/>
              </a:solidFill>
            </a:rPr>
            <a:t>PhiMayCanMang(soMat As Integer, rong As Single, dai As Single): rộng,</a:t>
          </a:r>
          <a:r>
            <a:rPr lang="en-US" sz="1100" baseline="0">
              <a:solidFill>
                <a:srgbClr val="0070C0"/>
              </a:solidFill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PhiMangCan(soMat As Integer, rong As Single, dai As Single, giaMang): rộng,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dài tính = mét</a:t>
          </a:r>
          <a:endParaRPr lang="en-US">
            <a:effectLst/>
          </a:endParaRPr>
        </a:p>
        <a:p>
          <a:endParaRPr lang="en-US" sz="1100" baseline="0">
            <a:solidFill>
              <a:srgbClr val="0070C0"/>
            </a:solidFill>
          </a:endParaRPr>
        </a:p>
        <a:p>
          <a:endParaRPr lang="en-US" sz="1100">
            <a:solidFill>
              <a:srgbClr val="0070C0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447674</xdr:colOff>
      <xdr:row>0</xdr:row>
      <xdr:rowOff>95251</xdr:rowOff>
    </xdr:from>
    <xdr:to>
      <xdr:col>5</xdr:col>
      <xdr:colOff>333374</xdr:colOff>
      <xdr:row>7</xdr:row>
      <xdr:rowOff>57151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A68A2DD0-B413-4276-9374-82CAC8B16EF5}"/>
            </a:ext>
          </a:extLst>
        </xdr:cNvPr>
        <xdr:cNvSpPr txBox="1"/>
      </xdr:nvSpPr>
      <xdr:spPr>
        <a:xfrm>
          <a:off x="3019424" y="95251"/>
          <a:ext cx="3286125" cy="129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Hướng</a:t>
          </a:r>
          <a:r>
            <a:rPr lang="en-US" sz="1100" baseline="0"/>
            <a:t> dẫn hàm:</a:t>
          </a:r>
          <a:endParaRPr lang="en-US" sz="1100"/>
        </a:p>
        <a:p>
          <a:r>
            <a:rPr lang="vi-VN" sz="1100">
              <a:solidFill>
                <a:srgbClr val="0070C0"/>
              </a:solidFill>
            </a:rPr>
            <a:t>24 cuốn giấy c300 cán mờ ( in test 1 cuốn + in 23 cuốn )Menu đã có thiết kế trên khổ A4 tổng cộng 14 trang kích thước sau khi FA để in : trang bìa và trang lót: 4 trang - 26.4 cm x 33.1 cm10 trang ruột 24.31cm  x 30.52cm</a:t>
          </a:r>
          <a:endParaRPr lang="en-US" sz="1100" baseline="0">
            <a:solidFill>
              <a:srgbClr val="0070C0"/>
            </a:solidFill>
          </a:endParaRPr>
        </a:p>
        <a:p>
          <a:endParaRPr lang="en-US" sz="1100">
            <a:solidFill>
              <a:srgbClr val="0070C0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190499</xdr:colOff>
      <xdr:row>14</xdr:row>
      <xdr:rowOff>66675</xdr:rowOff>
    </xdr:from>
    <xdr:to>
      <xdr:col>18</xdr:col>
      <xdr:colOff>428624</xdr:colOff>
      <xdr:row>22</xdr:row>
      <xdr:rowOff>171450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9AE028CC-04AD-4098-9561-7B4B157C7D7F}"/>
            </a:ext>
          </a:extLst>
        </xdr:cNvPr>
        <xdr:cNvSpPr txBox="1"/>
      </xdr:nvSpPr>
      <xdr:spPr>
        <a:xfrm>
          <a:off x="12630149" y="2733675"/>
          <a:ext cx="3286125" cy="181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Hướng</a:t>
          </a:r>
          <a:r>
            <a:rPr lang="en-US" sz="1100" baseline="0"/>
            <a:t> dẫn hàm:</a:t>
          </a:r>
          <a:endParaRPr lang="en-US" sz="1100"/>
        </a:p>
        <a:p>
          <a:r>
            <a:rPr lang="en-US" sz="1100">
              <a:solidFill>
                <a:srgbClr val="0070C0"/>
              </a:solidFill>
            </a:rPr>
            <a:t>PhiMayCanMang(soMat As Integer, rong As Single, dai As Single): rộng,</a:t>
          </a:r>
          <a:r>
            <a:rPr lang="en-US" sz="1100" baseline="0">
              <a:solidFill>
                <a:srgbClr val="0070C0"/>
              </a:solidFill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PhiMangCan(soMat As Integer, rong As Single, dai As Single, giaMang): rộng,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>
              <a:effectLst/>
            </a:rPr>
            <a:t>PhiLamRuotCuonMP_Tay(soCuon As Integer, soToDoiTrenMoiCuon As Integer) </a:t>
          </a:r>
        </a:p>
        <a:p>
          <a:endParaRPr lang="en-US" sz="1100" baseline="0">
            <a:solidFill>
              <a:srgbClr val="0070C0"/>
            </a:solidFill>
          </a:endParaRPr>
        </a:p>
        <a:p>
          <a:endParaRPr lang="en-US" sz="1100">
            <a:solidFill>
              <a:srgbClr val="0070C0"/>
            </a:solidFill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6</xdr:row>
      <xdr:rowOff>0</xdr:rowOff>
    </xdr:from>
    <xdr:to>
      <xdr:col>19</xdr:col>
      <xdr:colOff>238125</xdr:colOff>
      <xdr:row>14</xdr:row>
      <xdr:rowOff>295275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1BFB100B-167E-434F-A86F-0CFE4AB09BE4}"/>
            </a:ext>
          </a:extLst>
        </xdr:cNvPr>
        <xdr:cNvSpPr txBox="1"/>
      </xdr:nvSpPr>
      <xdr:spPr>
        <a:xfrm>
          <a:off x="13230225" y="1143000"/>
          <a:ext cx="3286125" cy="181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Hướng</a:t>
          </a:r>
          <a:r>
            <a:rPr lang="en-US" sz="1100" baseline="0"/>
            <a:t> dẫn hàm:</a:t>
          </a:r>
          <a:endParaRPr lang="en-US" sz="1100"/>
        </a:p>
        <a:p>
          <a:r>
            <a:rPr lang="en-US" sz="1100">
              <a:solidFill>
                <a:srgbClr val="0070C0"/>
              </a:solidFill>
            </a:rPr>
            <a:t>PhiMayCanMang(soMat As Integer, rong As Single, dai As Single): rộng,</a:t>
          </a:r>
          <a:r>
            <a:rPr lang="en-US" sz="1100" baseline="0">
              <a:solidFill>
                <a:srgbClr val="0070C0"/>
              </a:solidFill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PhiMangCan(soMat As Integer, rong As Single, dai As Single, giaMang): rộng,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>
              <a:effectLst/>
            </a:rPr>
            <a:t>PhiDongCuonMP_Tay(soCuon As Integer, soToDoi As Integer) As Double</a:t>
          </a:r>
        </a:p>
        <a:p>
          <a:endParaRPr lang="en-US" sz="1100" baseline="0">
            <a:solidFill>
              <a:srgbClr val="0070C0"/>
            </a:solidFill>
          </a:endParaRPr>
        </a:p>
        <a:p>
          <a:endParaRPr lang="en-US" sz="1100">
            <a:solidFill>
              <a:srgbClr val="0070C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9BFF2-8889-41B2-BD95-DF7DDE415399}">
  <sheetPr codeName="Trang_tính2"/>
  <dimension ref="A1:AF72"/>
  <sheetViews>
    <sheetView topLeftCell="A4" workbookViewId="0">
      <selection activeCell="L22" sqref="L22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10" width="13.28515625" bestFit="1" customWidth="1"/>
    <col min="27" max="27" width="17.28515625" customWidth="1"/>
    <col min="28" max="28" width="15" bestFit="1" customWidth="1"/>
    <col min="31" max="31" width="26.7109375" customWidth="1"/>
    <col min="32" max="32" width="14" bestFit="1" customWidth="1"/>
  </cols>
  <sheetData>
    <row r="1" spans="1:32" x14ac:dyDescent="0.25">
      <c r="A1" s="1" t="s">
        <v>10</v>
      </c>
      <c r="AA1" s="1" t="s">
        <v>14</v>
      </c>
      <c r="AE1" t="s">
        <v>43</v>
      </c>
    </row>
    <row r="2" spans="1:32" x14ac:dyDescent="0.25">
      <c r="A2" t="s">
        <v>19</v>
      </c>
      <c r="AA2" t="s">
        <v>32</v>
      </c>
    </row>
    <row r="3" spans="1:32" x14ac:dyDescent="0.25">
      <c r="A3" s="1" t="s">
        <v>4</v>
      </c>
      <c r="D3" s="1" t="s">
        <v>3</v>
      </c>
      <c r="I3" s="1" t="s">
        <v>8</v>
      </c>
      <c r="AA3" t="s">
        <v>11</v>
      </c>
      <c r="AB3" t="s">
        <v>12</v>
      </c>
      <c r="AE3" t="s">
        <v>11</v>
      </c>
      <c r="AF3" t="s">
        <v>12</v>
      </c>
    </row>
    <row r="4" spans="1:32" ht="45" x14ac:dyDescent="0.25">
      <c r="A4" s="2" t="s">
        <v>6</v>
      </c>
      <c r="B4" s="2" t="s">
        <v>211</v>
      </c>
      <c r="C4" s="2"/>
      <c r="D4" s="2" t="s">
        <v>7</v>
      </c>
      <c r="E4" s="2" t="s">
        <v>2</v>
      </c>
      <c r="F4" s="2" t="s">
        <v>1</v>
      </c>
      <c r="G4" s="3" t="s">
        <v>5</v>
      </c>
      <c r="H4" s="2"/>
      <c r="I4" s="2" t="s">
        <v>9</v>
      </c>
      <c r="J4" s="2" t="s">
        <v>212</v>
      </c>
      <c r="K4" s="2" t="s">
        <v>213</v>
      </c>
      <c r="L4" s="2"/>
      <c r="M4" s="2"/>
      <c r="R4" t="str">
        <f t="array" ref="R4:S14">_xll.AddinATools.BSFunctions.bs_Sql("SELECT * FROM MARKUP_MARGIN")</f>
        <v>Markup</v>
      </c>
      <c r="S4" t="str">
        <v>Margin</v>
      </c>
      <c r="AA4" s="8" t="s">
        <v>13</v>
      </c>
      <c r="AB4" s="5">
        <v>10000</v>
      </c>
      <c r="AE4" s="8" t="s">
        <v>13</v>
      </c>
      <c r="AF4" s="5">
        <v>100000</v>
      </c>
    </row>
    <row r="5" spans="1:32" x14ac:dyDescent="0.25">
      <c r="A5">
        <v>1</v>
      </c>
      <c r="B5" s="6">
        <f>PhiMayInToner4M(A5)</f>
        <v>48438.75</v>
      </c>
      <c r="D5" s="4">
        <v>0.75</v>
      </c>
      <c r="E5" s="7">
        <f>B5*(1+D5)</f>
        <v>84767.8125</v>
      </c>
      <c r="F5" s="7">
        <f>E5-B5</f>
        <v>36329.0625</v>
      </c>
      <c r="G5" s="4">
        <f>F5/E5</f>
        <v>0.42857142857142855</v>
      </c>
      <c r="I5" s="20">
        <f>E5/A5</f>
        <v>84767.8125</v>
      </c>
      <c r="J5" s="7">
        <f>$E5/$A5*2</f>
        <v>169535.625</v>
      </c>
      <c r="K5" s="21">
        <f>$A5/2</f>
        <v>0.5</v>
      </c>
      <c r="R5" s="4">
        <v>0.15</v>
      </c>
      <c r="S5" s="4">
        <v>0.13</v>
      </c>
      <c r="AA5" s="9" t="s">
        <v>15</v>
      </c>
      <c r="AB5" s="5">
        <v>5000</v>
      </c>
      <c r="AE5" s="9" t="s">
        <v>44</v>
      </c>
      <c r="AF5" s="5">
        <v>1500</v>
      </c>
    </row>
    <row r="6" spans="1:32" x14ac:dyDescent="0.25">
      <c r="A6">
        <v>50</v>
      </c>
      <c r="B6" s="6">
        <f t="shared" ref="B6:B36" si="0">PhiMayInToner4M(A6)</f>
        <v>82187.5</v>
      </c>
      <c r="D6" s="4">
        <v>0.75</v>
      </c>
      <c r="E6" s="7">
        <f t="shared" ref="E6:E36" si="1">B6*(1+D6)</f>
        <v>143828.125</v>
      </c>
      <c r="F6" s="7">
        <f t="shared" ref="F6:F36" si="2">E6-B6</f>
        <v>61640.625</v>
      </c>
      <c r="G6" s="4">
        <f t="shared" ref="G6:G36" si="3">F6/E6</f>
        <v>0.42857142857142855</v>
      </c>
      <c r="I6" s="20">
        <f t="shared" ref="I6:I36" si="4">E6/A6</f>
        <v>2876.5625</v>
      </c>
      <c r="J6" s="7">
        <f t="shared" ref="J6:J36" si="5">$E6/$A6*2</f>
        <v>5753.125</v>
      </c>
      <c r="K6" s="21">
        <f t="shared" ref="K6:K16" si="6">$A6/2</f>
        <v>25</v>
      </c>
      <c r="R6" s="4">
        <v>0.2</v>
      </c>
      <c r="S6" s="4">
        <v>0.16700000000000001</v>
      </c>
      <c r="AA6" t="s">
        <v>16</v>
      </c>
      <c r="AB6" s="5">
        <v>2000</v>
      </c>
      <c r="AE6" t="s">
        <v>45</v>
      </c>
      <c r="AF6" s="5"/>
    </row>
    <row r="7" spans="1:32" x14ac:dyDescent="0.25">
      <c r="A7">
        <v>100</v>
      </c>
      <c r="B7" s="6">
        <f t="shared" si="0"/>
        <v>116625</v>
      </c>
      <c r="D7" s="4">
        <v>0.75</v>
      </c>
      <c r="E7" s="7">
        <f t="shared" si="1"/>
        <v>204093.75</v>
      </c>
      <c r="F7" s="7">
        <f t="shared" si="2"/>
        <v>87468.75</v>
      </c>
      <c r="G7" s="4">
        <f t="shared" si="3"/>
        <v>0.42857142857142855</v>
      </c>
      <c r="I7" s="20">
        <f t="shared" si="4"/>
        <v>2040.9375</v>
      </c>
      <c r="J7" s="7">
        <f t="shared" si="5"/>
        <v>4081.875</v>
      </c>
      <c r="K7" s="21">
        <f t="shared" si="6"/>
        <v>50</v>
      </c>
      <c r="R7" s="4">
        <v>0.25</v>
      </c>
      <c r="S7" s="4">
        <v>0.2</v>
      </c>
      <c r="AA7" t="s">
        <v>17</v>
      </c>
      <c r="AB7" s="5" t="s">
        <v>18</v>
      </c>
      <c r="AE7" t="s">
        <v>47</v>
      </c>
      <c r="AF7" s="5"/>
    </row>
    <row r="8" spans="1:32" x14ac:dyDescent="0.25">
      <c r="A8">
        <v>150</v>
      </c>
      <c r="B8" s="6">
        <f t="shared" si="0"/>
        <v>151062.5</v>
      </c>
      <c r="D8" s="4">
        <v>0.75</v>
      </c>
      <c r="E8" s="7">
        <f t="shared" si="1"/>
        <v>264359.375</v>
      </c>
      <c r="F8" s="7">
        <f t="shared" si="2"/>
        <v>113296.875</v>
      </c>
      <c r="G8" s="4">
        <f t="shared" si="3"/>
        <v>0.42857142857142855</v>
      </c>
      <c r="I8" s="20">
        <f t="shared" si="4"/>
        <v>1762.3958333333333</v>
      </c>
      <c r="J8" s="7">
        <f t="shared" si="5"/>
        <v>3524.7916666666665</v>
      </c>
      <c r="K8" s="21">
        <f t="shared" si="6"/>
        <v>75</v>
      </c>
      <c r="R8" s="4">
        <v>0.3</v>
      </c>
      <c r="S8" s="4">
        <v>0.23</v>
      </c>
      <c r="AB8" s="5"/>
    </row>
    <row r="9" spans="1:32" ht="15.75" thickBot="1" x14ac:dyDescent="0.3">
      <c r="A9">
        <v>200</v>
      </c>
      <c r="B9" s="6">
        <f t="shared" si="0"/>
        <v>185500</v>
      </c>
      <c r="D9" s="4">
        <v>0.75</v>
      </c>
      <c r="E9" s="7">
        <f t="shared" si="1"/>
        <v>324625</v>
      </c>
      <c r="F9" s="7">
        <f t="shared" si="2"/>
        <v>139125</v>
      </c>
      <c r="G9" s="4">
        <f t="shared" si="3"/>
        <v>0.42857142857142855</v>
      </c>
      <c r="I9" s="20">
        <f t="shared" si="4"/>
        <v>1623.125</v>
      </c>
      <c r="J9" s="7">
        <f t="shared" si="5"/>
        <v>3246.25</v>
      </c>
      <c r="K9" s="21">
        <f t="shared" si="6"/>
        <v>100</v>
      </c>
      <c r="R9" s="4">
        <v>0.33300000000000002</v>
      </c>
      <c r="S9" s="4">
        <v>0.25</v>
      </c>
      <c r="AA9" t="s">
        <v>21</v>
      </c>
    </row>
    <row r="10" spans="1:32" ht="33.75" thickBot="1" x14ac:dyDescent="0.3">
      <c r="A10">
        <v>250</v>
      </c>
      <c r="B10" s="6">
        <f t="shared" si="0"/>
        <v>219937.5</v>
      </c>
      <c r="D10" s="4">
        <v>0.75</v>
      </c>
      <c r="E10" s="7">
        <f t="shared" si="1"/>
        <v>384890.625</v>
      </c>
      <c r="F10" s="7">
        <f t="shared" si="2"/>
        <v>164953.125</v>
      </c>
      <c r="G10" s="4">
        <f t="shared" si="3"/>
        <v>0.42857142857142855</v>
      </c>
      <c r="I10" s="20">
        <f t="shared" si="4"/>
        <v>1539.5625</v>
      </c>
      <c r="J10" s="7">
        <f t="shared" si="5"/>
        <v>3079.125</v>
      </c>
      <c r="K10" s="21">
        <f t="shared" si="6"/>
        <v>125</v>
      </c>
      <c r="R10" s="4">
        <v>0.4</v>
      </c>
      <c r="S10" s="4">
        <v>0.28599999999999998</v>
      </c>
      <c r="AA10" s="10" t="s">
        <v>22</v>
      </c>
      <c r="AB10" s="11" t="s">
        <v>23</v>
      </c>
      <c r="AC10" s="11" t="s">
        <v>9</v>
      </c>
    </row>
    <row r="11" spans="1:32" ht="17.25" thickBot="1" x14ac:dyDescent="0.3">
      <c r="A11">
        <v>300</v>
      </c>
      <c r="B11" s="6">
        <f t="shared" si="0"/>
        <v>254375</v>
      </c>
      <c r="D11" s="4">
        <v>0.75</v>
      </c>
      <c r="E11" s="7">
        <f t="shared" si="1"/>
        <v>445156.25</v>
      </c>
      <c r="F11" s="7">
        <f t="shared" si="2"/>
        <v>190781.25</v>
      </c>
      <c r="G11" s="4">
        <f t="shared" si="3"/>
        <v>0.42857142857142855</v>
      </c>
      <c r="I11" s="20">
        <f t="shared" si="4"/>
        <v>1483.8541666666667</v>
      </c>
      <c r="J11" s="7">
        <f t="shared" si="5"/>
        <v>2967.7083333333335</v>
      </c>
      <c r="K11" s="21">
        <f t="shared" si="6"/>
        <v>150</v>
      </c>
      <c r="R11" s="4">
        <v>0.43</v>
      </c>
      <c r="S11" s="4">
        <v>0.3</v>
      </c>
      <c r="AA11" s="12">
        <v>100</v>
      </c>
      <c r="AB11" s="13" t="s">
        <v>24</v>
      </c>
      <c r="AC11" s="13">
        <v>3000</v>
      </c>
    </row>
    <row r="12" spans="1:32" ht="17.25" thickBot="1" x14ac:dyDescent="0.3">
      <c r="A12">
        <v>350</v>
      </c>
      <c r="B12" s="6">
        <f t="shared" si="0"/>
        <v>288812.5</v>
      </c>
      <c r="D12" s="4">
        <v>0.75</v>
      </c>
      <c r="E12" s="7">
        <f t="shared" si="1"/>
        <v>505421.875</v>
      </c>
      <c r="F12" s="7">
        <f t="shared" si="2"/>
        <v>216609.375</v>
      </c>
      <c r="G12" s="4">
        <f t="shared" si="3"/>
        <v>0.42857142857142855</v>
      </c>
      <c r="I12" s="20">
        <f t="shared" si="4"/>
        <v>1444.0625</v>
      </c>
      <c r="J12" s="7">
        <f t="shared" si="5"/>
        <v>2888.125</v>
      </c>
      <c r="K12" s="21">
        <f t="shared" si="6"/>
        <v>175</v>
      </c>
      <c r="R12" s="4">
        <v>0.5</v>
      </c>
      <c r="S12" s="4">
        <v>0.33</v>
      </c>
      <c r="AA12" s="12">
        <v>200</v>
      </c>
      <c r="AB12" s="13" t="s">
        <v>25</v>
      </c>
      <c r="AC12" s="13">
        <v>2250</v>
      </c>
    </row>
    <row r="13" spans="1:32" ht="17.25" thickBot="1" x14ac:dyDescent="0.3">
      <c r="A13">
        <v>400</v>
      </c>
      <c r="B13" s="6">
        <f t="shared" si="0"/>
        <v>323250</v>
      </c>
      <c r="D13" s="4">
        <v>0.75</v>
      </c>
      <c r="E13" s="7">
        <f t="shared" si="1"/>
        <v>565687.5</v>
      </c>
      <c r="F13" s="7">
        <f t="shared" si="2"/>
        <v>242437.5</v>
      </c>
      <c r="G13" s="4">
        <f t="shared" si="3"/>
        <v>0.42857142857142855</v>
      </c>
      <c r="I13" s="20">
        <f t="shared" si="4"/>
        <v>1414.21875</v>
      </c>
      <c r="J13" s="7">
        <f t="shared" si="5"/>
        <v>2828.4375</v>
      </c>
      <c r="K13" s="21">
        <f t="shared" si="6"/>
        <v>200</v>
      </c>
      <c r="R13" s="4">
        <v>0.75</v>
      </c>
      <c r="S13" s="4">
        <v>0.42899999999999999</v>
      </c>
      <c r="AA13" s="12">
        <v>300</v>
      </c>
      <c r="AB13" s="13" t="s">
        <v>26</v>
      </c>
      <c r="AC13" s="13">
        <v>1850</v>
      </c>
    </row>
    <row r="14" spans="1:32" ht="17.25" thickBot="1" x14ac:dyDescent="0.3">
      <c r="A14">
        <v>450</v>
      </c>
      <c r="B14" s="6">
        <f t="shared" si="0"/>
        <v>357687.5</v>
      </c>
      <c r="D14" s="4">
        <v>0.75</v>
      </c>
      <c r="E14" s="7">
        <f t="shared" si="1"/>
        <v>625953.125</v>
      </c>
      <c r="F14" s="7">
        <f t="shared" si="2"/>
        <v>268265.625</v>
      </c>
      <c r="G14" s="4">
        <f t="shared" si="3"/>
        <v>0.42857142857142855</v>
      </c>
      <c r="I14" s="20">
        <f t="shared" si="4"/>
        <v>1391.0069444444443</v>
      </c>
      <c r="J14" s="7">
        <f t="shared" si="5"/>
        <v>2782.0138888888887</v>
      </c>
      <c r="K14" s="21">
        <f t="shared" si="6"/>
        <v>225</v>
      </c>
      <c r="R14" s="4">
        <v>1</v>
      </c>
      <c r="S14" s="4">
        <v>0.5</v>
      </c>
      <c r="AA14" s="12">
        <v>400</v>
      </c>
      <c r="AB14" s="13" t="s">
        <v>27</v>
      </c>
      <c r="AC14" s="13">
        <v>1.625</v>
      </c>
    </row>
    <row r="15" spans="1:32" ht="17.25" thickBot="1" x14ac:dyDescent="0.3">
      <c r="A15">
        <v>500</v>
      </c>
      <c r="B15" s="6">
        <f t="shared" si="0"/>
        <v>392125</v>
      </c>
      <c r="D15" s="4">
        <v>0.75</v>
      </c>
      <c r="E15" s="7">
        <f t="shared" si="1"/>
        <v>686218.75</v>
      </c>
      <c r="F15" s="7">
        <f t="shared" si="2"/>
        <v>294093.75</v>
      </c>
      <c r="G15" s="4">
        <f t="shared" si="3"/>
        <v>0.42857142857142855</v>
      </c>
      <c r="I15" s="20">
        <f t="shared" si="4"/>
        <v>1372.4375</v>
      </c>
      <c r="J15" s="7">
        <f t="shared" si="5"/>
        <v>2744.875</v>
      </c>
      <c r="K15" s="21">
        <f t="shared" si="6"/>
        <v>250</v>
      </c>
      <c r="AA15" s="12">
        <v>500</v>
      </c>
      <c r="AB15" s="13" t="s">
        <v>28</v>
      </c>
      <c r="AC15" s="13">
        <v>1500</v>
      </c>
    </row>
    <row r="16" spans="1:32" ht="17.25" thickBot="1" x14ac:dyDescent="0.3">
      <c r="A16">
        <v>600</v>
      </c>
      <c r="B16" s="6">
        <f t="shared" si="0"/>
        <v>461000</v>
      </c>
      <c r="D16" s="4">
        <v>0.75</v>
      </c>
      <c r="E16" s="7">
        <f t="shared" si="1"/>
        <v>806750</v>
      </c>
      <c r="F16" s="7">
        <f t="shared" si="2"/>
        <v>345750</v>
      </c>
      <c r="G16" s="4">
        <f t="shared" si="3"/>
        <v>0.42857142857142855</v>
      </c>
      <c r="I16" s="20">
        <f>E16/A16</f>
        <v>1344.5833333333333</v>
      </c>
      <c r="J16" s="7">
        <f t="shared" si="5"/>
        <v>2689.1666666666665</v>
      </c>
      <c r="K16" s="21">
        <f t="shared" si="6"/>
        <v>300</v>
      </c>
      <c r="AA16" s="12">
        <v>1000</v>
      </c>
      <c r="AB16" s="13" t="s">
        <v>29</v>
      </c>
      <c r="AC16" s="13">
        <v>1400</v>
      </c>
    </row>
    <row r="17" spans="1:32" ht="17.25" thickBot="1" x14ac:dyDescent="0.3">
      <c r="A17">
        <v>700</v>
      </c>
      <c r="B17" s="6">
        <f t="shared" si="0"/>
        <v>529875</v>
      </c>
      <c r="D17" s="4">
        <v>0.75</v>
      </c>
      <c r="E17" s="7">
        <f t="shared" si="1"/>
        <v>927281.25</v>
      </c>
      <c r="F17" s="7">
        <f t="shared" si="2"/>
        <v>397406.25</v>
      </c>
      <c r="G17" s="4">
        <f t="shared" si="3"/>
        <v>0.42857142857142855</v>
      </c>
      <c r="I17" s="7">
        <f t="shared" si="4"/>
        <v>1324.6875</v>
      </c>
      <c r="J17" s="7">
        <f t="shared" si="5"/>
        <v>2649.375</v>
      </c>
      <c r="K17" s="21"/>
      <c r="AA17" s="12">
        <v>5000</v>
      </c>
      <c r="AB17" s="13" t="s">
        <v>30</v>
      </c>
      <c r="AC17" s="13">
        <v>1200</v>
      </c>
    </row>
    <row r="18" spans="1:32" ht="17.25" thickBot="1" x14ac:dyDescent="0.3">
      <c r="A18">
        <v>800</v>
      </c>
      <c r="B18" s="6">
        <f t="shared" si="0"/>
        <v>598750</v>
      </c>
      <c r="D18" s="4">
        <v>0.75</v>
      </c>
      <c r="E18" s="7">
        <f t="shared" si="1"/>
        <v>1047812.5</v>
      </c>
      <c r="F18" s="7">
        <f t="shared" si="2"/>
        <v>449062.5</v>
      </c>
      <c r="G18" s="4">
        <f t="shared" si="3"/>
        <v>0.42857142857142855</v>
      </c>
      <c r="I18" s="7">
        <f t="shared" si="4"/>
        <v>1309.765625</v>
      </c>
      <c r="J18" s="7">
        <f t="shared" si="5"/>
        <v>2619.53125</v>
      </c>
      <c r="K18" s="21"/>
      <c r="AA18" s="12">
        <v>10000</v>
      </c>
      <c r="AB18" s="13" t="s">
        <v>31</v>
      </c>
      <c r="AC18" s="13">
        <v>1000</v>
      </c>
    </row>
    <row r="19" spans="1:32" ht="17.25" thickBot="1" x14ac:dyDescent="0.3">
      <c r="A19">
        <v>900</v>
      </c>
      <c r="B19" s="6">
        <f t="shared" si="0"/>
        <v>667625</v>
      </c>
      <c r="D19" s="4">
        <v>0.75</v>
      </c>
      <c r="E19" s="7">
        <f t="shared" si="1"/>
        <v>1168343.75</v>
      </c>
      <c r="F19" s="7">
        <f t="shared" si="2"/>
        <v>500718.75</v>
      </c>
      <c r="G19" s="4">
        <f t="shared" si="3"/>
        <v>0.42857142857142855</v>
      </c>
      <c r="I19" s="7">
        <f t="shared" si="4"/>
        <v>1298.1597222222222</v>
      </c>
      <c r="J19" s="7">
        <f t="shared" si="5"/>
        <v>2596.3194444444443</v>
      </c>
      <c r="K19" s="21"/>
      <c r="AA19" s="12"/>
      <c r="AB19" s="13"/>
      <c r="AC19" s="13"/>
    </row>
    <row r="20" spans="1:32" x14ac:dyDescent="0.25">
      <c r="A20">
        <v>1000</v>
      </c>
      <c r="B20" s="6">
        <f t="shared" si="0"/>
        <v>736500</v>
      </c>
      <c r="D20" s="4">
        <v>0.75</v>
      </c>
      <c r="E20" s="7">
        <f t="shared" si="1"/>
        <v>1288875</v>
      </c>
      <c r="F20" s="7">
        <f t="shared" si="2"/>
        <v>552375</v>
      </c>
      <c r="G20" s="4">
        <f t="shared" si="3"/>
        <v>0.42857142857142855</v>
      </c>
      <c r="I20" s="7">
        <f t="shared" si="4"/>
        <v>1288.875</v>
      </c>
      <c r="J20" s="7">
        <f t="shared" si="5"/>
        <v>2577.75</v>
      </c>
      <c r="K20" s="21"/>
    </row>
    <row r="21" spans="1:32" x14ac:dyDescent="0.25">
      <c r="A21">
        <v>1200</v>
      </c>
      <c r="B21" s="6">
        <f t="shared" si="0"/>
        <v>874250</v>
      </c>
      <c r="D21" s="4">
        <v>0.75</v>
      </c>
      <c r="E21" s="7">
        <f t="shared" si="1"/>
        <v>1529937.5</v>
      </c>
      <c r="F21" s="7">
        <f t="shared" si="2"/>
        <v>655687.5</v>
      </c>
      <c r="G21" s="4">
        <f t="shared" si="3"/>
        <v>0.42857142857142855</v>
      </c>
      <c r="I21" s="7">
        <f t="shared" si="4"/>
        <v>1274.9479166666667</v>
      </c>
      <c r="J21" s="7">
        <f t="shared" si="5"/>
        <v>2549.8958333333335</v>
      </c>
      <c r="K21" s="21"/>
    </row>
    <row r="22" spans="1:32" ht="16.5" x14ac:dyDescent="0.25">
      <c r="A22">
        <v>1400</v>
      </c>
      <c r="B22" s="6">
        <f t="shared" si="0"/>
        <v>1012000</v>
      </c>
      <c r="D22" s="4">
        <v>0.75</v>
      </c>
      <c r="E22" s="7">
        <f t="shared" si="1"/>
        <v>1771000</v>
      </c>
      <c r="F22" s="7">
        <f t="shared" si="2"/>
        <v>759000</v>
      </c>
      <c r="G22" s="4">
        <f t="shared" si="3"/>
        <v>0.42857142857142855</v>
      </c>
      <c r="I22" s="7">
        <f t="shared" si="4"/>
        <v>1265</v>
      </c>
      <c r="J22" s="7">
        <f t="shared" si="5"/>
        <v>2530</v>
      </c>
      <c r="K22" s="21"/>
      <c r="AA22" s="16" t="s">
        <v>33</v>
      </c>
      <c r="AE22" s="16" t="s">
        <v>33</v>
      </c>
    </row>
    <row r="23" spans="1:32" ht="83.25" thickBot="1" x14ac:dyDescent="0.3">
      <c r="A23">
        <v>1500</v>
      </c>
      <c r="B23" s="6">
        <f t="shared" si="0"/>
        <v>1080875</v>
      </c>
      <c r="D23" s="4">
        <v>0.4</v>
      </c>
      <c r="E23" s="7">
        <f t="shared" si="1"/>
        <v>1513225</v>
      </c>
      <c r="F23" s="7">
        <f t="shared" si="2"/>
        <v>432350</v>
      </c>
      <c r="G23" s="4">
        <f t="shared" si="3"/>
        <v>0.2857142857142857</v>
      </c>
      <c r="I23" s="7">
        <f t="shared" si="4"/>
        <v>1008.8166666666667</v>
      </c>
      <c r="J23" s="7">
        <f t="shared" si="5"/>
        <v>2017.6333333333334</v>
      </c>
      <c r="AA23" s="17" t="s">
        <v>34</v>
      </c>
      <c r="AE23" s="16" t="s">
        <v>34</v>
      </c>
    </row>
    <row r="24" spans="1:32" ht="50.25" thickBot="1" x14ac:dyDescent="0.3">
      <c r="A24">
        <v>2000</v>
      </c>
      <c r="B24" s="6">
        <f t="shared" si="0"/>
        <v>1425250</v>
      </c>
      <c r="D24" s="4">
        <v>0.4</v>
      </c>
      <c r="E24" s="7">
        <f t="shared" si="1"/>
        <v>1995349.9999999998</v>
      </c>
      <c r="F24" s="7">
        <f t="shared" si="2"/>
        <v>570099.99999999977</v>
      </c>
      <c r="G24" s="4">
        <f t="shared" si="3"/>
        <v>0.28571428571428564</v>
      </c>
      <c r="I24" s="7">
        <f t="shared" si="4"/>
        <v>997.67499999999984</v>
      </c>
      <c r="J24" s="7">
        <f t="shared" si="5"/>
        <v>1995.3499999999997</v>
      </c>
      <c r="AA24" s="10" t="s">
        <v>35</v>
      </c>
      <c r="AB24" s="11" t="s">
        <v>12</v>
      </c>
      <c r="AE24" s="10" t="s">
        <v>35</v>
      </c>
      <c r="AF24" s="11" t="s">
        <v>12</v>
      </c>
    </row>
    <row r="25" spans="1:32" ht="17.25" thickBot="1" x14ac:dyDescent="0.3">
      <c r="A25">
        <v>2500</v>
      </c>
      <c r="B25" s="6">
        <f t="shared" si="0"/>
        <v>1769625</v>
      </c>
      <c r="D25" s="4">
        <v>0.4</v>
      </c>
      <c r="E25" s="7">
        <f t="shared" si="1"/>
        <v>2477475</v>
      </c>
      <c r="F25" s="7">
        <f t="shared" si="2"/>
        <v>707850</v>
      </c>
      <c r="G25" s="4">
        <f t="shared" si="3"/>
        <v>0.2857142857142857</v>
      </c>
      <c r="I25" s="7">
        <f t="shared" si="4"/>
        <v>990.99</v>
      </c>
      <c r="J25" s="7">
        <f t="shared" si="5"/>
        <v>1981.98</v>
      </c>
      <c r="AA25" s="12"/>
      <c r="AB25" s="13" t="s">
        <v>36</v>
      </c>
      <c r="AE25" s="12"/>
      <c r="AF25" s="13" t="s">
        <v>46</v>
      </c>
    </row>
    <row r="26" spans="1:32" ht="17.25" thickBot="1" x14ac:dyDescent="0.3">
      <c r="A26">
        <v>3000</v>
      </c>
      <c r="B26" s="6">
        <f t="shared" si="0"/>
        <v>2114000</v>
      </c>
      <c r="D26" s="4">
        <v>0.4</v>
      </c>
      <c r="E26" s="7">
        <f t="shared" si="1"/>
        <v>2959600</v>
      </c>
      <c r="F26" s="7">
        <f t="shared" si="2"/>
        <v>845600</v>
      </c>
      <c r="G26" s="4">
        <f t="shared" si="3"/>
        <v>0.2857142857142857</v>
      </c>
      <c r="I26" s="7">
        <f t="shared" si="4"/>
        <v>986.5333333333333</v>
      </c>
      <c r="J26" s="7">
        <f t="shared" si="5"/>
        <v>1973.0666666666666</v>
      </c>
      <c r="AA26" s="12"/>
      <c r="AB26" s="13"/>
      <c r="AE26" s="12"/>
      <c r="AF26" s="13"/>
    </row>
    <row r="27" spans="1:32" ht="16.5" x14ac:dyDescent="0.25">
      <c r="A27">
        <v>3500</v>
      </c>
      <c r="B27" s="6">
        <f t="shared" si="0"/>
        <v>2458375</v>
      </c>
      <c r="D27" s="4">
        <v>0.4</v>
      </c>
      <c r="E27" s="7">
        <f t="shared" si="1"/>
        <v>3441725</v>
      </c>
      <c r="F27" s="7">
        <f t="shared" si="2"/>
        <v>983350</v>
      </c>
      <c r="G27" s="4">
        <f t="shared" si="3"/>
        <v>0.2857142857142857</v>
      </c>
      <c r="I27" s="7">
        <f t="shared" si="4"/>
        <v>983.35</v>
      </c>
      <c r="J27" s="7">
        <f t="shared" si="5"/>
        <v>1966.7</v>
      </c>
      <c r="AA27" s="15"/>
    </row>
    <row r="28" spans="1:32" ht="17.25" thickBot="1" x14ac:dyDescent="0.3">
      <c r="A28">
        <v>4000</v>
      </c>
      <c r="B28" s="6">
        <f t="shared" si="0"/>
        <v>2802750</v>
      </c>
      <c r="D28" s="4">
        <v>0.4</v>
      </c>
      <c r="E28" s="7">
        <f t="shared" si="1"/>
        <v>3923849.9999999995</v>
      </c>
      <c r="F28" s="7">
        <f t="shared" si="2"/>
        <v>1121099.9999999995</v>
      </c>
      <c r="G28" s="4">
        <f t="shared" si="3"/>
        <v>0.28571428571428564</v>
      </c>
      <c r="I28" s="7">
        <f t="shared" si="4"/>
        <v>980.96249999999986</v>
      </c>
      <c r="J28" s="7">
        <f t="shared" si="5"/>
        <v>1961.9249999999997</v>
      </c>
      <c r="AA28" s="16" t="s">
        <v>37</v>
      </c>
    </row>
    <row r="29" spans="1:32" ht="50.25" thickBot="1" x14ac:dyDescent="0.3">
      <c r="A29">
        <v>5000</v>
      </c>
      <c r="B29" s="6">
        <f t="shared" si="0"/>
        <v>3491500</v>
      </c>
      <c r="D29" s="4">
        <v>0.4</v>
      </c>
      <c r="E29" s="7">
        <f t="shared" si="1"/>
        <v>4888100</v>
      </c>
      <c r="F29" s="7">
        <f t="shared" si="2"/>
        <v>1396600</v>
      </c>
      <c r="G29" s="4">
        <f t="shared" si="3"/>
        <v>0.2857142857142857</v>
      </c>
      <c r="I29" s="7">
        <f t="shared" si="4"/>
        <v>977.62</v>
      </c>
      <c r="J29" s="7">
        <f t="shared" si="5"/>
        <v>1955.24</v>
      </c>
      <c r="AA29" s="10" t="s">
        <v>38</v>
      </c>
      <c r="AB29" s="11" t="s">
        <v>39</v>
      </c>
    </row>
    <row r="30" spans="1:32" ht="50.25" thickBot="1" x14ac:dyDescent="0.3">
      <c r="A30">
        <v>6000</v>
      </c>
      <c r="B30" s="6">
        <f t="shared" si="0"/>
        <v>4180250</v>
      </c>
      <c r="D30" s="4">
        <v>0.4</v>
      </c>
      <c r="E30" s="7">
        <f t="shared" si="1"/>
        <v>5852350</v>
      </c>
      <c r="F30" s="7">
        <f t="shared" si="2"/>
        <v>1672100</v>
      </c>
      <c r="G30" s="4">
        <f t="shared" si="3"/>
        <v>0.2857142857142857</v>
      </c>
      <c r="I30" s="7">
        <f t="shared" si="4"/>
        <v>975.39166666666665</v>
      </c>
      <c r="J30" s="7">
        <f t="shared" si="5"/>
        <v>1950.7833333333333</v>
      </c>
      <c r="AA30" s="12" t="s">
        <v>40</v>
      </c>
      <c r="AB30" s="13" t="s">
        <v>39</v>
      </c>
    </row>
    <row r="31" spans="1:32" ht="50.25" thickBot="1" x14ac:dyDescent="0.3">
      <c r="A31">
        <v>7000</v>
      </c>
      <c r="B31" s="6">
        <f t="shared" si="0"/>
        <v>4869000</v>
      </c>
      <c r="D31" s="4">
        <v>0.4</v>
      </c>
      <c r="E31" s="7">
        <f t="shared" si="1"/>
        <v>6816600</v>
      </c>
      <c r="F31" s="7">
        <f t="shared" si="2"/>
        <v>1947600</v>
      </c>
      <c r="G31" s="4">
        <f t="shared" si="3"/>
        <v>0.2857142857142857</v>
      </c>
      <c r="I31" s="7">
        <f t="shared" si="4"/>
        <v>973.8</v>
      </c>
      <c r="J31" s="7">
        <f t="shared" si="5"/>
        <v>1947.6</v>
      </c>
      <c r="AA31" s="12" t="s">
        <v>40</v>
      </c>
      <c r="AB31" s="13" t="s">
        <v>42</v>
      </c>
    </row>
    <row r="32" spans="1:32" ht="16.5" x14ac:dyDescent="0.25">
      <c r="A32">
        <v>8000</v>
      </c>
      <c r="B32" s="6">
        <f t="shared" si="0"/>
        <v>5557750</v>
      </c>
      <c r="D32" s="4">
        <v>0.4</v>
      </c>
      <c r="E32" s="7">
        <f t="shared" si="1"/>
        <v>7780849.9999999991</v>
      </c>
      <c r="F32" s="7">
        <f t="shared" si="2"/>
        <v>2223099.9999999991</v>
      </c>
      <c r="G32" s="4">
        <f t="shared" si="3"/>
        <v>0.28571428571428564</v>
      </c>
      <c r="I32" s="7">
        <f t="shared" si="4"/>
        <v>972.60624999999993</v>
      </c>
      <c r="J32" s="7">
        <f t="shared" si="5"/>
        <v>1945.2124999999999</v>
      </c>
      <c r="AA32" s="14" t="s">
        <v>41</v>
      </c>
    </row>
    <row r="33" spans="1:10" x14ac:dyDescent="0.25">
      <c r="A33">
        <v>9000</v>
      </c>
      <c r="B33" s="6">
        <f t="shared" si="0"/>
        <v>6246500</v>
      </c>
      <c r="D33" s="4">
        <v>0.4</v>
      </c>
      <c r="E33" s="7">
        <f t="shared" si="1"/>
        <v>8745100</v>
      </c>
      <c r="F33" s="7">
        <f t="shared" si="2"/>
        <v>2498600</v>
      </c>
      <c r="G33" s="4">
        <f t="shared" si="3"/>
        <v>0.2857142857142857</v>
      </c>
      <c r="I33" s="7">
        <f t="shared" si="4"/>
        <v>971.67777777777781</v>
      </c>
      <c r="J33" s="7">
        <f t="shared" si="5"/>
        <v>1943.3555555555556</v>
      </c>
    </row>
    <row r="34" spans="1:10" x14ac:dyDescent="0.25">
      <c r="A34">
        <v>10000</v>
      </c>
      <c r="B34" s="6">
        <f t="shared" si="0"/>
        <v>6935250</v>
      </c>
      <c r="D34" s="4">
        <v>0.4</v>
      </c>
      <c r="E34" s="7">
        <f t="shared" si="1"/>
        <v>9709350</v>
      </c>
      <c r="F34" s="7">
        <f t="shared" si="2"/>
        <v>2774100</v>
      </c>
      <c r="G34" s="4">
        <f t="shared" si="3"/>
        <v>0.2857142857142857</v>
      </c>
      <c r="I34" s="7">
        <f t="shared" si="4"/>
        <v>970.93499999999995</v>
      </c>
      <c r="J34" s="7">
        <f t="shared" si="5"/>
        <v>1941.87</v>
      </c>
    </row>
    <row r="35" spans="1:10" x14ac:dyDescent="0.25">
      <c r="A35">
        <v>15000</v>
      </c>
      <c r="B35" s="6">
        <f t="shared" si="0"/>
        <v>10379000</v>
      </c>
      <c r="D35" s="4">
        <v>0.4</v>
      </c>
      <c r="E35" s="7">
        <f t="shared" si="1"/>
        <v>14530600</v>
      </c>
      <c r="F35" s="7">
        <f t="shared" si="2"/>
        <v>4151600</v>
      </c>
      <c r="G35" s="4">
        <f t="shared" si="3"/>
        <v>0.2857142857142857</v>
      </c>
      <c r="I35" s="7">
        <f t="shared" si="4"/>
        <v>968.70666666666671</v>
      </c>
      <c r="J35" s="7">
        <f t="shared" si="5"/>
        <v>1937.4133333333334</v>
      </c>
    </row>
    <row r="36" spans="1:10" x14ac:dyDescent="0.25">
      <c r="A36">
        <v>20000</v>
      </c>
      <c r="B36" s="6">
        <f t="shared" si="0"/>
        <v>13822750</v>
      </c>
      <c r="D36" s="4">
        <v>0.4</v>
      </c>
      <c r="E36" s="7">
        <f t="shared" si="1"/>
        <v>19351850</v>
      </c>
      <c r="F36" s="7">
        <f t="shared" si="2"/>
        <v>5529100</v>
      </c>
      <c r="G36" s="4">
        <f t="shared" si="3"/>
        <v>0.2857142857142857</v>
      </c>
      <c r="I36" s="7">
        <f t="shared" si="4"/>
        <v>967.59249999999997</v>
      </c>
      <c r="J36" s="7">
        <f t="shared" si="5"/>
        <v>1935.1849999999999</v>
      </c>
    </row>
    <row r="38" spans="1:10" x14ac:dyDescent="0.25">
      <c r="A38" t="s">
        <v>20</v>
      </c>
    </row>
    <row r="39" spans="1:10" x14ac:dyDescent="0.25">
      <c r="A39" s="1" t="s">
        <v>4</v>
      </c>
      <c r="D39" s="1" t="s">
        <v>3</v>
      </c>
      <c r="I39" s="1" t="s">
        <v>8</v>
      </c>
    </row>
    <row r="40" spans="1:10" ht="45" x14ac:dyDescent="0.25">
      <c r="A40" s="2" t="s">
        <v>6</v>
      </c>
      <c r="B40" s="2" t="s">
        <v>0</v>
      </c>
      <c r="C40" s="2"/>
      <c r="D40" s="2" t="s">
        <v>7</v>
      </c>
      <c r="E40" s="2" t="s">
        <v>2</v>
      </c>
      <c r="F40" s="2" t="s">
        <v>1</v>
      </c>
      <c r="G40" s="3" t="s">
        <v>5</v>
      </c>
      <c r="H40" s="2"/>
      <c r="I40" s="2" t="s">
        <v>9</v>
      </c>
    </row>
    <row r="41" spans="1:10" x14ac:dyDescent="0.25">
      <c r="A41">
        <v>1</v>
      </c>
      <c r="B41" s="6">
        <f>PhiMayInToner1M(A41)</f>
        <v>42016.666700000002</v>
      </c>
      <c r="D41" s="4">
        <v>0.4</v>
      </c>
      <c r="E41" s="7">
        <f>B41*(1+D41)</f>
        <v>58823.333379999996</v>
      </c>
      <c r="F41" s="7">
        <f>E41-B41</f>
        <v>16806.666679999995</v>
      </c>
      <c r="G41" s="4">
        <f>F41/E41</f>
        <v>0.28571428571428564</v>
      </c>
      <c r="I41" s="7">
        <f>E41/A41</f>
        <v>58823.333379999996</v>
      </c>
    </row>
    <row r="42" spans="1:10" x14ac:dyDescent="0.25">
      <c r="A42">
        <v>50</v>
      </c>
      <c r="B42" s="6">
        <f t="shared" ref="B42:B72" si="7">PhiMayInToner1M(A42)</f>
        <v>59166.666700000002</v>
      </c>
      <c r="D42" s="4">
        <v>0.5</v>
      </c>
      <c r="E42" s="7">
        <f t="shared" ref="E42:E72" si="8">B42*(1+D42)</f>
        <v>88750.000050000002</v>
      </c>
      <c r="F42" s="7">
        <f t="shared" ref="F42:F72" si="9">E42-B42</f>
        <v>29583.333350000001</v>
      </c>
      <c r="G42" s="4">
        <f t="shared" ref="G42:G72" si="10">F42/E42</f>
        <v>0.33333333333333331</v>
      </c>
      <c r="I42" s="7">
        <f t="shared" ref="I42:I72" si="11">E42/A42</f>
        <v>1775.0000010000001</v>
      </c>
    </row>
    <row r="43" spans="1:10" x14ac:dyDescent="0.25">
      <c r="A43">
        <v>100</v>
      </c>
      <c r="B43" s="6">
        <f t="shared" si="7"/>
        <v>76666.666700000002</v>
      </c>
      <c r="D43" s="4">
        <v>0.5</v>
      </c>
      <c r="E43" s="7">
        <f t="shared" si="8"/>
        <v>115000.00005</v>
      </c>
      <c r="F43" s="7">
        <f t="shared" si="9"/>
        <v>38333.333350000001</v>
      </c>
      <c r="G43" s="4">
        <f t="shared" si="10"/>
        <v>0.33333333333333331</v>
      </c>
      <c r="I43" s="7">
        <f t="shared" si="11"/>
        <v>1150.0000004999999</v>
      </c>
    </row>
    <row r="44" spans="1:10" x14ac:dyDescent="0.25">
      <c r="A44">
        <v>150</v>
      </c>
      <c r="B44" s="6">
        <f t="shared" si="7"/>
        <v>94166.666700000002</v>
      </c>
      <c r="D44" s="4">
        <v>0.5</v>
      </c>
      <c r="E44" s="7">
        <f t="shared" si="8"/>
        <v>141250.00005</v>
      </c>
      <c r="F44" s="7">
        <f t="shared" si="9"/>
        <v>47083.333350000001</v>
      </c>
      <c r="G44" s="4">
        <f t="shared" si="10"/>
        <v>0.33333333333333331</v>
      </c>
      <c r="I44" s="7">
        <f t="shared" si="11"/>
        <v>941.66666699999996</v>
      </c>
    </row>
    <row r="45" spans="1:10" x14ac:dyDescent="0.25">
      <c r="A45">
        <v>200</v>
      </c>
      <c r="B45" s="6">
        <f t="shared" si="7"/>
        <v>111666.6667</v>
      </c>
      <c r="D45" s="4">
        <v>0.5</v>
      </c>
      <c r="E45" s="7">
        <f t="shared" si="8"/>
        <v>167500.00005</v>
      </c>
      <c r="F45" s="7">
        <f t="shared" si="9"/>
        <v>55833.333350000001</v>
      </c>
      <c r="G45" s="4">
        <f t="shared" si="10"/>
        <v>0.33333333333333331</v>
      </c>
      <c r="I45" s="7">
        <f t="shared" si="11"/>
        <v>837.50000024999997</v>
      </c>
    </row>
    <row r="46" spans="1:10" x14ac:dyDescent="0.25">
      <c r="A46">
        <v>250</v>
      </c>
      <c r="B46" s="6">
        <f t="shared" si="7"/>
        <v>129166.6667</v>
      </c>
      <c r="D46" s="4">
        <v>0.5</v>
      </c>
      <c r="E46" s="7">
        <f t="shared" si="8"/>
        <v>193750.00005</v>
      </c>
      <c r="F46" s="7">
        <f t="shared" si="9"/>
        <v>64583.333350000001</v>
      </c>
      <c r="G46" s="4">
        <f t="shared" si="10"/>
        <v>0.33333333333333331</v>
      </c>
      <c r="I46" s="7">
        <f t="shared" si="11"/>
        <v>775.00000020000004</v>
      </c>
    </row>
    <row r="47" spans="1:10" x14ac:dyDescent="0.25">
      <c r="A47">
        <v>300</v>
      </c>
      <c r="B47" s="6">
        <f t="shared" si="7"/>
        <v>146666.6667</v>
      </c>
      <c r="D47" s="4">
        <v>0.5</v>
      </c>
      <c r="E47" s="7">
        <f t="shared" si="8"/>
        <v>220000.00005</v>
      </c>
      <c r="F47" s="7">
        <f t="shared" si="9"/>
        <v>73333.333350000001</v>
      </c>
      <c r="G47" s="4">
        <f t="shared" si="10"/>
        <v>0.33333333333333331</v>
      </c>
      <c r="I47" s="7">
        <f t="shared" si="11"/>
        <v>733.33333349999998</v>
      </c>
    </row>
    <row r="48" spans="1:10" x14ac:dyDescent="0.25">
      <c r="A48">
        <v>350</v>
      </c>
      <c r="B48" s="6">
        <f t="shared" si="7"/>
        <v>164166.6667</v>
      </c>
      <c r="D48" s="4">
        <v>0.5</v>
      </c>
      <c r="E48" s="7">
        <f t="shared" si="8"/>
        <v>246250.00005</v>
      </c>
      <c r="F48" s="7">
        <f t="shared" si="9"/>
        <v>82083.333350000001</v>
      </c>
      <c r="G48" s="4">
        <f t="shared" si="10"/>
        <v>0.33333333333333331</v>
      </c>
      <c r="I48" s="7">
        <f t="shared" si="11"/>
        <v>703.57142871428573</v>
      </c>
    </row>
    <row r="49" spans="1:9" x14ac:dyDescent="0.25">
      <c r="A49">
        <v>400</v>
      </c>
      <c r="B49" s="6">
        <f t="shared" si="7"/>
        <v>181666.6667</v>
      </c>
      <c r="D49" s="4">
        <v>0.6</v>
      </c>
      <c r="E49" s="7">
        <f t="shared" si="8"/>
        <v>290666.66672000004</v>
      </c>
      <c r="F49" s="7">
        <f t="shared" si="9"/>
        <v>109000.00002000004</v>
      </c>
      <c r="G49" s="4">
        <f t="shared" si="10"/>
        <v>0.37500000000000006</v>
      </c>
      <c r="I49" s="7">
        <f t="shared" si="11"/>
        <v>726.66666680000014</v>
      </c>
    </row>
    <row r="50" spans="1:9" x14ac:dyDescent="0.25">
      <c r="A50">
        <v>450</v>
      </c>
      <c r="B50" s="6">
        <f t="shared" si="7"/>
        <v>199166.6667</v>
      </c>
      <c r="D50" s="4">
        <v>0.6</v>
      </c>
      <c r="E50" s="7">
        <f t="shared" si="8"/>
        <v>318666.66672000004</v>
      </c>
      <c r="F50" s="7">
        <f t="shared" si="9"/>
        <v>119500.00002000004</v>
      </c>
      <c r="G50" s="4">
        <f t="shared" si="10"/>
        <v>0.37500000000000006</v>
      </c>
      <c r="I50" s="7">
        <f t="shared" si="11"/>
        <v>708.14814826666679</v>
      </c>
    </row>
    <row r="51" spans="1:9" x14ac:dyDescent="0.25">
      <c r="A51">
        <v>500</v>
      </c>
      <c r="B51" s="6">
        <f t="shared" si="7"/>
        <v>216666.6667</v>
      </c>
      <c r="D51" s="4">
        <v>0.6</v>
      </c>
      <c r="E51" s="7">
        <f t="shared" si="8"/>
        <v>346666.66672000004</v>
      </c>
      <c r="F51" s="7">
        <f t="shared" si="9"/>
        <v>130000.00002000004</v>
      </c>
      <c r="G51" s="4">
        <f t="shared" si="10"/>
        <v>0.37500000000000006</v>
      </c>
      <c r="I51" s="7">
        <f t="shared" si="11"/>
        <v>693.33333344000005</v>
      </c>
    </row>
    <row r="52" spans="1:9" x14ac:dyDescent="0.25">
      <c r="A52">
        <v>600</v>
      </c>
      <c r="B52" s="6">
        <f t="shared" si="7"/>
        <v>251666.6667</v>
      </c>
      <c r="D52" s="4">
        <v>0.6</v>
      </c>
      <c r="E52" s="7">
        <f t="shared" si="8"/>
        <v>402666.66672000004</v>
      </c>
      <c r="F52" s="7">
        <f t="shared" si="9"/>
        <v>151000.00002000004</v>
      </c>
      <c r="G52" s="4">
        <f t="shared" si="10"/>
        <v>0.37500000000000006</v>
      </c>
      <c r="I52" s="7">
        <f t="shared" si="11"/>
        <v>671.1111112000001</v>
      </c>
    </row>
    <row r="53" spans="1:9" x14ac:dyDescent="0.25">
      <c r="A53">
        <v>700</v>
      </c>
      <c r="B53" s="6">
        <f t="shared" si="7"/>
        <v>286666.6667</v>
      </c>
      <c r="D53" s="4">
        <v>0.6</v>
      </c>
      <c r="E53" s="7">
        <f t="shared" si="8"/>
        <v>458666.66672000004</v>
      </c>
      <c r="F53" s="7">
        <f t="shared" si="9"/>
        <v>172000.00002000004</v>
      </c>
      <c r="G53" s="4">
        <f t="shared" si="10"/>
        <v>0.37500000000000006</v>
      </c>
      <c r="I53" s="7">
        <f t="shared" si="11"/>
        <v>655.23809531428572</v>
      </c>
    </row>
    <row r="54" spans="1:9" x14ac:dyDescent="0.25">
      <c r="A54">
        <v>800</v>
      </c>
      <c r="B54" s="6">
        <f t="shared" si="7"/>
        <v>321666.6667</v>
      </c>
      <c r="D54" s="4">
        <v>0.6</v>
      </c>
      <c r="E54" s="7">
        <f t="shared" si="8"/>
        <v>514666.66672000004</v>
      </c>
      <c r="F54" s="7">
        <f t="shared" si="9"/>
        <v>193000.00002000004</v>
      </c>
      <c r="G54" s="4">
        <f t="shared" si="10"/>
        <v>0.37500000000000006</v>
      </c>
      <c r="I54" s="7">
        <f t="shared" si="11"/>
        <v>643.33333340000001</v>
      </c>
    </row>
    <row r="55" spans="1:9" x14ac:dyDescent="0.25">
      <c r="A55">
        <v>900</v>
      </c>
      <c r="B55" s="6">
        <f t="shared" si="7"/>
        <v>356666.6667</v>
      </c>
      <c r="D55" s="4">
        <v>0.6</v>
      </c>
      <c r="E55" s="7">
        <f t="shared" si="8"/>
        <v>570666.66671999998</v>
      </c>
      <c r="F55" s="7">
        <f t="shared" si="9"/>
        <v>214000.00001999998</v>
      </c>
      <c r="G55" s="4">
        <f t="shared" si="10"/>
        <v>0.375</v>
      </c>
      <c r="I55" s="7">
        <f t="shared" si="11"/>
        <v>634.07407413333328</v>
      </c>
    </row>
    <row r="56" spans="1:9" x14ac:dyDescent="0.25">
      <c r="A56">
        <v>1000</v>
      </c>
      <c r="B56" s="6">
        <f t="shared" si="7"/>
        <v>391666.6667</v>
      </c>
      <c r="D56" s="4">
        <v>0.4</v>
      </c>
      <c r="E56" s="7">
        <f t="shared" si="8"/>
        <v>548333.33337999997</v>
      </c>
      <c r="F56" s="7">
        <f t="shared" si="9"/>
        <v>156666.66667999997</v>
      </c>
      <c r="G56" s="4">
        <f t="shared" si="10"/>
        <v>0.28571428571428564</v>
      </c>
      <c r="I56" s="7">
        <f t="shared" si="11"/>
        <v>548.33333338</v>
      </c>
    </row>
    <row r="57" spans="1:9" x14ac:dyDescent="0.25">
      <c r="A57">
        <v>1200</v>
      </c>
      <c r="B57" s="6">
        <f t="shared" si="7"/>
        <v>461666.6667</v>
      </c>
      <c r="D57" s="4">
        <v>0.4</v>
      </c>
      <c r="E57" s="7">
        <f t="shared" si="8"/>
        <v>646333.33337999997</v>
      </c>
      <c r="F57" s="7">
        <f t="shared" si="9"/>
        <v>184666.66667999997</v>
      </c>
      <c r="G57" s="4">
        <f t="shared" si="10"/>
        <v>0.2857142857142857</v>
      </c>
      <c r="I57" s="7">
        <f t="shared" si="11"/>
        <v>538.61111114999994</v>
      </c>
    </row>
    <row r="58" spans="1:9" x14ac:dyDescent="0.25">
      <c r="A58">
        <v>1400</v>
      </c>
      <c r="B58" s="6">
        <f t="shared" si="7"/>
        <v>531666.66669999994</v>
      </c>
      <c r="D58" s="4">
        <v>0.4</v>
      </c>
      <c r="E58" s="7">
        <f t="shared" si="8"/>
        <v>744333.33337999985</v>
      </c>
      <c r="F58" s="7">
        <f t="shared" si="9"/>
        <v>212666.66667999991</v>
      </c>
      <c r="G58" s="4">
        <f t="shared" si="10"/>
        <v>0.28571428571428564</v>
      </c>
      <c r="I58" s="7">
        <f t="shared" si="11"/>
        <v>531.66666669999984</v>
      </c>
    </row>
    <row r="59" spans="1:9" x14ac:dyDescent="0.25">
      <c r="A59">
        <v>1500</v>
      </c>
      <c r="B59" s="6">
        <f t="shared" si="7"/>
        <v>566666.66669999994</v>
      </c>
      <c r="D59" s="4">
        <v>0.4</v>
      </c>
      <c r="E59" s="7">
        <f t="shared" si="8"/>
        <v>793333.33337999985</v>
      </c>
      <c r="F59" s="7">
        <f t="shared" si="9"/>
        <v>226666.66667999991</v>
      </c>
      <c r="G59" s="4">
        <f t="shared" si="10"/>
        <v>0.28571428571428564</v>
      </c>
      <c r="I59" s="7">
        <f t="shared" si="11"/>
        <v>528.88888891999989</v>
      </c>
    </row>
    <row r="60" spans="1:9" x14ac:dyDescent="0.25">
      <c r="A60">
        <v>2000</v>
      </c>
      <c r="B60" s="6">
        <f t="shared" si="7"/>
        <v>741666.66669999994</v>
      </c>
      <c r="D60" s="4">
        <v>0.4</v>
      </c>
      <c r="E60" s="7">
        <f t="shared" si="8"/>
        <v>1038333.3333799999</v>
      </c>
      <c r="F60" s="7">
        <f t="shared" si="9"/>
        <v>296666.66667999991</v>
      </c>
      <c r="G60" s="4">
        <f t="shared" si="10"/>
        <v>0.28571428571428564</v>
      </c>
      <c r="I60" s="7">
        <f t="shared" si="11"/>
        <v>519.16666668999994</v>
      </c>
    </row>
    <row r="61" spans="1:9" x14ac:dyDescent="0.25">
      <c r="A61">
        <v>2500</v>
      </c>
      <c r="B61" s="6">
        <f t="shared" si="7"/>
        <v>916666.66669999994</v>
      </c>
      <c r="D61" s="4">
        <v>0.4</v>
      </c>
      <c r="E61" s="7">
        <f t="shared" si="8"/>
        <v>1283333.3333799997</v>
      </c>
      <c r="F61" s="7">
        <f t="shared" si="9"/>
        <v>366666.66667999979</v>
      </c>
      <c r="G61" s="4">
        <f t="shared" si="10"/>
        <v>0.28571428571428559</v>
      </c>
      <c r="I61" s="7">
        <f t="shared" si="11"/>
        <v>513.33333335199984</v>
      </c>
    </row>
    <row r="62" spans="1:9" x14ac:dyDescent="0.25">
      <c r="A62">
        <v>3000</v>
      </c>
      <c r="B62" s="6">
        <f t="shared" si="7"/>
        <v>1091666.6666999999</v>
      </c>
      <c r="D62" s="4">
        <v>0.4</v>
      </c>
      <c r="E62" s="7">
        <f t="shared" si="8"/>
        <v>1528333.3333799997</v>
      </c>
      <c r="F62" s="7">
        <f t="shared" si="9"/>
        <v>436666.66667999979</v>
      </c>
      <c r="G62" s="4">
        <f t="shared" si="10"/>
        <v>0.28571428571428564</v>
      </c>
      <c r="I62" s="7">
        <f t="shared" si="11"/>
        <v>509.44444445999989</v>
      </c>
    </row>
    <row r="63" spans="1:9" x14ac:dyDescent="0.25">
      <c r="A63">
        <v>3500</v>
      </c>
      <c r="B63" s="6">
        <f t="shared" si="7"/>
        <v>1266666.6666999999</v>
      </c>
      <c r="D63" s="4">
        <v>0.4</v>
      </c>
      <c r="E63" s="7">
        <f t="shared" si="8"/>
        <v>1773333.3333799997</v>
      </c>
      <c r="F63" s="7">
        <f t="shared" si="9"/>
        <v>506666.66667999979</v>
      </c>
      <c r="G63" s="4">
        <f t="shared" si="10"/>
        <v>0.28571428571428564</v>
      </c>
      <c r="I63" s="7">
        <f t="shared" si="11"/>
        <v>506.66666667999993</v>
      </c>
    </row>
    <row r="64" spans="1:9" x14ac:dyDescent="0.25">
      <c r="A64">
        <v>4000</v>
      </c>
      <c r="B64" s="6">
        <f t="shared" si="7"/>
        <v>1441666.6666999999</v>
      </c>
      <c r="D64" s="4">
        <v>0.4</v>
      </c>
      <c r="E64" s="7">
        <f t="shared" si="8"/>
        <v>2018333.3333799997</v>
      </c>
      <c r="F64" s="7">
        <f t="shared" si="9"/>
        <v>576666.66667999979</v>
      </c>
      <c r="G64" s="4">
        <f t="shared" si="10"/>
        <v>0.28571428571428564</v>
      </c>
      <c r="I64" s="7">
        <f t="shared" si="11"/>
        <v>504.58333334499991</v>
      </c>
    </row>
    <row r="65" spans="1:9" x14ac:dyDescent="0.25">
      <c r="A65">
        <v>5000</v>
      </c>
      <c r="B65" s="6">
        <f t="shared" si="7"/>
        <v>1791666.6666999999</v>
      </c>
      <c r="D65" s="4">
        <v>0.4</v>
      </c>
      <c r="E65" s="7">
        <f t="shared" si="8"/>
        <v>2508333.3333799997</v>
      </c>
      <c r="F65" s="7">
        <f t="shared" si="9"/>
        <v>716666.66667999979</v>
      </c>
      <c r="G65" s="4">
        <f t="shared" si="10"/>
        <v>0.28571428571428564</v>
      </c>
      <c r="I65" s="7">
        <f t="shared" si="11"/>
        <v>501.66666667599992</v>
      </c>
    </row>
    <row r="66" spans="1:9" x14ac:dyDescent="0.25">
      <c r="A66">
        <v>6000</v>
      </c>
      <c r="B66" s="6">
        <f t="shared" si="7"/>
        <v>2141666.6666999999</v>
      </c>
      <c r="D66" s="4">
        <v>0.4</v>
      </c>
      <c r="E66" s="7">
        <f t="shared" si="8"/>
        <v>2998333.3333799997</v>
      </c>
      <c r="F66" s="7">
        <f t="shared" si="9"/>
        <v>856666.66667999979</v>
      </c>
      <c r="G66" s="4">
        <f t="shared" si="10"/>
        <v>0.28571428571428564</v>
      </c>
      <c r="I66" s="7">
        <f t="shared" si="11"/>
        <v>499.72222222999994</v>
      </c>
    </row>
    <row r="67" spans="1:9" x14ac:dyDescent="0.25">
      <c r="A67">
        <v>7000</v>
      </c>
      <c r="B67" s="6">
        <f t="shared" si="7"/>
        <v>2491666.6666999999</v>
      </c>
      <c r="D67" s="4">
        <v>0.4</v>
      </c>
      <c r="E67" s="7">
        <f t="shared" si="8"/>
        <v>3488333.3333799997</v>
      </c>
      <c r="F67" s="7">
        <f t="shared" si="9"/>
        <v>996666.66667999979</v>
      </c>
      <c r="G67" s="4">
        <f t="shared" si="10"/>
        <v>0.2857142857142857</v>
      </c>
      <c r="I67" s="7">
        <f t="shared" si="11"/>
        <v>498.33333333999997</v>
      </c>
    </row>
    <row r="68" spans="1:9" x14ac:dyDescent="0.25">
      <c r="A68">
        <v>8000</v>
      </c>
      <c r="B68" s="6">
        <f t="shared" si="7"/>
        <v>2841666.6666999999</v>
      </c>
      <c r="D68" s="4">
        <v>0.4</v>
      </c>
      <c r="E68" s="7">
        <f t="shared" si="8"/>
        <v>3978333.3333799997</v>
      </c>
      <c r="F68" s="7">
        <f t="shared" si="9"/>
        <v>1136666.6666799998</v>
      </c>
      <c r="G68" s="4">
        <f t="shared" si="10"/>
        <v>0.2857142857142857</v>
      </c>
      <c r="I68" s="7">
        <f t="shared" si="11"/>
        <v>497.29166667249996</v>
      </c>
    </row>
    <row r="69" spans="1:9" x14ac:dyDescent="0.25">
      <c r="A69">
        <v>9000</v>
      </c>
      <c r="B69" s="6">
        <f t="shared" si="7"/>
        <v>3191666.6666999999</v>
      </c>
      <c r="D69" s="4">
        <v>0.4</v>
      </c>
      <c r="E69" s="7">
        <f t="shared" si="8"/>
        <v>4468333.3333799997</v>
      </c>
      <c r="F69" s="7">
        <f t="shared" si="9"/>
        <v>1276666.6666799998</v>
      </c>
      <c r="G69" s="4">
        <f t="shared" si="10"/>
        <v>0.2857142857142857</v>
      </c>
      <c r="I69" s="7">
        <f t="shared" si="11"/>
        <v>496.48148148666661</v>
      </c>
    </row>
    <row r="70" spans="1:9" x14ac:dyDescent="0.25">
      <c r="A70">
        <v>10000</v>
      </c>
      <c r="B70" s="6">
        <f t="shared" si="7"/>
        <v>3541666.6666999999</v>
      </c>
      <c r="D70" s="4">
        <v>0.4</v>
      </c>
      <c r="E70" s="7">
        <f t="shared" si="8"/>
        <v>4958333.3333799997</v>
      </c>
      <c r="F70" s="7">
        <f t="shared" si="9"/>
        <v>1416666.6666799998</v>
      </c>
      <c r="G70" s="4">
        <f t="shared" si="10"/>
        <v>0.2857142857142857</v>
      </c>
      <c r="I70" s="7">
        <f t="shared" si="11"/>
        <v>495.83333333799999</v>
      </c>
    </row>
    <row r="71" spans="1:9" x14ac:dyDescent="0.25">
      <c r="A71">
        <v>15000</v>
      </c>
      <c r="B71" s="6">
        <f t="shared" si="7"/>
        <v>5291666.6666999999</v>
      </c>
      <c r="D71" s="4">
        <v>0.4</v>
      </c>
      <c r="E71" s="7">
        <f t="shared" si="8"/>
        <v>7408333.3333799997</v>
      </c>
      <c r="F71" s="7">
        <f t="shared" si="9"/>
        <v>2116666.6666799998</v>
      </c>
      <c r="G71" s="4">
        <f t="shared" si="10"/>
        <v>0.2857142857142857</v>
      </c>
      <c r="I71" s="7">
        <f t="shared" si="11"/>
        <v>493.88888889199995</v>
      </c>
    </row>
    <row r="72" spans="1:9" x14ac:dyDescent="0.25">
      <c r="A72">
        <v>20000</v>
      </c>
      <c r="B72" s="6">
        <f t="shared" si="7"/>
        <v>7041666.6666999999</v>
      </c>
      <c r="D72" s="4">
        <v>0.4</v>
      </c>
      <c r="E72" s="7">
        <f t="shared" si="8"/>
        <v>9858333.3333799988</v>
      </c>
      <c r="F72" s="7">
        <f t="shared" si="9"/>
        <v>2816666.6666799989</v>
      </c>
      <c r="G72" s="4">
        <f t="shared" si="10"/>
        <v>0.28571428571428564</v>
      </c>
      <c r="I72" s="7">
        <f t="shared" si="11"/>
        <v>492.91666666899994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7E42-4822-4723-A438-BD1B80486773}">
  <sheetPr codeName="Trang_tính12"/>
  <dimension ref="A1:K27"/>
  <sheetViews>
    <sheetView workbookViewId="0">
      <selection activeCell="E27" sqref="E27"/>
    </sheetView>
  </sheetViews>
  <sheetFormatPr defaultRowHeight="15" x14ac:dyDescent="0.25"/>
  <cols>
    <col min="1" max="1" width="18" bestFit="1" customWidth="1"/>
    <col min="2" max="2" width="13.140625" bestFit="1" customWidth="1"/>
    <col min="3" max="3" width="14.85546875" bestFit="1" customWidth="1"/>
    <col min="4" max="4" width="15.85546875" bestFit="1" customWidth="1"/>
    <col min="5" max="5" width="21.5703125" bestFit="1" customWidth="1"/>
    <col min="6" max="6" width="14.85546875" bestFit="1" customWidth="1"/>
    <col min="8" max="8" width="16" bestFit="1" customWidth="1"/>
  </cols>
  <sheetData>
    <row r="1" spans="1:11" x14ac:dyDescent="0.25">
      <c r="A1" s="1" t="s">
        <v>100</v>
      </c>
      <c r="B1" t="s">
        <v>112</v>
      </c>
      <c r="C1" t="s">
        <v>114</v>
      </c>
    </row>
    <row r="2" spans="1:11" x14ac:dyDescent="0.25">
      <c r="A2" t="s">
        <v>101</v>
      </c>
      <c r="B2" t="s">
        <v>102</v>
      </c>
      <c r="D2" s="2" t="s">
        <v>141</v>
      </c>
      <c r="E2" t="s">
        <v>142</v>
      </c>
      <c r="J2">
        <v>1000</v>
      </c>
      <c r="K2">
        <v>120</v>
      </c>
    </row>
    <row r="3" spans="1:11" x14ac:dyDescent="0.25">
      <c r="A3" t="s">
        <v>103</v>
      </c>
      <c r="B3" t="s">
        <v>106</v>
      </c>
      <c r="C3">
        <v>24</v>
      </c>
      <c r="D3" s="21">
        <v>3000</v>
      </c>
      <c r="E3" s="23">
        <f>C3*D3</f>
        <v>72000</v>
      </c>
      <c r="J3">
        <v>2000</v>
      </c>
      <c r="K3">
        <v>88</v>
      </c>
    </row>
    <row r="4" spans="1:11" x14ac:dyDescent="0.25">
      <c r="A4" t="s">
        <v>104</v>
      </c>
      <c r="B4" t="s">
        <v>105</v>
      </c>
      <c r="J4">
        <v>3000</v>
      </c>
      <c r="K4">
        <v>78</v>
      </c>
    </row>
    <row r="5" spans="1:11" x14ac:dyDescent="0.25">
      <c r="A5" t="s">
        <v>107</v>
      </c>
      <c r="B5">
        <v>2</v>
      </c>
    </row>
    <row r="6" spans="1:11" x14ac:dyDescent="0.25">
      <c r="A6" t="s">
        <v>108</v>
      </c>
      <c r="B6">
        <v>2</v>
      </c>
      <c r="D6" t="s">
        <v>111</v>
      </c>
    </row>
    <row r="7" spans="1:11" x14ac:dyDescent="0.25">
      <c r="A7" t="s">
        <v>109</v>
      </c>
      <c r="B7">
        <v>52</v>
      </c>
      <c r="C7">
        <v>12</v>
      </c>
      <c r="D7">
        <f xml:space="preserve"> B7*C7</f>
        <v>624</v>
      </c>
    </row>
    <row r="8" spans="1:11" x14ac:dyDescent="0.25">
      <c r="A8" t="s">
        <v>110</v>
      </c>
      <c r="D8">
        <f xml:space="preserve"> B8*C8</f>
        <v>0</v>
      </c>
      <c r="E8" t="s">
        <v>115</v>
      </c>
      <c r="F8" t="s">
        <v>116</v>
      </c>
      <c r="G8" t="s">
        <v>117</v>
      </c>
    </row>
    <row r="9" spans="1:11" x14ac:dyDescent="0.25">
      <c r="D9">
        <f>SUM(D7:D8)</f>
        <v>624</v>
      </c>
      <c r="E9" t="s">
        <v>96</v>
      </c>
      <c r="F9">
        <v>850</v>
      </c>
      <c r="G9">
        <v>1</v>
      </c>
      <c r="H9" s="25">
        <f>(G9*D9)*F9</f>
        <v>530400</v>
      </c>
    </row>
    <row r="10" spans="1:11" x14ac:dyDescent="0.25">
      <c r="H10" s="25"/>
    </row>
    <row r="11" spans="1:11" ht="30" x14ac:dyDescent="0.25">
      <c r="B11" t="s">
        <v>138</v>
      </c>
      <c r="C11" t="s">
        <v>139</v>
      </c>
      <c r="D11" s="2" t="s">
        <v>140</v>
      </c>
      <c r="E11" t="s">
        <v>119</v>
      </c>
      <c r="F11" t="s">
        <v>120</v>
      </c>
      <c r="G11" t="s">
        <v>121</v>
      </c>
      <c r="H11" s="25"/>
    </row>
    <row r="12" spans="1:11" x14ac:dyDescent="0.25">
      <c r="A12" t="s">
        <v>118</v>
      </c>
      <c r="B12">
        <v>52</v>
      </c>
      <c r="C12">
        <v>10</v>
      </c>
      <c r="D12">
        <f xml:space="preserve"> B12*C12</f>
        <v>520</v>
      </c>
      <c r="E12" t="s">
        <v>92</v>
      </c>
      <c r="F12">
        <v>0.34</v>
      </c>
      <c r="G12" s="22">
        <f>($D$3*C3)/6</f>
        <v>12000</v>
      </c>
      <c r="H12" s="25">
        <f>(G12*D12)*F12</f>
        <v>2121600</v>
      </c>
    </row>
    <row r="13" spans="1:11" x14ac:dyDescent="0.25">
      <c r="G13" s="22"/>
      <c r="H13" s="25"/>
    </row>
    <row r="14" spans="1:11" x14ac:dyDescent="0.25">
      <c r="A14" t="s">
        <v>127</v>
      </c>
      <c r="B14" t="s">
        <v>128</v>
      </c>
      <c r="C14" t="s">
        <v>130</v>
      </c>
      <c r="G14" s="22"/>
      <c r="H14" s="25"/>
    </row>
    <row r="15" spans="1:11" x14ac:dyDescent="0.25">
      <c r="B15">
        <v>300</v>
      </c>
      <c r="C15">
        <f xml:space="preserve"> (3+1) * 2 + (8+1)*2</f>
        <v>26</v>
      </c>
      <c r="G15" s="22"/>
      <c r="H15" s="25"/>
    </row>
    <row r="17" spans="1:4" x14ac:dyDescent="0.25">
      <c r="A17" s="1" t="s">
        <v>131</v>
      </c>
      <c r="D17" s="22">
        <f>D3</f>
        <v>3000</v>
      </c>
    </row>
    <row r="18" spans="1:4" x14ac:dyDescent="0.25">
      <c r="C18" t="s">
        <v>123</v>
      </c>
      <c r="D18" t="s">
        <v>113</v>
      </c>
    </row>
    <row r="19" spans="1:4" x14ac:dyDescent="0.25">
      <c r="A19" t="s">
        <v>132</v>
      </c>
      <c r="C19">
        <v>1</v>
      </c>
      <c r="D19" s="24">
        <f xml:space="preserve"> PhiMayEpKimTuDong(D17*$C19)</f>
        <v>1103333.3333000001</v>
      </c>
    </row>
    <row r="20" spans="1:4" x14ac:dyDescent="0.25">
      <c r="A20" t="s">
        <v>124</v>
      </c>
      <c r="D20" s="7">
        <f>H9 + 100000</f>
        <v>630400</v>
      </c>
    </row>
    <row r="21" spans="1:4" x14ac:dyDescent="0.25">
      <c r="A21" t="s">
        <v>122</v>
      </c>
      <c r="D21" s="26">
        <f>H12</f>
        <v>2121600</v>
      </c>
    </row>
    <row r="22" spans="1:4" x14ac:dyDescent="0.25">
      <c r="A22" t="s">
        <v>125</v>
      </c>
      <c r="D22" s="26">
        <v>200000</v>
      </c>
    </row>
    <row r="23" spans="1:4" x14ac:dyDescent="0.25">
      <c r="A23" t="s">
        <v>126</v>
      </c>
      <c r="B23" t="s">
        <v>129</v>
      </c>
      <c r="C23">
        <f>D17/$B$15</f>
        <v>10</v>
      </c>
      <c r="D23" s="26">
        <f>PhiCatGiay(C23,$C$15)</f>
        <v>112152.77830000001</v>
      </c>
    </row>
    <row r="24" spans="1:4" x14ac:dyDescent="0.25">
      <c r="C24" t="s">
        <v>85</v>
      </c>
      <c r="D24" s="26">
        <f>SUM(D19:D23)</f>
        <v>4167486.1115999999</v>
      </c>
    </row>
    <row r="25" spans="1:4" x14ac:dyDescent="0.25">
      <c r="C25" t="s">
        <v>133</v>
      </c>
      <c r="D25" s="27">
        <v>0.25</v>
      </c>
    </row>
    <row r="26" spans="1:4" x14ac:dyDescent="0.25">
      <c r="C26" t="s">
        <v>134</v>
      </c>
      <c r="D26" s="7">
        <f>D24/(1-D25)</f>
        <v>5556648.1487999996</v>
      </c>
    </row>
    <row r="27" spans="1:4" x14ac:dyDescent="0.25">
      <c r="C27" t="s">
        <v>137</v>
      </c>
      <c r="D27" s="7">
        <f>D26/(E3)</f>
        <v>77.175668733333325</v>
      </c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E8:E10" xr:uid="{1BBCF645-F3A9-4F66-9878-8134D284EFB9}">
      <formula1>OFFSET(GIA_KHUON_EP_KIM,1,0,,1)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E12:E15" xr:uid="{068D4243-F34F-4B7C-B139-1BEC04C2F191}">
      <formula1>OFFSET(GIA_NHU_EP_KIM,1,0,,1)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E804D-84A0-4F26-AA3A-0619413AC2B7}">
  <sheetPr codeName="Trang_tính16"/>
  <dimension ref="A1:J26"/>
  <sheetViews>
    <sheetView workbookViewId="0">
      <selection activeCell="E27" sqref="E27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205</v>
      </c>
    </row>
    <row r="2" spans="1:10" x14ac:dyDescent="0.25">
      <c r="A2" t="s">
        <v>221</v>
      </c>
      <c r="B2" s="31">
        <v>43609</v>
      </c>
    </row>
    <row r="3" spans="1:10" x14ac:dyDescent="0.25">
      <c r="B3" t="s">
        <v>138</v>
      </c>
      <c r="C3" t="s">
        <v>209</v>
      </c>
    </row>
    <row r="4" spans="1:10" x14ac:dyDescent="0.25">
      <c r="A4" t="s">
        <v>208</v>
      </c>
      <c r="B4">
        <v>29.7</v>
      </c>
      <c r="C4">
        <v>21</v>
      </c>
    </row>
    <row r="5" spans="1:10" ht="30" x14ac:dyDescent="0.25">
      <c r="A5" t="s">
        <v>206</v>
      </c>
      <c r="B5" s="1" t="s">
        <v>207</v>
      </c>
      <c r="E5" s="2" t="s">
        <v>231</v>
      </c>
    </row>
    <row r="6" spans="1:10" x14ac:dyDescent="0.25">
      <c r="A6" t="s">
        <v>219</v>
      </c>
      <c r="D6" s="1">
        <v>2</v>
      </c>
      <c r="E6">
        <v>2</v>
      </c>
    </row>
    <row r="7" spans="1:10" x14ac:dyDescent="0.25">
      <c r="A7" t="s">
        <v>135</v>
      </c>
      <c r="D7" s="33">
        <v>0.75</v>
      </c>
      <c r="E7" s="34" t="s">
        <v>233</v>
      </c>
    </row>
    <row r="8" spans="1:10" x14ac:dyDescent="0.25">
      <c r="B8" t="s">
        <v>215</v>
      </c>
      <c r="C8" t="s">
        <v>216</v>
      </c>
      <c r="D8" t="s">
        <v>218</v>
      </c>
      <c r="E8" t="s">
        <v>217</v>
      </c>
    </row>
    <row r="9" spans="1:10" x14ac:dyDescent="0.25">
      <c r="A9" t="s">
        <v>214</v>
      </c>
      <c r="B9" t="s">
        <v>178</v>
      </c>
      <c r="C9" t="s">
        <v>183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210</v>
      </c>
      <c r="E12">
        <v>150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229</v>
      </c>
      <c r="E13">
        <f t="shared" ref="E13:J13" si="0">E$12/$D$6 +1</f>
        <v>76</v>
      </c>
      <c r="F13">
        <f t="shared" si="0"/>
        <v>51</v>
      </c>
      <c r="G13">
        <f t="shared" si="0"/>
        <v>76</v>
      </c>
      <c r="H13">
        <f t="shared" si="0"/>
        <v>101</v>
      </c>
      <c r="I13">
        <f t="shared" si="0"/>
        <v>126</v>
      </c>
      <c r="J13">
        <f t="shared" si="0"/>
        <v>151</v>
      </c>
    </row>
    <row r="14" spans="1:10" ht="30" x14ac:dyDescent="0.25">
      <c r="A14" s="2" t="s">
        <v>230</v>
      </c>
      <c r="E14">
        <f t="shared" ref="E14:J14" si="1">E$13*$E$6</f>
        <v>152</v>
      </c>
      <c r="F14">
        <f t="shared" si="1"/>
        <v>102</v>
      </c>
      <c r="G14">
        <f t="shared" si="1"/>
        <v>152</v>
      </c>
      <c r="H14">
        <f t="shared" si="1"/>
        <v>202</v>
      </c>
      <c r="I14">
        <f t="shared" si="1"/>
        <v>252</v>
      </c>
      <c r="J14">
        <f t="shared" si="1"/>
        <v>302</v>
      </c>
    </row>
    <row r="15" spans="1:10" x14ac:dyDescent="0.25">
      <c r="A15" s="2" t="s">
        <v>224</v>
      </c>
      <c r="E15" s="32">
        <f>PhiInKM4M_BHR80(E$14)</f>
        <v>146133.3334</v>
      </c>
      <c r="F15" s="32">
        <f t="shared" ref="F15:I15" si="2">PhiInKM4M_BHR80(F$14)</f>
        <v>112591.6667</v>
      </c>
      <c r="G15" s="32">
        <f t="shared" si="2"/>
        <v>146133.3334</v>
      </c>
      <c r="H15" s="32">
        <f t="shared" si="2"/>
        <v>179675</v>
      </c>
      <c r="I15" s="32">
        <f t="shared" si="2"/>
        <v>213216.6667</v>
      </c>
      <c r="J15" s="32">
        <f>PhiInKM4M_BHR80(J$14)</f>
        <v>246758.3334</v>
      </c>
    </row>
    <row r="16" spans="1:10" x14ac:dyDescent="0.25">
      <c r="A16" s="2" t="s">
        <v>232</v>
      </c>
      <c r="E16" s="32">
        <f>PhiInKM4M_BHR80(E$14*2)</f>
        <v>248100</v>
      </c>
      <c r="F16" s="32">
        <f t="shared" ref="F16:J16" si="3">PhiInKM4M_BHR80(F$14*2)</f>
        <v>181016.6667</v>
      </c>
      <c r="G16" s="32">
        <f t="shared" si="3"/>
        <v>248100</v>
      </c>
      <c r="H16" s="32">
        <f t="shared" si="3"/>
        <v>315183.3334</v>
      </c>
      <c r="I16" s="32">
        <f t="shared" si="3"/>
        <v>382266.6667</v>
      </c>
      <c r="J16" s="32">
        <f t="shared" si="3"/>
        <v>449350</v>
      </c>
    </row>
    <row r="17" spans="1:10" ht="30" x14ac:dyDescent="0.25">
      <c r="A17" s="2" t="s">
        <v>225</v>
      </c>
      <c r="E17" s="25">
        <f t="shared" ref="E17:J17" si="4">E$15*(1+$D$7)</f>
        <v>255733.33345000001</v>
      </c>
      <c r="F17" s="25">
        <f t="shared" si="4"/>
        <v>197035.41672500002</v>
      </c>
      <c r="G17" s="25">
        <f t="shared" si="4"/>
        <v>255733.33345000001</v>
      </c>
      <c r="H17" s="25">
        <f t="shared" si="4"/>
        <v>314431.25</v>
      </c>
      <c r="I17" s="25">
        <f t="shared" si="4"/>
        <v>373129.16672500002</v>
      </c>
      <c r="J17" s="25">
        <f t="shared" si="4"/>
        <v>431827.08345000003</v>
      </c>
    </row>
    <row r="18" spans="1:10" ht="30" x14ac:dyDescent="0.25">
      <c r="A18" s="2" t="s">
        <v>228</v>
      </c>
      <c r="E18" s="25">
        <f t="shared" ref="E18:J18" si="5">E$16*(1+$D$7)</f>
        <v>434175</v>
      </c>
      <c r="F18" s="25">
        <f t="shared" si="5"/>
        <v>316779.16672500002</v>
      </c>
      <c r="G18" s="25">
        <f t="shared" si="5"/>
        <v>434175</v>
      </c>
      <c r="H18" s="25">
        <f t="shared" si="5"/>
        <v>551570.83345000003</v>
      </c>
      <c r="I18" s="25">
        <f t="shared" si="5"/>
        <v>668966.66672500002</v>
      </c>
      <c r="J18" s="25">
        <f t="shared" si="5"/>
        <v>786362.5</v>
      </c>
    </row>
    <row r="19" spans="1:10" x14ac:dyDescent="0.25">
      <c r="A19" s="2" t="s">
        <v>220</v>
      </c>
      <c r="E19" s="7">
        <f t="shared" ref="E19:J19" si="6">E$17/E$13</f>
        <v>3364.9122822368422</v>
      </c>
      <c r="F19" s="7">
        <f t="shared" si="6"/>
        <v>3863.4395436274513</v>
      </c>
      <c r="G19" s="7">
        <f t="shared" si="6"/>
        <v>3364.9122822368422</v>
      </c>
      <c r="H19" s="7">
        <f t="shared" si="6"/>
        <v>3113.1806930693069</v>
      </c>
      <c r="I19" s="7">
        <f t="shared" si="6"/>
        <v>2961.3425930555559</v>
      </c>
      <c r="J19" s="7">
        <f t="shared" si="6"/>
        <v>2859.7820096026494</v>
      </c>
    </row>
    <row r="20" spans="1:10" x14ac:dyDescent="0.25">
      <c r="A20" s="2" t="s">
        <v>222</v>
      </c>
      <c r="E20" s="7">
        <f t="shared" ref="E20:J20" si="7">E$17/E$14</f>
        <v>1682.4561411184211</v>
      </c>
      <c r="F20" s="7">
        <f t="shared" si="7"/>
        <v>1931.7197718137256</v>
      </c>
      <c r="G20" s="7">
        <f t="shared" si="7"/>
        <v>1682.4561411184211</v>
      </c>
      <c r="H20" s="7">
        <f t="shared" si="7"/>
        <v>1556.5903465346535</v>
      </c>
      <c r="I20" s="7">
        <f t="shared" si="7"/>
        <v>1480.6712965277779</v>
      </c>
      <c r="J20" s="7">
        <f t="shared" si="7"/>
        <v>1429.8910048013247</v>
      </c>
    </row>
    <row r="21" spans="1:10" x14ac:dyDescent="0.25">
      <c r="A21" s="2" t="s">
        <v>223</v>
      </c>
      <c r="E21" s="25">
        <f t="shared" ref="E21:J21" si="8">$E$9*E$13</f>
        <v>68495</v>
      </c>
      <c r="F21" s="25">
        <f t="shared" si="8"/>
        <v>45963.75</v>
      </c>
      <c r="G21" s="25">
        <f t="shared" si="8"/>
        <v>68495</v>
      </c>
      <c r="H21" s="25">
        <f t="shared" si="8"/>
        <v>91026.25</v>
      </c>
      <c r="I21" s="25">
        <f t="shared" si="8"/>
        <v>113557.5</v>
      </c>
      <c r="J21" s="25">
        <f t="shared" si="8"/>
        <v>136088.75</v>
      </c>
    </row>
    <row r="22" spans="1:10" ht="30" x14ac:dyDescent="0.25">
      <c r="A22" s="2" t="s">
        <v>226</v>
      </c>
      <c r="E22" s="25">
        <f t="shared" ref="E22:J22" si="9">E$17+E$21</f>
        <v>324228.33345000003</v>
      </c>
      <c r="F22" s="25">
        <f t="shared" si="9"/>
        <v>242999.16672500002</v>
      </c>
      <c r="G22" s="25">
        <f t="shared" si="9"/>
        <v>324228.33345000003</v>
      </c>
      <c r="H22" s="25">
        <f t="shared" si="9"/>
        <v>405457.5</v>
      </c>
      <c r="I22" s="25">
        <f t="shared" si="9"/>
        <v>486686.66672500002</v>
      </c>
      <c r="J22" s="25">
        <f t="shared" si="9"/>
        <v>567915.83345000003</v>
      </c>
    </row>
    <row r="23" spans="1:10" ht="30" x14ac:dyDescent="0.25">
      <c r="A23" s="2" t="s">
        <v>227</v>
      </c>
      <c r="E23" s="25">
        <f t="shared" ref="E23:J23" si="10">E$18+E$21</f>
        <v>502670</v>
      </c>
      <c r="F23" s="25">
        <f t="shared" si="10"/>
        <v>362742.91672500002</v>
      </c>
      <c r="G23" s="25">
        <f t="shared" si="10"/>
        <v>502670</v>
      </c>
      <c r="H23" s="25">
        <f t="shared" si="10"/>
        <v>642597.08345000003</v>
      </c>
      <c r="I23" s="25">
        <f t="shared" si="10"/>
        <v>782524.16672500002</v>
      </c>
      <c r="J23" s="25">
        <f t="shared" si="10"/>
        <v>922451.25</v>
      </c>
    </row>
    <row r="24" spans="1:10" x14ac:dyDescent="0.25">
      <c r="A24" s="2"/>
    </row>
    <row r="25" spans="1:10" x14ac:dyDescent="0.25">
      <c r="A25" s="2" t="s">
        <v>248</v>
      </c>
      <c r="E25" s="7">
        <f t="shared" ref="E25:J25" si="11">E$22-MOD(E$22,1000)</f>
        <v>324000</v>
      </c>
      <c r="F25" s="7">
        <f t="shared" si="11"/>
        <v>242000</v>
      </c>
      <c r="G25" s="7">
        <f t="shared" si="11"/>
        <v>324000</v>
      </c>
      <c r="H25" s="7">
        <f t="shared" si="11"/>
        <v>405000</v>
      </c>
      <c r="I25" s="7">
        <f t="shared" si="11"/>
        <v>486000</v>
      </c>
      <c r="J25" s="7">
        <f t="shared" si="11"/>
        <v>567000</v>
      </c>
    </row>
    <row r="26" spans="1:10" x14ac:dyDescent="0.25">
      <c r="A26" s="2" t="s">
        <v>249</v>
      </c>
      <c r="E26" s="7">
        <f t="shared" ref="E26:J26" si="12">E$23-MOD(E$23,1000)</f>
        <v>502000</v>
      </c>
      <c r="F26" s="7">
        <f t="shared" si="12"/>
        <v>362000</v>
      </c>
      <c r="G26" s="7">
        <f t="shared" si="12"/>
        <v>502000</v>
      </c>
      <c r="H26" s="7">
        <f t="shared" si="12"/>
        <v>642000</v>
      </c>
      <c r="I26" s="7">
        <f t="shared" si="12"/>
        <v>782000</v>
      </c>
      <c r="J26" s="7">
        <f t="shared" si="12"/>
        <v>922000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8AC6C1AD-DD28-40C1-8983-144C0C30E413}">
      <formula1>OFFSET(GIA_GIAY_CO_BAN,1,0,,1)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BB4EC-8029-4CEA-AB7E-51DE680EDB7C}">
  <sheetPr codeName="Sheet1"/>
  <dimension ref="B2:K11"/>
  <sheetViews>
    <sheetView workbookViewId="0">
      <selection activeCell="B2" sqref="B2"/>
    </sheetView>
  </sheetViews>
  <sheetFormatPr defaultRowHeight="15" x14ac:dyDescent="0.25"/>
  <cols>
    <col min="3" max="3" width="10.5703125" bestFit="1" customWidth="1"/>
    <col min="4" max="4" width="7" bestFit="1" customWidth="1"/>
    <col min="6" max="6" width="12.140625" bestFit="1" customWidth="1"/>
  </cols>
  <sheetData>
    <row r="2" spans="2:11" x14ac:dyDescent="0.25">
      <c r="B2" t="str">
        <f t="array" ref="B2:F5">DanhSachMayIn()</f>
        <v>ma</v>
      </c>
      <c r="C2" t="str">
        <v>ten_may</v>
      </c>
      <c r="D2" t="str">
        <v>bhr</v>
      </c>
      <c r="E2" t="str">
        <v>thoi_gian_chuan_bi</v>
      </c>
      <c r="F2" t="str">
        <v>to_do_co_so</v>
      </c>
    </row>
    <row r="3" spans="2:11" x14ac:dyDescent="0.25">
      <c r="B3" t="str">
        <v>MI01</v>
      </c>
      <c r="C3" t="str">
        <v>Máy 03 001</v>
      </c>
      <c r="D3">
        <v>450000</v>
      </c>
      <c r="E3">
        <v>8.3333333333333329E-2</v>
      </c>
      <c r="F3">
        <v>0</v>
      </c>
    </row>
    <row r="4" spans="2:11" x14ac:dyDescent="0.25">
      <c r="B4" t="str">
        <v>MI02</v>
      </c>
      <c r="C4" t="str">
        <v>Máy 03 002</v>
      </c>
      <c r="D4">
        <v>500000</v>
      </c>
      <c r="E4">
        <v>8.3333333333333329E-2</v>
      </c>
      <c r="F4">
        <v>0</v>
      </c>
    </row>
    <row r="5" spans="2:11" x14ac:dyDescent="0.25">
      <c r="B5" t="str">
        <v>MI03</v>
      </c>
      <c r="C5" t="str">
        <v>Máy 03 003</v>
      </c>
      <c r="D5">
        <v>600000</v>
      </c>
      <c r="E5">
        <v>8.3333333333333329E-2</v>
      </c>
      <c r="F5">
        <v>0</v>
      </c>
    </row>
    <row r="7" spans="2:11" x14ac:dyDescent="0.25">
      <c r="G7" t="s">
        <v>234</v>
      </c>
    </row>
    <row r="8" spans="2:11" x14ac:dyDescent="0.25">
      <c r="G8" s="35" t="str">
        <f t="array" ref="G8:K11">TestFuncArr()</f>
        <v>ma</v>
      </c>
      <c r="H8" t="str">
        <v>ten_may</v>
      </c>
      <c r="I8" t="str">
        <v>bhr</v>
      </c>
      <c r="J8" t="str">
        <v>thoi_gian_chuan_bi</v>
      </c>
      <c r="K8" t="str">
        <v>to_do_co_so</v>
      </c>
    </row>
    <row r="9" spans="2:11" x14ac:dyDescent="0.25">
      <c r="G9" t="str">
        <v>MI01</v>
      </c>
      <c r="H9" t="str">
        <v>Máy 03 001</v>
      </c>
      <c r="I9">
        <v>450000</v>
      </c>
      <c r="J9">
        <v>8.3333333333333329E-2</v>
      </c>
      <c r="K9" t="str">
        <v/>
      </c>
    </row>
    <row r="10" spans="2:11" x14ac:dyDescent="0.25">
      <c r="G10" t="str">
        <v>MI02</v>
      </c>
      <c r="H10" t="str">
        <v>Máy 03 002</v>
      </c>
      <c r="I10">
        <v>500000</v>
      </c>
      <c r="J10">
        <v>8.3333333333333329E-2</v>
      </c>
      <c r="K10" t="str">
        <v/>
      </c>
    </row>
    <row r="11" spans="2:11" x14ac:dyDescent="0.25">
      <c r="G11" t="str">
        <v>MI03</v>
      </c>
      <c r="H11" t="str">
        <v>Máy 03 003</v>
      </c>
      <c r="I11">
        <v>600000</v>
      </c>
      <c r="J11">
        <v>8.3333333333333329E-2</v>
      </c>
      <c r="K11" t="str"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61011-059B-441B-8584-01F6CF1699F9}">
  <sheetPr codeName="Sheet8"/>
  <dimension ref="A1:N54"/>
  <sheetViews>
    <sheetView workbookViewId="0">
      <selection sqref="A1:XFD1048576"/>
    </sheetView>
  </sheetViews>
  <sheetFormatPr defaultRowHeight="15" x14ac:dyDescent="0.25"/>
  <cols>
    <col min="1" max="1" width="20" bestFit="1" customWidth="1"/>
    <col min="2" max="2" width="17.5703125" customWidth="1"/>
    <col min="3" max="3" width="14.85546875" bestFit="1" customWidth="1"/>
    <col min="4" max="4" width="15.85546875" bestFit="1" customWidth="1"/>
    <col min="5" max="5" width="18.28515625" bestFit="1" customWidth="1"/>
    <col min="6" max="6" width="15" bestFit="1" customWidth="1"/>
    <col min="7" max="8" width="15.85546875" bestFit="1" customWidth="1"/>
    <col min="9" max="10" width="15" bestFit="1" customWidth="1"/>
    <col min="14" max="14" width="13.28515625" bestFit="1" customWidth="1"/>
  </cols>
  <sheetData>
    <row r="1" spans="1:14" x14ac:dyDescent="0.25">
      <c r="A1" s="1" t="s">
        <v>260</v>
      </c>
    </row>
    <row r="2" spans="1:14" x14ac:dyDescent="0.25">
      <c r="A2" t="s">
        <v>221</v>
      </c>
      <c r="B2" s="31">
        <v>43609</v>
      </c>
    </row>
    <row r="3" spans="1:14" x14ac:dyDescent="0.25">
      <c r="B3" t="s">
        <v>138</v>
      </c>
      <c r="C3" t="s">
        <v>139</v>
      </c>
    </row>
    <row r="4" spans="1:14" x14ac:dyDescent="0.25">
      <c r="A4" t="s">
        <v>208</v>
      </c>
      <c r="B4">
        <v>21</v>
      </c>
      <c r="C4">
        <v>29.7</v>
      </c>
    </row>
    <row r="5" spans="1:14" ht="30" x14ac:dyDescent="0.25">
      <c r="A5" t="s">
        <v>206</v>
      </c>
      <c r="B5" s="1" t="s">
        <v>207</v>
      </c>
      <c r="E5" s="2" t="s">
        <v>231</v>
      </c>
    </row>
    <row r="6" spans="1:14" x14ac:dyDescent="0.25">
      <c r="A6" t="s">
        <v>219</v>
      </c>
      <c r="D6" s="1">
        <v>2</v>
      </c>
      <c r="E6">
        <v>2</v>
      </c>
    </row>
    <row r="7" spans="1:14" x14ac:dyDescent="0.25">
      <c r="A7" t="s">
        <v>135</v>
      </c>
      <c r="D7" s="33">
        <v>0.75</v>
      </c>
      <c r="E7" s="34" t="s">
        <v>233</v>
      </c>
    </row>
    <row r="8" spans="1:14" x14ac:dyDescent="0.25">
      <c r="B8" t="s">
        <v>215</v>
      </c>
      <c r="C8" t="s">
        <v>216</v>
      </c>
      <c r="D8" t="s">
        <v>218</v>
      </c>
      <c r="E8" t="s">
        <v>217</v>
      </c>
    </row>
    <row r="9" spans="1:14" x14ac:dyDescent="0.25">
      <c r="A9" t="s">
        <v>214</v>
      </c>
      <c r="B9" t="s">
        <v>178</v>
      </c>
      <c r="C9" t="s">
        <v>183</v>
      </c>
      <c r="D9">
        <v>515</v>
      </c>
      <c r="E9" s="7">
        <f>D9*(1+D7)</f>
        <v>901.25</v>
      </c>
    </row>
    <row r="10" spans="1:14" x14ac:dyDescent="0.25">
      <c r="E10" s="7"/>
      <c r="J10" t="s">
        <v>284</v>
      </c>
    </row>
    <row r="11" spans="1:14" x14ac:dyDescent="0.25">
      <c r="J11" s="37">
        <f>$E$9/2</f>
        <v>450.625</v>
      </c>
    </row>
    <row r="12" spans="1:14" ht="45" x14ac:dyDescent="0.25">
      <c r="A12" s="19" t="s">
        <v>263</v>
      </c>
      <c r="B12" s="36" t="s">
        <v>262</v>
      </c>
      <c r="C12">
        <v>10</v>
      </c>
      <c r="D12">
        <v>20</v>
      </c>
      <c r="E12">
        <v>50</v>
      </c>
      <c r="F12">
        <v>100</v>
      </c>
      <c r="G12">
        <v>150</v>
      </c>
      <c r="H12">
        <v>200</v>
      </c>
      <c r="N12" s="35" t="s">
        <v>283</v>
      </c>
    </row>
    <row r="13" spans="1:14" x14ac:dyDescent="0.25">
      <c r="A13" s="2">
        <v>8</v>
      </c>
      <c r="B13">
        <f>$A13*C$12</f>
        <v>80</v>
      </c>
      <c r="C13" s="7">
        <f>PhiMayInToner4M_Max($A13*C$12)*(1+$D$7)/($A13*C$12)</f>
        <v>2140.1041681249999</v>
      </c>
      <c r="D13" s="7">
        <f t="shared" ref="D13:H25" si="0">PhiMayInToner4M_Max($A13*D$12)*(1+$D$7)/($A13*D$12)</f>
        <v>1657.03125</v>
      </c>
      <c r="E13" s="7">
        <f t="shared" si="0"/>
        <v>1367.1875</v>
      </c>
      <c r="F13" s="7">
        <f t="shared" si="0"/>
        <v>1270.5729168125001</v>
      </c>
      <c r="G13" s="7">
        <f t="shared" si="0"/>
        <v>1238.3680556041666</v>
      </c>
      <c r="H13" s="7">
        <f t="shared" si="0"/>
        <v>1222.265625</v>
      </c>
      <c r="N13" s="7">
        <f>PhiMayInToner4M_Max(80)</f>
        <v>97833.333400000003</v>
      </c>
    </row>
    <row r="14" spans="1:14" x14ac:dyDescent="0.25">
      <c r="A14" s="2">
        <f>A13+4</f>
        <v>12</v>
      </c>
      <c r="B14">
        <f t="shared" ref="B14:B21" si="1">$A14*C$12</f>
        <v>120</v>
      </c>
      <c r="C14" s="7">
        <f t="shared" ref="C14:C25" si="2">PhiMayInToner4M_Max($A14*C$12)*(1+$D$7)/($A14*C$12)</f>
        <v>1818.0555560416667</v>
      </c>
      <c r="D14" s="7">
        <f t="shared" si="0"/>
        <v>1496.0069446875</v>
      </c>
      <c r="E14" s="7">
        <f t="shared" si="0"/>
        <v>1302.7777778750001</v>
      </c>
      <c r="F14" s="7">
        <f t="shared" si="0"/>
        <v>1238.3680556041666</v>
      </c>
      <c r="G14" s="7">
        <f t="shared" si="0"/>
        <v>1216.8981481805556</v>
      </c>
      <c r="H14" s="7">
        <f t="shared" si="0"/>
        <v>1206.1631944687499</v>
      </c>
      <c r="N14">
        <f>80*60*0.8</f>
        <v>3840</v>
      </c>
    </row>
    <row r="15" spans="1:14" x14ac:dyDescent="0.25">
      <c r="A15" s="2">
        <f t="shared" ref="A15:A36" si="3">A14+4</f>
        <v>16</v>
      </c>
      <c r="B15">
        <f t="shared" si="1"/>
        <v>160</v>
      </c>
      <c r="C15" s="7">
        <f t="shared" si="2"/>
        <v>1657.03125</v>
      </c>
      <c r="D15" s="7">
        <f t="shared" si="0"/>
        <v>1415.4947920312502</v>
      </c>
      <c r="E15" s="7">
        <f t="shared" si="0"/>
        <v>1270.5729168125001</v>
      </c>
      <c r="F15" s="7">
        <f t="shared" si="0"/>
        <v>1222.265625</v>
      </c>
      <c r="G15" s="7">
        <f t="shared" si="0"/>
        <v>1206.1631944687499</v>
      </c>
      <c r="H15" s="7">
        <f t="shared" si="0"/>
        <v>1198.111979203125</v>
      </c>
    </row>
    <row r="16" spans="1:14" x14ac:dyDescent="0.25">
      <c r="A16" s="2">
        <f t="shared" si="3"/>
        <v>20</v>
      </c>
      <c r="B16">
        <f t="shared" si="1"/>
        <v>200</v>
      </c>
      <c r="C16" s="7">
        <f t="shared" si="2"/>
        <v>1560.4166672500003</v>
      </c>
      <c r="D16" s="7">
        <f t="shared" si="0"/>
        <v>1367.1875</v>
      </c>
      <c r="E16" s="7">
        <f t="shared" si="0"/>
        <v>1251.25</v>
      </c>
      <c r="F16" s="7">
        <f t="shared" si="0"/>
        <v>1212.6041667249999</v>
      </c>
      <c r="G16" s="7">
        <f t="shared" si="0"/>
        <v>1199.7222222416667</v>
      </c>
      <c r="H16" s="7">
        <f t="shared" si="0"/>
        <v>1193.28125</v>
      </c>
    </row>
    <row r="17" spans="1:8" x14ac:dyDescent="0.25">
      <c r="A17" s="2">
        <f t="shared" si="3"/>
        <v>24</v>
      </c>
      <c r="B17">
        <f t="shared" si="1"/>
        <v>240</v>
      </c>
      <c r="C17" s="7">
        <f t="shared" si="2"/>
        <v>1496.0069446875</v>
      </c>
      <c r="D17" s="7">
        <f t="shared" si="0"/>
        <v>1334.9826390104167</v>
      </c>
      <c r="E17" s="7">
        <f t="shared" si="0"/>
        <v>1238.3680556041666</v>
      </c>
      <c r="F17" s="7">
        <f t="shared" si="0"/>
        <v>1206.1631944687499</v>
      </c>
      <c r="G17" s="7">
        <f t="shared" si="0"/>
        <v>1195.4282407569444</v>
      </c>
      <c r="H17" s="7">
        <f t="shared" si="0"/>
        <v>1190.0607639010418</v>
      </c>
    </row>
    <row r="18" spans="1:8" x14ac:dyDescent="0.25">
      <c r="A18" s="2">
        <f t="shared" si="3"/>
        <v>28</v>
      </c>
      <c r="B18">
        <f t="shared" si="1"/>
        <v>280</v>
      </c>
      <c r="C18" s="7">
        <f t="shared" si="2"/>
        <v>1450</v>
      </c>
      <c r="D18" s="7">
        <f t="shared" si="0"/>
        <v>1311.9791668750001</v>
      </c>
      <c r="E18" s="7">
        <f t="shared" si="0"/>
        <v>1229.1666667500001</v>
      </c>
      <c r="F18" s="7">
        <f t="shared" si="0"/>
        <v>1201.5625</v>
      </c>
      <c r="G18" s="7">
        <f t="shared" si="0"/>
        <v>1192.361111125</v>
      </c>
      <c r="H18" s="7">
        <f t="shared" si="0"/>
        <v>1187.7604166874999</v>
      </c>
    </row>
    <row r="19" spans="1:8" x14ac:dyDescent="0.25">
      <c r="A19" s="2">
        <f t="shared" si="3"/>
        <v>32</v>
      </c>
      <c r="B19">
        <f t="shared" si="1"/>
        <v>320</v>
      </c>
      <c r="C19" s="7">
        <f t="shared" si="2"/>
        <v>1415.4947920312502</v>
      </c>
      <c r="D19" s="7">
        <f t="shared" si="0"/>
        <v>1294.7265625</v>
      </c>
      <c r="E19" s="7">
        <f t="shared" si="0"/>
        <v>1222.265625</v>
      </c>
      <c r="F19" s="7">
        <f t="shared" si="0"/>
        <v>1198.111979203125</v>
      </c>
      <c r="G19" s="7">
        <f t="shared" si="0"/>
        <v>1190.0607639010418</v>
      </c>
      <c r="H19" s="7">
        <f t="shared" si="0"/>
        <v>1186.03515625</v>
      </c>
    </row>
    <row r="20" spans="1:8" x14ac:dyDescent="0.25">
      <c r="A20" s="2">
        <f t="shared" si="3"/>
        <v>36</v>
      </c>
      <c r="B20">
        <f t="shared" si="1"/>
        <v>360</v>
      </c>
      <c r="C20" s="7">
        <f t="shared" si="2"/>
        <v>1388.6574075694446</v>
      </c>
      <c r="D20" s="7">
        <f t="shared" si="0"/>
        <v>1281.3078704513887</v>
      </c>
      <c r="E20" s="7">
        <f t="shared" si="0"/>
        <v>1216.8981481805556</v>
      </c>
      <c r="F20" s="7">
        <f t="shared" si="0"/>
        <v>1195.4282407569444</v>
      </c>
      <c r="G20" s="7">
        <f t="shared" si="0"/>
        <v>1188.2716049490741</v>
      </c>
      <c r="H20" s="7">
        <f t="shared" si="0"/>
        <v>1184.693287045139</v>
      </c>
    </row>
    <row r="21" spans="1:8" x14ac:dyDescent="0.25">
      <c r="A21" s="2">
        <f t="shared" si="3"/>
        <v>40</v>
      </c>
      <c r="B21">
        <f t="shared" si="1"/>
        <v>400</v>
      </c>
      <c r="C21" s="7">
        <f t="shared" si="2"/>
        <v>1367.1875</v>
      </c>
      <c r="D21" s="7">
        <f t="shared" si="0"/>
        <v>1270.5729168125001</v>
      </c>
      <c r="E21" s="7">
        <f t="shared" si="0"/>
        <v>1212.6041667249999</v>
      </c>
      <c r="F21" s="7">
        <f t="shared" si="0"/>
        <v>1193.28125</v>
      </c>
      <c r="G21" s="7">
        <f t="shared" si="0"/>
        <v>1186.8402777875001</v>
      </c>
      <c r="H21" s="7">
        <f t="shared" si="0"/>
        <v>1183.61979168125</v>
      </c>
    </row>
    <row r="22" spans="1:8" x14ac:dyDescent="0.25">
      <c r="A22" s="2">
        <f t="shared" si="3"/>
        <v>44</v>
      </c>
      <c r="C22" s="7">
        <f t="shared" si="2"/>
        <v>1349.6212123863638</v>
      </c>
      <c r="D22" s="7">
        <f t="shared" si="0"/>
        <v>1261.7897727272727</v>
      </c>
      <c r="E22" s="7">
        <f t="shared" si="0"/>
        <v>1209.090909090909</v>
      </c>
      <c r="F22" s="7">
        <f t="shared" si="0"/>
        <v>1191.5246212386364</v>
      </c>
      <c r="G22" s="7">
        <f t="shared" si="0"/>
        <v>1185.6691919280304</v>
      </c>
      <c r="H22" s="7">
        <f t="shared" si="0"/>
        <v>1182.7414772727273</v>
      </c>
    </row>
    <row r="23" spans="1:8" x14ac:dyDescent="0.25">
      <c r="A23" s="2">
        <f t="shared" si="3"/>
        <v>48</v>
      </c>
      <c r="C23" s="7">
        <f t="shared" si="2"/>
        <v>1334.9826390104167</v>
      </c>
      <c r="D23" s="7">
        <f t="shared" si="0"/>
        <v>1254.4704861718749</v>
      </c>
      <c r="E23" s="7">
        <f t="shared" si="0"/>
        <v>1206.1631944687499</v>
      </c>
      <c r="F23" s="7">
        <f t="shared" si="0"/>
        <v>1190.0607639010418</v>
      </c>
      <c r="G23" s="7">
        <f t="shared" si="0"/>
        <v>1184.693287045139</v>
      </c>
      <c r="H23" s="7">
        <f t="shared" si="0"/>
        <v>1182.0095486171876</v>
      </c>
    </row>
    <row r="24" spans="1:8" x14ac:dyDescent="0.25">
      <c r="A24" s="2">
        <f t="shared" si="3"/>
        <v>52</v>
      </c>
      <c r="C24" s="7">
        <f t="shared" si="2"/>
        <v>1322.5961538461538</v>
      </c>
      <c r="D24" s="7">
        <f t="shared" si="0"/>
        <v>1248.277243701923</v>
      </c>
      <c r="E24" s="7">
        <f t="shared" si="0"/>
        <v>1203.6858974807692</v>
      </c>
      <c r="F24" s="7">
        <f t="shared" si="0"/>
        <v>1188.8221153846155</v>
      </c>
      <c r="G24" s="7">
        <f t="shared" si="0"/>
        <v>1183.867521375</v>
      </c>
      <c r="H24" s="7">
        <f t="shared" si="0"/>
        <v>1181.3902243701923</v>
      </c>
    </row>
    <row r="25" spans="1:8" x14ac:dyDescent="0.25">
      <c r="A25" s="2">
        <f t="shared" si="3"/>
        <v>56</v>
      </c>
      <c r="C25" s="7">
        <f t="shared" si="2"/>
        <v>1311.9791668750001</v>
      </c>
      <c r="D25" s="7">
        <f t="shared" si="0"/>
        <v>1242.96875</v>
      </c>
      <c r="E25" s="7">
        <f t="shared" si="0"/>
        <v>1201.5625</v>
      </c>
      <c r="F25" s="7">
        <f t="shared" si="0"/>
        <v>1187.7604166874999</v>
      </c>
      <c r="G25" s="7">
        <f t="shared" si="0"/>
        <v>1183.1597222291666</v>
      </c>
      <c r="H25" s="7">
        <f t="shared" si="0"/>
        <v>1180.859375</v>
      </c>
    </row>
    <row r="26" spans="1:8" x14ac:dyDescent="0.25">
      <c r="A26" s="2">
        <f t="shared" si="3"/>
        <v>60</v>
      </c>
      <c r="C26" s="7"/>
      <c r="D26" s="7"/>
      <c r="E26" s="7"/>
      <c r="F26" s="7"/>
      <c r="G26" s="7"/>
      <c r="H26" s="7"/>
    </row>
    <row r="27" spans="1:8" x14ac:dyDescent="0.25">
      <c r="A27" s="2">
        <f t="shared" si="3"/>
        <v>64</v>
      </c>
      <c r="C27" s="7"/>
      <c r="D27" s="7"/>
      <c r="E27" s="7"/>
      <c r="F27" s="7"/>
      <c r="G27" s="7"/>
      <c r="H27" s="7"/>
    </row>
    <row r="28" spans="1:8" x14ac:dyDescent="0.25">
      <c r="A28" s="2">
        <f t="shared" si="3"/>
        <v>68</v>
      </c>
    </row>
    <row r="29" spans="1:8" x14ac:dyDescent="0.25">
      <c r="A29" s="2">
        <f t="shared" si="3"/>
        <v>72</v>
      </c>
    </row>
    <row r="30" spans="1:8" x14ac:dyDescent="0.25">
      <c r="A30" s="2">
        <f t="shared" si="3"/>
        <v>76</v>
      </c>
    </row>
    <row r="31" spans="1:8" x14ac:dyDescent="0.25">
      <c r="A31" s="2">
        <f t="shared" si="3"/>
        <v>80</v>
      </c>
    </row>
    <row r="32" spans="1:8" x14ac:dyDescent="0.25">
      <c r="A32" s="2">
        <f t="shared" si="3"/>
        <v>84</v>
      </c>
    </row>
    <row r="33" spans="1:1" x14ac:dyDescent="0.25">
      <c r="A33" s="2">
        <f t="shared" si="3"/>
        <v>88</v>
      </c>
    </row>
    <row r="34" spans="1:1" x14ac:dyDescent="0.25">
      <c r="A34" s="2">
        <f t="shared" si="3"/>
        <v>92</v>
      </c>
    </row>
    <row r="35" spans="1:1" x14ac:dyDescent="0.25">
      <c r="A35" s="2">
        <f t="shared" si="3"/>
        <v>96</v>
      </c>
    </row>
    <row r="36" spans="1:1" x14ac:dyDescent="0.25">
      <c r="A36" s="2">
        <f t="shared" si="3"/>
        <v>100</v>
      </c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22 B9:B10" xr:uid="{A129075C-403C-4143-ADFE-2BAD8D7634AE}">
      <formula1>OFFSET(GIA_GIAY_CO_BAN,1,0,,1)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E06FA-F525-4A81-B059-57B0875437FF}">
  <sheetPr codeName="Sheet9"/>
  <dimension ref="A1:H34"/>
  <sheetViews>
    <sheetView workbookViewId="0">
      <selection activeCell="J34" sqref="J34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6" width="16.7109375" bestFit="1" customWidth="1"/>
    <col min="7" max="10" width="15" bestFit="1" customWidth="1"/>
  </cols>
  <sheetData>
    <row r="1" spans="1:8" x14ac:dyDescent="0.25">
      <c r="A1" s="1" t="s">
        <v>253</v>
      </c>
      <c r="B1" t="s">
        <v>261</v>
      </c>
    </row>
    <row r="2" spans="1:8" x14ac:dyDescent="0.25">
      <c r="A2" t="s">
        <v>221</v>
      </c>
      <c r="B2" s="31">
        <v>43609</v>
      </c>
    </row>
    <row r="3" spans="1:8" x14ac:dyDescent="0.25">
      <c r="B3" t="s">
        <v>138</v>
      </c>
      <c r="C3" t="s">
        <v>139</v>
      </c>
    </row>
    <row r="4" spans="1:8" x14ac:dyDescent="0.25">
      <c r="A4" t="s">
        <v>208</v>
      </c>
      <c r="B4">
        <v>30</v>
      </c>
      <c r="C4">
        <v>42</v>
      </c>
    </row>
    <row r="5" spans="1:8" ht="30" x14ac:dyDescent="0.25">
      <c r="A5" t="s">
        <v>206</v>
      </c>
      <c r="B5" s="1" t="s">
        <v>207</v>
      </c>
      <c r="C5">
        <v>32</v>
      </c>
      <c r="D5">
        <v>43</v>
      </c>
      <c r="E5" s="2" t="s">
        <v>231</v>
      </c>
    </row>
    <row r="6" spans="1:8" x14ac:dyDescent="0.25">
      <c r="A6" t="s">
        <v>219</v>
      </c>
      <c r="D6" s="1">
        <v>1</v>
      </c>
      <c r="E6">
        <v>2</v>
      </c>
    </row>
    <row r="7" spans="1:8" x14ac:dyDescent="0.25">
      <c r="A7" t="s">
        <v>135</v>
      </c>
      <c r="D7" s="33">
        <v>0.75</v>
      </c>
      <c r="E7" s="34" t="s">
        <v>233</v>
      </c>
    </row>
    <row r="8" spans="1:8" x14ac:dyDescent="0.25">
      <c r="B8" t="s">
        <v>215</v>
      </c>
      <c r="C8" t="s">
        <v>216</v>
      </c>
      <c r="D8" t="s">
        <v>218</v>
      </c>
      <c r="E8" t="s">
        <v>217</v>
      </c>
      <c r="F8" t="s">
        <v>264</v>
      </c>
    </row>
    <row r="9" spans="1:8" x14ac:dyDescent="0.25">
      <c r="A9" t="s">
        <v>254</v>
      </c>
      <c r="B9" t="s">
        <v>155</v>
      </c>
      <c r="C9" t="s">
        <v>148</v>
      </c>
      <c r="D9">
        <v>1272</v>
      </c>
      <c r="E9" s="7">
        <f>D9*(1+$D$7)</f>
        <v>2226</v>
      </c>
      <c r="F9" s="7">
        <f>E9/2</f>
        <v>1113</v>
      </c>
    </row>
    <row r="10" spans="1:8" x14ac:dyDescent="0.25">
      <c r="A10" t="s">
        <v>255</v>
      </c>
      <c r="B10" t="s">
        <v>178</v>
      </c>
      <c r="C10" t="s">
        <v>183</v>
      </c>
      <c r="D10">
        <v>515</v>
      </c>
      <c r="E10" s="7">
        <f>D10*(1+$D$7)</f>
        <v>901.25</v>
      </c>
      <c r="F10" s="7">
        <f>E10/2</f>
        <v>450.625</v>
      </c>
    </row>
    <row r="11" spans="1:8" x14ac:dyDescent="0.25">
      <c r="E11" s="7"/>
    </row>
    <row r="12" spans="1:8" x14ac:dyDescent="0.25">
      <c r="E12" s="7"/>
    </row>
    <row r="14" spans="1:8" x14ac:dyDescent="0.25">
      <c r="A14" s="1" t="s">
        <v>210</v>
      </c>
      <c r="C14">
        <v>10</v>
      </c>
      <c r="D14">
        <v>20</v>
      </c>
      <c r="E14">
        <v>50</v>
      </c>
      <c r="F14">
        <v>100</v>
      </c>
      <c r="G14">
        <v>150</v>
      </c>
      <c r="H14">
        <v>200</v>
      </c>
    </row>
    <row r="15" spans="1:8" ht="30" x14ac:dyDescent="0.25">
      <c r="A15" s="2" t="s">
        <v>229</v>
      </c>
      <c r="C15">
        <f t="shared" ref="C15:H15" si="0">ROUNDUP(C$14/$D$6 +1,0)</f>
        <v>11</v>
      </c>
      <c r="D15">
        <f t="shared" si="0"/>
        <v>21</v>
      </c>
      <c r="E15">
        <f t="shared" si="0"/>
        <v>51</v>
      </c>
      <c r="F15">
        <f t="shared" si="0"/>
        <v>101</v>
      </c>
      <c r="G15">
        <f t="shared" si="0"/>
        <v>151</v>
      </c>
      <c r="H15">
        <f t="shared" si="0"/>
        <v>201</v>
      </c>
    </row>
    <row r="16" spans="1:8" ht="30" x14ac:dyDescent="0.25">
      <c r="A16" s="2" t="s">
        <v>230</v>
      </c>
      <c r="C16">
        <f t="shared" ref="C16:H16" si="1">C$15*$E$6</f>
        <v>22</v>
      </c>
      <c r="D16">
        <f t="shared" si="1"/>
        <v>42</v>
      </c>
      <c r="E16">
        <f t="shared" si="1"/>
        <v>102</v>
      </c>
      <c r="F16">
        <f t="shared" si="1"/>
        <v>202</v>
      </c>
      <c r="G16">
        <f t="shared" si="1"/>
        <v>302</v>
      </c>
      <c r="H16">
        <f t="shared" si="1"/>
        <v>402</v>
      </c>
    </row>
    <row r="17" spans="1:8" ht="30" x14ac:dyDescent="0.25">
      <c r="A17" s="2" t="s">
        <v>266</v>
      </c>
      <c r="C17" s="32">
        <f t="shared" ref="C17:H17" si="2">PhiMayInToner4M(C$16)</f>
        <v>62902.5</v>
      </c>
      <c r="D17" s="32">
        <f t="shared" si="2"/>
        <v>76677.5</v>
      </c>
      <c r="E17" s="32">
        <f t="shared" si="2"/>
        <v>118002.5</v>
      </c>
      <c r="F17" s="32">
        <f t="shared" si="2"/>
        <v>186877.5</v>
      </c>
      <c r="G17" s="32">
        <f t="shared" si="2"/>
        <v>255752.5</v>
      </c>
      <c r="H17" s="32">
        <f t="shared" si="2"/>
        <v>324627.5</v>
      </c>
    </row>
    <row r="18" spans="1:8" ht="30" x14ac:dyDescent="0.25">
      <c r="A18" s="2" t="s">
        <v>267</v>
      </c>
      <c r="C18" s="32">
        <f t="shared" ref="C18:H18" si="3">PhiMayCanMang(C$15, $C$5/100, $D$5/100)</f>
        <v>37960.784200000002</v>
      </c>
      <c r="D18" s="32">
        <f t="shared" si="3"/>
        <v>38996.078399999999</v>
      </c>
      <c r="E18" s="32">
        <f t="shared" si="3"/>
        <v>42360.784200000002</v>
      </c>
      <c r="F18" s="32">
        <f t="shared" si="3"/>
        <v>47796.078399999999</v>
      </c>
      <c r="G18" s="32">
        <f t="shared" si="3"/>
        <v>53490.196000000004</v>
      </c>
      <c r="H18" s="32">
        <f t="shared" si="3"/>
        <v>58925.490100000003</v>
      </c>
    </row>
    <row r="19" spans="1:8" ht="30" x14ac:dyDescent="0.25">
      <c r="A19" s="2" t="s">
        <v>269</v>
      </c>
      <c r="C19" s="32">
        <f t="shared" ref="C19:H19" si="4">900*C$16</f>
        <v>19800</v>
      </c>
      <c r="D19" s="32">
        <f t="shared" si="4"/>
        <v>37800</v>
      </c>
      <c r="E19" s="32">
        <f t="shared" si="4"/>
        <v>91800</v>
      </c>
      <c r="F19" s="32">
        <f t="shared" si="4"/>
        <v>181800</v>
      </c>
      <c r="G19" s="32">
        <f t="shared" si="4"/>
        <v>271800</v>
      </c>
      <c r="H19" s="32">
        <f t="shared" si="4"/>
        <v>361800</v>
      </c>
    </row>
    <row r="20" spans="1:8" x14ac:dyDescent="0.25">
      <c r="A20" s="2" t="s">
        <v>245</v>
      </c>
      <c r="C20" s="32">
        <f t="shared" ref="C20:H20" si="5">C$15*$D$9</f>
        <v>13992</v>
      </c>
      <c r="D20" s="32">
        <f t="shared" si="5"/>
        <v>26712</v>
      </c>
      <c r="E20" s="32">
        <f t="shared" si="5"/>
        <v>64872</v>
      </c>
      <c r="F20" s="32">
        <f t="shared" si="5"/>
        <v>128472</v>
      </c>
      <c r="G20" s="32">
        <f t="shared" si="5"/>
        <v>192072</v>
      </c>
      <c r="H20" s="32">
        <f t="shared" si="5"/>
        <v>255672</v>
      </c>
    </row>
    <row r="21" spans="1:8" x14ac:dyDescent="0.25">
      <c r="A21" s="2" t="s">
        <v>256</v>
      </c>
      <c r="C21" s="32">
        <f t="shared" ref="C21:H21" si="6">C$15*$D$10</f>
        <v>5665</v>
      </c>
      <c r="D21" s="32">
        <f t="shared" si="6"/>
        <v>10815</v>
      </c>
      <c r="E21" s="32">
        <f t="shared" si="6"/>
        <v>26265</v>
      </c>
      <c r="F21" s="32">
        <f t="shared" si="6"/>
        <v>52015</v>
      </c>
      <c r="G21" s="32">
        <f t="shared" si="6"/>
        <v>77765</v>
      </c>
      <c r="H21" s="32">
        <f t="shared" si="6"/>
        <v>103515</v>
      </c>
    </row>
    <row r="22" spans="1:8" x14ac:dyDescent="0.25">
      <c r="A22" s="2"/>
      <c r="C22" s="25"/>
      <c r="D22" s="25"/>
      <c r="E22" s="25"/>
      <c r="F22" s="25"/>
      <c r="G22" s="25"/>
      <c r="H22" s="25"/>
    </row>
    <row r="23" spans="1:8" ht="45" x14ac:dyDescent="0.25">
      <c r="A23" s="2" t="s">
        <v>268</v>
      </c>
      <c r="C23" s="25">
        <f t="shared" ref="C23:H23" si="7" xml:space="preserve"> (C$17+C$18+C$20)*(1+$D$7)</f>
        <v>200996.74734999999</v>
      </c>
      <c r="D23" s="25">
        <f t="shared" si="7"/>
        <v>249174.7622</v>
      </c>
      <c r="E23" s="25">
        <f t="shared" si="7"/>
        <v>394161.74734999996</v>
      </c>
      <c r="F23" s="25">
        <f t="shared" si="7"/>
        <v>635504.7622</v>
      </c>
      <c r="G23" s="25">
        <f t="shared" si="7"/>
        <v>877300.71799999999</v>
      </c>
      <c r="H23" s="25">
        <f t="shared" si="7"/>
        <v>1118643.7326750001</v>
      </c>
    </row>
    <row r="24" spans="1:8" ht="30" x14ac:dyDescent="0.25">
      <c r="A24" s="2" t="s">
        <v>257</v>
      </c>
      <c r="C24" s="25">
        <f t="shared" ref="C24:H24" si="8" xml:space="preserve"> C$19+C$21*(1+$D$7)</f>
        <v>29713.75</v>
      </c>
      <c r="D24" s="25">
        <f t="shared" si="8"/>
        <v>56726.25</v>
      </c>
      <c r="E24" s="25">
        <f t="shared" si="8"/>
        <v>137763.75</v>
      </c>
      <c r="F24" s="25">
        <f t="shared" si="8"/>
        <v>272826.25</v>
      </c>
      <c r="G24" s="25">
        <f t="shared" si="8"/>
        <v>407888.75</v>
      </c>
      <c r="H24" s="25">
        <f t="shared" si="8"/>
        <v>542951.25</v>
      </c>
    </row>
    <row r="25" spans="1:8" x14ac:dyDescent="0.25">
      <c r="A25" s="2"/>
    </row>
    <row r="26" spans="1:8" x14ac:dyDescent="0.25">
      <c r="A26" s="2" t="s">
        <v>258</v>
      </c>
      <c r="C26" s="7">
        <f t="shared" ref="C26:H26" si="9">PhiDongKimLong(C$14)</f>
        <v>140833.3333</v>
      </c>
      <c r="D26" s="7">
        <f t="shared" si="9"/>
        <v>156666.6667</v>
      </c>
      <c r="E26" s="7">
        <f t="shared" si="9"/>
        <v>204166.6667</v>
      </c>
      <c r="F26" s="7">
        <f t="shared" si="9"/>
        <v>283333.3333</v>
      </c>
      <c r="G26" s="7">
        <f t="shared" si="9"/>
        <v>362500</v>
      </c>
      <c r="H26" s="7">
        <f t="shared" si="9"/>
        <v>441666.6667</v>
      </c>
    </row>
    <row r="27" spans="1:8" x14ac:dyDescent="0.25">
      <c r="A27" s="2" t="s">
        <v>259</v>
      </c>
      <c r="C27" s="25">
        <f t="shared" ref="C27:H27" si="10">C$26*(1+$D$7)</f>
        <v>246458.33327499998</v>
      </c>
      <c r="D27" s="25">
        <f t="shared" si="10"/>
        <v>274166.66672500002</v>
      </c>
      <c r="E27" s="25">
        <f t="shared" si="10"/>
        <v>357291.66672500002</v>
      </c>
      <c r="F27" s="25">
        <f t="shared" si="10"/>
        <v>495833.33327499998</v>
      </c>
      <c r="G27" s="25">
        <f t="shared" si="10"/>
        <v>634375</v>
      </c>
      <c r="H27" s="25">
        <f t="shared" si="10"/>
        <v>772916.66672500002</v>
      </c>
    </row>
    <row r="28" spans="1:8" x14ac:dyDescent="0.25">
      <c r="A28" s="2"/>
      <c r="C28" s="7"/>
      <c r="D28" s="7"/>
      <c r="E28" s="7"/>
      <c r="F28" s="7"/>
      <c r="G28" s="7"/>
      <c r="H28" s="7"/>
    </row>
    <row r="29" spans="1:8" ht="30" x14ac:dyDescent="0.25">
      <c r="A29" s="2" t="s">
        <v>270</v>
      </c>
      <c r="C29" s="7">
        <f t="shared" ref="C29:H29" si="11">C$23+C$27</f>
        <v>447455.08062499994</v>
      </c>
      <c r="D29" s="7">
        <f t="shared" si="11"/>
        <v>523341.42892500001</v>
      </c>
      <c r="E29" s="7">
        <f t="shared" si="11"/>
        <v>751453.41407499998</v>
      </c>
      <c r="F29" s="7">
        <f t="shared" si="11"/>
        <v>1131338.0954749999</v>
      </c>
      <c r="G29" s="7">
        <f t="shared" si="11"/>
        <v>1511675.7179999999</v>
      </c>
      <c r="H29" s="7">
        <f t="shared" si="11"/>
        <v>1891560.3994</v>
      </c>
    </row>
    <row r="30" spans="1:8" x14ac:dyDescent="0.25">
      <c r="A30" s="2" t="s">
        <v>271</v>
      </c>
      <c r="C30" s="7">
        <f t="shared" ref="C30:H30" si="12">C$24+C$27</f>
        <v>276172.08327499998</v>
      </c>
      <c r="D30" s="7">
        <f t="shared" si="12"/>
        <v>330892.91672500002</v>
      </c>
      <c r="E30" s="7">
        <f t="shared" si="12"/>
        <v>495055.41672500002</v>
      </c>
      <c r="F30" s="7">
        <f t="shared" si="12"/>
        <v>768659.58327499998</v>
      </c>
      <c r="G30" s="7">
        <f t="shared" si="12"/>
        <v>1042263.75</v>
      </c>
      <c r="H30" s="7">
        <f t="shared" si="12"/>
        <v>1315867.9167249999</v>
      </c>
    </row>
    <row r="33" spans="1:8" x14ac:dyDescent="0.25">
      <c r="A33" s="2" t="s">
        <v>265</v>
      </c>
      <c r="C33" s="7">
        <f t="shared" ref="C33:H33" si="13">C$30-MOD(C$30,1000)</f>
        <v>276000</v>
      </c>
      <c r="D33" s="7">
        <f t="shared" si="13"/>
        <v>330000</v>
      </c>
      <c r="E33" s="7">
        <f t="shared" si="13"/>
        <v>495000</v>
      </c>
      <c r="F33" s="7">
        <f t="shared" si="13"/>
        <v>768000</v>
      </c>
      <c r="G33" s="7">
        <f t="shared" si="13"/>
        <v>1042000</v>
      </c>
      <c r="H33" s="7">
        <f t="shared" si="13"/>
        <v>1315000</v>
      </c>
    </row>
    <row r="34" spans="1:8" ht="30" x14ac:dyDescent="0.25">
      <c r="A34" s="2" t="s">
        <v>272</v>
      </c>
      <c r="C34" s="7">
        <f t="shared" ref="C34:H34" si="14">C$29-MOD(C$29,1000)</f>
        <v>447000</v>
      </c>
      <c r="D34" s="7">
        <f t="shared" si="14"/>
        <v>523000</v>
      </c>
      <c r="E34" s="7">
        <f t="shared" si="14"/>
        <v>751000</v>
      </c>
      <c r="F34" s="7">
        <f t="shared" si="14"/>
        <v>1131000</v>
      </c>
      <c r="G34" s="7">
        <f t="shared" si="14"/>
        <v>1511000</v>
      </c>
      <c r="H34" s="7">
        <f t="shared" si="14"/>
        <v>1891000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9:B12" xr:uid="{FD332A98-ED50-4D09-BD7A-3BD4746C0C4D}">
      <formula1>OFFSET(GIA_GIAY_CO_BAN,1,0,,1)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36F6E-9476-49EF-A691-1839043CCD38}">
  <sheetPr codeName="Sheet10"/>
  <dimension ref="A1:H34"/>
  <sheetViews>
    <sheetView workbookViewId="0">
      <selection activeCell="H47" sqref="H47"/>
    </sheetView>
  </sheetViews>
  <sheetFormatPr defaultRowHeight="15" x14ac:dyDescent="0.25"/>
  <cols>
    <col min="1" max="1" width="22.42578125" bestFit="1" customWidth="1"/>
    <col min="2" max="2" width="15.28515625" customWidth="1"/>
    <col min="3" max="3" width="14.28515625" bestFit="1" customWidth="1"/>
    <col min="4" max="4" width="15.85546875" bestFit="1" customWidth="1"/>
    <col min="5" max="5" width="18.28515625" bestFit="1" customWidth="1"/>
    <col min="6" max="6" width="16.7109375" bestFit="1" customWidth="1"/>
    <col min="7" max="10" width="15" bestFit="1" customWidth="1"/>
  </cols>
  <sheetData>
    <row r="1" spans="1:8" x14ac:dyDescent="0.25">
      <c r="A1" s="1" t="s">
        <v>273</v>
      </c>
      <c r="B1" t="s">
        <v>86</v>
      </c>
    </row>
    <row r="2" spans="1:8" x14ac:dyDescent="0.25">
      <c r="A2" t="s">
        <v>221</v>
      </c>
      <c r="B2" s="31">
        <v>43609</v>
      </c>
    </row>
    <row r="3" spans="1:8" x14ac:dyDescent="0.25">
      <c r="B3" t="s">
        <v>138</v>
      </c>
      <c r="C3" t="s">
        <v>139</v>
      </c>
    </row>
    <row r="4" spans="1:8" x14ac:dyDescent="0.25">
      <c r="A4" t="s">
        <v>208</v>
      </c>
      <c r="B4">
        <v>30</v>
      </c>
      <c r="C4">
        <v>42</v>
      </c>
    </row>
    <row r="5" spans="1:8" ht="30" x14ac:dyDescent="0.25">
      <c r="A5" t="s">
        <v>206</v>
      </c>
      <c r="B5" s="1" t="s">
        <v>79</v>
      </c>
      <c r="C5">
        <v>32</v>
      </c>
      <c r="D5">
        <v>47</v>
      </c>
      <c r="E5" s="2" t="s">
        <v>231</v>
      </c>
    </row>
    <row r="6" spans="1:8" x14ac:dyDescent="0.25">
      <c r="A6" t="s">
        <v>219</v>
      </c>
      <c r="D6" s="1">
        <v>1</v>
      </c>
      <c r="E6">
        <v>2</v>
      </c>
    </row>
    <row r="7" spans="1:8" x14ac:dyDescent="0.25">
      <c r="A7" t="s">
        <v>135</v>
      </c>
      <c r="D7" s="33">
        <v>0.75</v>
      </c>
      <c r="E7" s="34" t="s">
        <v>233</v>
      </c>
    </row>
    <row r="8" spans="1:8" x14ac:dyDescent="0.25">
      <c r="B8" t="s">
        <v>215</v>
      </c>
      <c r="C8" t="s">
        <v>216</v>
      </c>
      <c r="D8" t="s">
        <v>218</v>
      </c>
      <c r="E8" t="s">
        <v>217</v>
      </c>
      <c r="F8" t="s">
        <v>264</v>
      </c>
    </row>
    <row r="9" spans="1:8" x14ac:dyDescent="0.25">
      <c r="A9" t="s">
        <v>154</v>
      </c>
      <c r="B9" t="s">
        <v>147</v>
      </c>
      <c r="C9">
        <v>1056</v>
      </c>
      <c r="D9">
        <v>1056</v>
      </c>
      <c r="E9" s="7">
        <f>D9*(1+$D$7)</f>
        <v>1848</v>
      </c>
      <c r="F9" s="7">
        <f>E9/2</f>
        <v>924</v>
      </c>
    </row>
    <row r="10" spans="1:8" x14ac:dyDescent="0.25">
      <c r="A10" t="s">
        <v>175</v>
      </c>
      <c r="B10" t="s">
        <v>198</v>
      </c>
      <c r="C10">
        <v>345</v>
      </c>
      <c r="D10">
        <v>345</v>
      </c>
      <c r="E10" s="7">
        <f>D10*(1+$D$7)</f>
        <v>603.75</v>
      </c>
      <c r="F10" s="7">
        <f>E10/2</f>
        <v>301.875</v>
      </c>
    </row>
    <row r="11" spans="1:8" x14ac:dyDescent="0.25">
      <c r="E11" s="7"/>
    </row>
    <row r="12" spans="1:8" x14ac:dyDescent="0.25">
      <c r="E12" s="7"/>
    </row>
    <row r="14" spans="1:8" x14ac:dyDescent="0.25">
      <c r="A14" s="1" t="s">
        <v>210</v>
      </c>
      <c r="C14">
        <v>10</v>
      </c>
      <c r="D14">
        <v>20</v>
      </c>
      <c r="E14">
        <v>50</v>
      </c>
      <c r="F14">
        <v>100</v>
      </c>
      <c r="G14">
        <v>150</v>
      </c>
      <c r="H14">
        <v>200</v>
      </c>
    </row>
    <row r="15" spans="1:8" ht="30" x14ac:dyDescent="0.25">
      <c r="A15" s="2" t="s">
        <v>229</v>
      </c>
      <c r="C15">
        <f t="shared" ref="C15:H15" si="0">ROUNDUP(C$14/$D$6 +1,0)</f>
        <v>11</v>
      </c>
      <c r="D15">
        <f t="shared" si="0"/>
        <v>21</v>
      </c>
      <c r="E15">
        <f t="shared" si="0"/>
        <v>51</v>
      </c>
      <c r="F15">
        <f t="shared" si="0"/>
        <v>101</v>
      </c>
      <c r="G15">
        <f t="shared" si="0"/>
        <v>151</v>
      </c>
      <c r="H15">
        <f t="shared" si="0"/>
        <v>201</v>
      </c>
    </row>
    <row r="16" spans="1:8" ht="30" x14ac:dyDescent="0.25">
      <c r="A16" s="2" t="s">
        <v>230</v>
      </c>
      <c r="C16">
        <f t="shared" ref="C16:H16" si="1">C$15*$E$6</f>
        <v>22</v>
      </c>
      <c r="D16">
        <f t="shared" si="1"/>
        <v>42</v>
      </c>
      <c r="E16">
        <f t="shared" si="1"/>
        <v>102</v>
      </c>
      <c r="F16">
        <f t="shared" si="1"/>
        <v>202</v>
      </c>
      <c r="G16">
        <f t="shared" si="1"/>
        <v>302</v>
      </c>
      <c r="H16">
        <f t="shared" si="1"/>
        <v>402</v>
      </c>
    </row>
    <row r="17" spans="1:8" ht="30" x14ac:dyDescent="0.25">
      <c r="A17" s="2" t="s">
        <v>266</v>
      </c>
      <c r="C17" s="32">
        <f t="shared" ref="C17:H17" si="2">PhiMayInToner4M(C$16)</f>
        <v>62902.5</v>
      </c>
      <c r="D17" s="32">
        <f t="shared" si="2"/>
        <v>76677.5</v>
      </c>
      <c r="E17" s="32">
        <f t="shared" si="2"/>
        <v>118002.5</v>
      </c>
      <c r="F17" s="32">
        <f t="shared" si="2"/>
        <v>186877.5</v>
      </c>
      <c r="G17" s="32">
        <f t="shared" si="2"/>
        <v>255752.5</v>
      </c>
      <c r="H17" s="32">
        <f t="shared" si="2"/>
        <v>324627.5</v>
      </c>
    </row>
    <row r="18" spans="1:8" ht="30" x14ac:dyDescent="0.25">
      <c r="A18" s="2" t="s">
        <v>267</v>
      </c>
      <c r="C18" s="32">
        <f t="shared" ref="C18:H18" si="3">PhiMayCanMang(C$15, $C$5/100, $D$5/100)</f>
        <v>37960.784200000002</v>
      </c>
      <c r="D18" s="32">
        <f t="shared" si="3"/>
        <v>39254.901899999997</v>
      </c>
      <c r="E18" s="32">
        <f t="shared" si="3"/>
        <v>42878.431299999997</v>
      </c>
      <c r="F18" s="32">
        <f t="shared" si="3"/>
        <v>48831.372499999998</v>
      </c>
      <c r="G18" s="32">
        <f t="shared" si="3"/>
        <v>55043.137199999997</v>
      </c>
      <c r="H18" s="32">
        <f t="shared" si="3"/>
        <v>60996.078399999999</v>
      </c>
    </row>
    <row r="19" spans="1:8" ht="30" x14ac:dyDescent="0.25">
      <c r="A19" s="2" t="s">
        <v>269</v>
      </c>
      <c r="C19" s="32">
        <f t="shared" ref="C19:H19" si="4">900*C$16</f>
        <v>19800</v>
      </c>
      <c r="D19" s="32">
        <f t="shared" si="4"/>
        <v>37800</v>
      </c>
      <c r="E19" s="32">
        <f t="shared" si="4"/>
        <v>91800</v>
      </c>
      <c r="F19" s="32">
        <f t="shared" si="4"/>
        <v>181800</v>
      </c>
      <c r="G19" s="32">
        <f t="shared" si="4"/>
        <v>271800</v>
      </c>
      <c r="H19" s="32">
        <f t="shared" si="4"/>
        <v>361800</v>
      </c>
    </row>
    <row r="20" spans="1:8" x14ac:dyDescent="0.25">
      <c r="A20" s="2" t="s">
        <v>245</v>
      </c>
      <c r="C20" s="32">
        <f t="shared" ref="C20:H20" si="5">C$15*$D$9</f>
        <v>11616</v>
      </c>
      <c r="D20" s="32">
        <f t="shared" si="5"/>
        <v>22176</v>
      </c>
      <c r="E20" s="32">
        <f t="shared" si="5"/>
        <v>53856</v>
      </c>
      <c r="F20" s="32">
        <f t="shared" si="5"/>
        <v>106656</v>
      </c>
      <c r="G20" s="32">
        <f t="shared" si="5"/>
        <v>159456</v>
      </c>
      <c r="H20" s="32">
        <f t="shared" si="5"/>
        <v>212256</v>
      </c>
    </row>
    <row r="21" spans="1:8" x14ac:dyDescent="0.25">
      <c r="A21" s="2" t="s">
        <v>256</v>
      </c>
      <c r="C21" s="32">
        <f t="shared" ref="C21:H21" si="6">C$15*$D$10</f>
        <v>3795</v>
      </c>
      <c r="D21" s="32">
        <f t="shared" si="6"/>
        <v>7245</v>
      </c>
      <c r="E21" s="32">
        <f t="shared" si="6"/>
        <v>17595</v>
      </c>
      <c r="F21" s="32">
        <f t="shared" si="6"/>
        <v>34845</v>
      </c>
      <c r="G21" s="32">
        <f t="shared" si="6"/>
        <v>52095</v>
      </c>
      <c r="H21" s="32">
        <f t="shared" si="6"/>
        <v>69345</v>
      </c>
    </row>
    <row r="22" spans="1:8" x14ac:dyDescent="0.25">
      <c r="A22" s="2"/>
      <c r="C22" s="25"/>
      <c r="D22" s="25"/>
      <c r="E22" s="25"/>
      <c r="F22" s="25"/>
      <c r="G22" s="25"/>
      <c r="H22" s="25"/>
    </row>
    <row r="23" spans="1:8" ht="30" x14ac:dyDescent="0.25">
      <c r="A23" s="2" t="s">
        <v>276</v>
      </c>
      <c r="C23" s="25">
        <f t="shared" ref="C23:H23" si="7" xml:space="preserve"> (C$17+C$20)*(1+$D$7)</f>
        <v>130407.375</v>
      </c>
      <c r="D23" s="25">
        <f t="shared" si="7"/>
        <v>172993.625</v>
      </c>
      <c r="E23" s="25">
        <f t="shared" si="7"/>
        <v>300752.375</v>
      </c>
      <c r="F23" s="25">
        <f t="shared" si="7"/>
        <v>513683.625</v>
      </c>
      <c r="G23" s="25">
        <f t="shared" si="7"/>
        <v>726614.875</v>
      </c>
      <c r="H23" s="25">
        <f t="shared" si="7"/>
        <v>939546.125</v>
      </c>
    </row>
    <row r="24" spans="1:8" x14ac:dyDescent="0.25">
      <c r="A24" s="2"/>
      <c r="C24" s="25"/>
      <c r="D24" s="25"/>
      <c r="E24" s="25"/>
      <c r="F24" s="25"/>
      <c r="G24" s="25"/>
      <c r="H24" s="25"/>
    </row>
    <row r="25" spans="1:8" x14ac:dyDescent="0.25">
      <c r="A25" s="2"/>
    </row>
    <row r="26" spans="1:8" x14ac:dyDescent="0.25">
      <c r="A26" s="2" t="s">
        <v>274</v>
      </c>
      <c r="C26" s="7">
        <f t="shared" ref="C26:H26" si="8">PhiDongCuonKeoEVA(C$14)</f>
        <v>212500</v>
      </c>
      <c r="D26" s="7">
        <f t="shared" si="8"/>
        <v>225000</v>
      </c>
      <c r="E26" s="7">
        <f t="shared" si="8"/>
        <v>262500</v>
      </c>
      <c r="F26" s="7">
        <f t="shared" si="8"/>
        <v>325000</v>
      </c>
      <c r="G26" s="7">
        <f t="shared" si="8"/>
        <v>387500</v>
      </c>
      <c r="H26" s="7">
        <f t="shared" si="8"/>
        <v>450000</v>
      </c>
    </row>
    <row r="27" spans="1:8" x14ac:dyDescent="0.25">
      <c r="A27" s="2" t="s">
        <v>275</v>
      </c>
      <c r="C27" s="25">
        <f t="shared" ref="C27:H27" si="9">C$26*(1+$D$7)</f>
        <v>371875</v>
      </c>
      <c r="D27" s="25">
        <f t="shared" si="9"/>
        <v>393750</v>
      </c>
      <c r="E27" s="25">
        <f t="shared" si="9"/>
        <v>459375</v>
      </c>
      <c r="F27" s="25">
        <f t="shared" si="9"/>
        <v>568750</v>
      </c>
      <c r="G27" s="25">
        <f t="shared" si="9"/>
        <v>678125</v>
      </c>
      <c r="H27" s="25">
        <f t="shared" si="9"/>
        <v>787500</v>
      </c>
    </row>
    <row r="28" spans="1:8" x14ac:dyDescent="0.25">
      <c r="A28" s="2"/>
      <c r="C28" s="7"/>
      <c r="D28" s="7"/>
      <c r="E28" s="7"/>
      <c r="F28" s="7"/>
      <c r="G28" s="7"/>
      <c r="H28" s="7"/>
    </row>
    <row r="29" spans="1:8" ht="30" x14ac:dyDescent="0.25">
      <c r="A29" s="2" t="s">
        <v>270</v>
      </c>
      <c r="C29" s="7">
        <f t="shared" ref="C29:H29" si="10">C$23+C$27</f>
        <v>502282.375</v>
      </c>
      <c r="D29" s="7">
        <f t="shared" si="10"/>
        <v>566743.625</v>
      </c>
      <c r="E29" s="7">
        <f t="shared" si="10"/>
        <v>760127.375</v>
      </c>
      <c r="F29" s="7">
        <f t="shared" si="10"/>
        <v>1082433.625</v>
      </c>
      <c r="G29" s="7">
        <f t="shared" si="10"/>
        <v>1404739.875</v>
      </c>
      <c r="H29" s="7">
        <f t="shared" si="10"/>
        <v>1727046.125</v>
      </c>
    </row>
    <row r="30" spans="1:8" x14ac:dyDescent="0.25">
      <c r="A30" s="2"/>
      <c r="C30" s="7"/>
      <c r="D30" s="7"/>
      <c r="E30" s="7"/>
      <c r="F30" s="7"/>
      <c r="G30" s="7"/>
      <c r="H30" s="7"/>
    </row>
    <row r="33" spans="1:8" x14ac:dyDescent="0.25">
      <c r="A33" s="2"/>
      <c r="C33" s="7"/>
      <c r="D33" s="7"/>
      <c r="E33" s="7"/>
      <c r="F33" s="7"/>
      <c r="G33" s="7"/>
      <c r="H33" s="7"/>
    </row>
    <row r="34" spans="1:8" ht="30" x14ac:dyDescent="0.25">
      <c r="A34" s="2" t="s">
        <v>272</v>
      </c>
      <c r="C34" s="7">
        <f>LamChanHangNgan(C$29)</f>
        <v>502000</v>
      </c>
      <c r="D34" s="7">
        <f t="shared" ref="D34:H34" si="11">LamChanHangNgan(D$29)</f>
        <v>566000</v>
      </c>
      <c r="E34" s="7">
        <f t="shared" si="11"/>
        <v>760000</v>
      </c>
      <c r="F34" s="7">
        <f t="shared" si="11"/>
        <v>1082000</v>
      </c>
      <c r="G34" s="7">
        <f t="shared" si="11"/>
        <v>1404000</v>
      </c>
      <c r="H34" s="7">
        <f t="shared" si="11"/>
        <v>1727000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9:B12 A9:A10" xr:uid="{F68065F7-6633-4D40-836A-157BEFFBCB97}">
      <formula1>OFFSET(GIA_GIAY_CO_BAN,1,0,,1)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047D1-CCAD-45FF-BD56-572712B23527}">
  <sheetPr codeName="Trang_tính1"/>
  <dimension ref="A1:T65"/>
  <sheetViews>
    <sheetView topLeftCell="A22" workbookViewId="0">
      <selection activeCell="E41" sqref="E41"/>
    </sheetView>
  </sheetViews>
  <sheetFormatPr defaultRowHeight="15" x14ac:dyDescent="0.25"/>
  <cols>
    <col min="1" max="1" width="20" bestFit="1" customWidth="1"/>
    <col min="2" max="2" width="11.5703125" customWidth="1"/>
    <col min="3" max="3" width="14.85546875" bestFit="1" customWidth="1"/>
    <col min="4" max="4" width="15.85546875" bestFit="1" customWidth="1"/>
    <col min="5" max="5" width="18.28515625" bestFit="1" customWidth="1"/>
    <col min="6" max="6" width="15" bestFit="1" customWidth="1"/>
    <col min="7" max="8" width="15.85546875" bestFit="1" customWidth="1"/>
    <col min="9" max="9" width="15" bestFit="1" customWidth="1"/>
    <col min="10" max="12" width="13.28515625" bestFit="1" customWidth="1"/>
    <col min="13" max="14" width="14.85546875" bestFit="1" customWidth="1"/>
    <col min="18" max="18" width="14.140625" bestFit="1" customWidth="1"/>
  </cols>
  <sheetData>
    <row r="1" spans="1:5" x14ac:dyDescent="0.25">
      <c r="A1" t="s">
        <v>288</v>
      </c>
    </row>
    <row r="2" spans="1:5" x14ac:dyDescent="0.25">
      <c r="A2" t="s">
        <v>285</v>
      </c>
      <c r="B2" t="s">
        <v>289</v>
      </c>
    </row>
    <row r="3" spans="1:5" x14ac:dyDescent="0.25">
      <c r="A3" t="s">
        <v>290</v>
      </c>
      <c r="B3" t="s">
        <v>80</v>
      </c>
    </row>
    <row r="4" spans="1:5" x14ac:dyDescent="0.25">
      <c r="A4" t="s">
        <v>214</v>
      </c>
      <c r="B4" t="s">
        <v>291</v>
      </c>
    </row>
    <row r="5" spans="1:5" x14ac:dyDescent="0.25">
      <c r="A5" t="s">
        <v>286</v>
      </c>
      <c r="B5" t="s">
        <v>292</v>
      </c>
    </row>
    <row r="6" spans="1:5" x14ac:dyDescent="0.25">
      <c r="A6" t="s">
        <v>293</v>
      </c>
      <c r="B6" t="s">
        <v>294</v>
      </c>
    </row>
    <row r="9" spans="1:5" x14ac:dyDescent="0.25">
      <c r="A9" s="1" t="s">
        <v>287</v>
      </c>
      <c r="B9" t="s">
        <v>302</v>
      </c>
    </row>
    <row r="10" spans="1:5" x14ac:dyDescent="0.25">
      <c r="A10" t="s">
        <v>221</v>
      </c>
      <c r="B10" s="31">
        <v>43609</v>
      </c>
    </row>
    <row r="11" spans="1:5" x14ac:dyDescent="0.25">
      <c r="B11" t="s">
        <v>138</v>
      </c>
      <c r="C11" t="s">
        <v>139</v>
      </c>
    </row>
    <row r="12" spans="1:5" x14ac:dyDescent="0.25">
      <c r="A12" t="s">
        <v>208</v>
      </c>
      <c r="D12" t="s">
        <v>300</v>
      </c>
    </row>
    <row r="13" spans="1:5" x14ac:dyDescent="0.25">
      <c r="A13" t="s">
        <v>299</v>
      </c>
      <c r="B13">
        <v>10</v>
      </c>
      <c r="C13">
        <v>19</v>
      </c>
      <c r="D13">
        <v>0.3</v>
      </c>
    </row>
    <row r="15" spans="1:5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5" x14ac:dyDescent="0.25">
      <c r="A16" t="s">
        <v>219</v>
      </c>
      <c r="D16" s="1">
        <f>SoConTrenToLon($C$15,$D$15,$B$13+$D$13,$C$13+$D$13)</f>
        <v>6</v>
      </c>
      <c r="E16">
        <v>2</v>
      </c>
    </row>
    <row r="17" spans="1:20" x14ac:dyDescent="0.25">
      <c r="A17" t="s">
        <v>135</v>
      </c>
      <c r="D17" s="33">
        <v>0.75</v>
      </c>
      <c r="E17" s="34" t="s">
        <v>233</v>
      </c>
    </row>
    <row r="18" spans="1:20" x14ac:dyDescent="0.25">
      <c r="B18" t="s">
        <v>215</v>
      </c>
      <c r="C18" t="s">
        <v>216</v>
      </c>
      <c r="D18" t="s">
        <v>218</v>
      </c>
      <c r="E18" t="s">
        <v>217</v>
      </c>
    </row>
    <row r="19" spans="1:20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0" spans="1:20" x14ac:dyDescent="0.25">
      <c r="E20" s="7"/>
    </row>
    <row r="21" spans="1:20" ht="75" x14ac:dyDescent="0.25">
      <c r="E21" s="7"/>
      <c r="O21" s="2" t="s">
        <v>307</v>
      </c>
      <c r="P21" s="2" t="s">
        <v>308</v>
      </c>
      <c r="Q21" s="2"/>
      <c r="S21" s="2" t="s">
        <v>312</v>
      </c>
      <c r="T21" s="2" t="s">
        <v>308</v>
      </c>
    </row>
    <row r="22" spans="1:20" x14ac:dyDescent="0.25">
      <c r="A22" t="s">
        <v>305</v>
      </c>
      <c r="J22" s="37"/>
      <c r="N22" t="s">
        <v>309</v>
      </c>
      <c r="O22">
        <f>$A24*E$23/2/$D$16</f>
        <v>10</v>
      </c>
      <c r="P22">
        <f>$A24*E$23/$D$16*$E$16</f>
        <v>40</v>
      </c>
      <c r="R22" t="s">
        <v>311</v>
      </c>
      <c r="S22">
        <f>$A24*E$23/$D$16*2</f>
        <v>40</v>
      </c>
    </row>
    <row r="23" spans="1:20" ht="45" x14ac:dyDescent="0.25">
      <c r="A23" s="19" t="s">
        <v>263</v>
      </c>
      <c r="B23" s="36" t="s">
        <v>262</v>
      </c>
      <c r="D23" t="s">
        <v>286</v>
      </c>
      <c r="E23">
        <v>10</v>
      </c>
      <c r="F23">
        <v>20</v>
      </c>
      <c r="G23">
        <v>30</v>
      </c>
      <c r="H23">
        <v>40</v>
      </c>
      <c r="I23">
        <v>50</v>
      </c>
      <c r="J23" s="41" t="s">
        <v>313</v>
      </c>
      <c r="N23" s="35" t="s">
        <v>306</v>
      </c>
      <c r="R23" s="35" t="s">
        <v>320</v>
      </c>
      <c r="S23">
        <f>PhiMayCanMang($A24*E23/$D$16*2, $C$15/100,$D$15/100)</f>
        <v>41584.313699999999</v>
      </c>
    </row>
    <row r="24" spans="1:20" x14ac:dyDescent="0.25">
      <c r="A24" s="2">
        <v>12</v>
      </c>
      <c r="B24">
        <f t="shared" ref="B24:B37" si="0">$A24*E$23</f>
        <v>120</v>
      </c>
      <c r="D24" t="s">
        <v>303</v>
      </c>
      <c r="E24" s="7">
        <f>LamChanHangNgan((PhiInKM4M_BHR70($A24*E$23/$D$16*$E$16)+$A24*E$23/$D$16*$D$19)*(1+$D$17))</f>
        <v>181000</v>
      </c>
      <c r="F24" s="7">
        <f>LamChanHangNgan((PhiInKM4M_BHR70($A24*F$23/$D$16*$E$16)+$A24*F$23/$D$16*$D$19)*(1+$D$17))</f>
        <v>274000</v>
      </c>
      <c r="G24" s="7">
        <f>LamChanHangNgan((PhiInKM4M_BHR70($A24*G$23/$D$16*$E$16)+$A24*G$23/$D$16*$D$19)*(1+$D$17))</f>
        <v>368000</v>
      </c>
      <c r="H24" s="7">
        <f>LamChanHangNgan((PhiInKM4M_BHR70($A24*H$23/$D$16*$E$16)+$A24*H$23/$D$16*$D$19)*(1+$D$17))</f>
        <v>461000</v>
      </c>
      <c r="I24" s="7">
        <f>LamChanHangNgan((PhiInKM4M_BHR70($A24*I$23/$D$16*$E$16)+$A24*I$23/$D$16*$D$19)*(1+$D$17))</f>
        <v>555000</v>
      </c>
      <c r="J24" s="7">
        <f>E24</f>
        <v>181000</v>
      </c>
      <c r="K24" s="7">
        <f t="shared" ref="K24:N24" si="1">F24</f>
        <v>274000</v>
      </c>
      <c r="L24" s="7">
        <f t="shared" si="1"/>
        <v>368000</v>
      </c>
      <c r="M24" s="7">
        <f t="shared" si="1"/>
        <v>461000</v>
      </c>
      <c r="N24" s="7">
        <f t="shared" si="1"/>
        <v>555000</v>
      </c>
      <c r="R24" s="7"/>
    </row>
    <row r="25" spans="1:20" x14ac:dyDescent="0.25">
      <c r="A25" s="38">
        <v>12</v>
      </c>
      <c r="B25" s="39">
        <f t="shared" si="0"/>
        <v>120</v>
      </c>
      <c r="C25" s="39"/>
      <c r="D25" s="39" t="s">
        <v>304</v>
      </c>
      <c r="J25" s="40">
        <f>LamChanHangNgan((PhiInKM4M_BHR70($A25*E$23/$D$16*$E$16)+$A24*E$23/$D$16*$D$19+PhiMayCanMang($A25*E$23/$D$16*2, $C$15/100,$D$15/100))*(1+$D$17))</f>
        <v>253000</v>
      </c>
      <c r="K25" s="40">
        <f>LamChanHangNgan((PhiInKM4M_BHR70($A25*F$23/$D$16*$E$16)+$A24*F$23/$D$16*$D$19+PhiMayCanMang($A25*F$23/$D$16*2, $C$15/100,$D$15/100))*(1+$D$17))</f>
        <v>355000</v>
      </c>
      <c r="L25" s="40">
        <f>LamChanHangNgan((PhiInKM4M_BHR70($A25*G$23/$D$16*$E$16)+$A24*G$23/$D$16*$D$19+PhiMayCanMang($A25*G$23/$D$16*2, $C$15/100,$D$15/100))*(1+$D$17))</f>
        <v>457000</v>
      </c>
      <c r="M25" s="40">
        <f>LamChanHangNgan((PhiInKM4M_BHR70($A25*H$23/$D$16*$E$16)+$A24*H$23/$D$16*$D$19+PhiMayCanMang($A25*H$23/$D$16*2, $C$15/100,$D$15/100))*(1+$D$17))</f>
        <v>559000</v>
      </c>
      <c r="N25" s="40">
        <f>LamChanHangNgan((PhiInKM4M_BHR70($A25*I$23/$D$16*$E$16)+$A24*I$23/$D$16*$D$19+PhiMayCanMang($A25*I$23/$D$16*2, $C$15/100,$D$15/100))*(1+$D$17))</f>
        <v>661000</v>
      </c>
    </row>
    <row r="26" spans="1:20" x14ac:dyDescent="0.25">
      <c r="A26" s="2">
        <v>14</v>
      </c>
      <c r="B26">
        <f t="shared" si="0"/>
        <v>140</v>
      </c>
      <c r="D26" t="s">
        <v>303</v>
      </c>
      <c r="E26" s="7">
        <f>LamChanHangNgan((PhiInKM4M_BHR70($A26*E$23/$D$16*$E$16)+$A26*E$23/$D$16*$D$19)*(1+$D$17))</f>
        <v>197000</v>
      </c>
      <c r="F26" s="7">
        <f>LamChanHangNgan((PhiInKM4M_BHR70($A26*F$23/$D$16*$E$16)+$A26*F$23/$D$16*$D$19)*(1+$D$17))</f>
        <v>305000</v>
      </c>
      <c r="G26" s="7">
        <f>LamChanHangNgan((PhiInKM4M_BHR70($A26*G$23/$D$16*$E$16)+$A26*G$23/$D$16*$D$19)*(1+$D$17))</f>
        <v>414000</v>
      </c>
      <c r="H26" s="7">
        <f>LamChanHangNgan((PhiInKM4M_BHR70($A26*H$23/$D$16*$E$16)+$A26*H$23/$D$16*$D$19)*(1+$D$17))</f>
        <v>524000</v>
      </c>
      <c r="I26" s="7">
        <f>LamChanHangNgan((PhiInKM4M_BHR70($A26*I$23/$D$16*$E$16)+$A26*I$23/$D$16*$D$19)*(1+$D$17))</f>
        <v>632000</v>
      </c>
      <c r="J26" s="7">
        <f>E26</f>
        <v>197000</v>
      </c>
      <c r="K26" s="7">
        <f t="shared" ref="K26:N26" si="2">F26</f>
        <v>305000</v>
      </c>
      <c r="L26" s="7">
        <f t="shared" si="2"/>
        <v>414000</v>
      </c>
      <c r="M26" s="7">
        <f t="shared" si="2"/>
        <v>524000</v>
      </c>
      <c r="N26" s="7">
        <f t="shared" si="2"/>
        <v>632000</v>
      </c>
    </row>
    <row r="27" spans="1:20" x14ac:dyDescent="0.25">
      <c r="A27" s="38">
        <v>14</v>
      </c>
      <c r="B27" s="39">
        <f t="shared" si="0"/>
        <v>140</v>
      </c>
      <c r="C27" s="39"/>
      <c r="D27" s="39" t="s">
        <v>304</v>
      </c>
      <c r="E27" s="40"/>
      <c r="F27" s="40"/>
      <c r="G27" s="40"/>
      <c r="H27" s="40"/>
      <c r="I27" s="40"/>
      <c r="J27" s="40">
        <f>LamChanHangNgan((PhiInKM4M_BHR70($A27*E$23/$D$16*$E$16)+$A26*E$23/$D$16*$D$19+PhiMayCanMang($A27*E$23/$D$16*2, $C$15/100,$D$15/100))*(1+$D$17))</f>
        <v>271000</v>
      </c>
      <c r="K27" s="40">
        <f>LamChanHangNgan((PhiInKM4M_BHR70($A27*F$23/$D$16*$E$16)+$A26*F$23/$D$16*$D$19+PhiMayCanMang($A27*F$23/$D$16*2, $C$15/100,$D$15/100))*(1+$D$17))</f>
        <v>389000</v>
      </c>
      <c r="L27" s="40">
        <f>LamChanHangNgan((PhiInKM4M_BHR70($A27*G$23/$D$16*$E$16)+$A26*G$23/$D$16*$D$19+PhiMayCanMang($A27*G$23/$D$16*2, $C$15/100,$D$15/100))*(1+$D$17))</f>
        <v>508000</v>
      </c>
      <c r="M27" s="40">
        <f>LamChanHangNgan((PhiInKM4M_BHR70($A27*H$23/$D$16*$E$16)+$A26*H$23/$D$16*$D$19+PhiMayCanMang($A27*H$23/$D$16*2, $C$15/100,$D$15/100))*(1+$D$17))</f>
        <v>628000</v>
      </c>
      <c r="N27" s="40">
        <f>LamChanHangNgan((PhiInKM4M_BHR70($A27*I$23/$D$16*$E$16)+$A26*I$23/$D$16*$D$19+PhiMayCanMang($A27*I$23/$D$16*2, $C$15/100,$D$15/100))*(1+$D$17))</f>
        <v>746000</v>
      </c>
    </row>
    <row r="28" spans="1:20" x14ac:dyDescent="0.25">
      <c r="A28" s="2">
        <v>16</v>
      </c>
      <c r="B28">
        <f t="shared" si="0"/>
        <v>160</v>
      </c>
      <c r="D28" t="s">
        <v>303</v>
      </c>
      <c r="E28" s="7">
        <f>LamChanHangNgan((PhiInKM4M_BHR70($A28*E$23/$D$16*$E$16)+$A28*E$23/$D$16*$D$19)*(1+$D$17))</f>
        <v>211000</v>
      </c>
      <c r="F28" s="7">
        <f>LamChanHangNgan((PhiInKM4M_BHR70($A28*F$23/$D$16*$E$16)+$A28*F$23/$D$16*$D$19)*(1+$D$17))</f>
        <v>337000</v>
      </c>
      <c r="G28" s="7">
        <f>LamChanHangNgan((PhiInKM4M_BHR70($A28*G$23/$D$16*$E$16)+$A28*G$23/$D$16*$D$19)*(1+$D$17))</f>
        <v>461000</v>
      </c>
      <c r="H28" s="7">
        <f>LamChanHangNgan((PhiInKM4M_BHR70($A28*H$23/$D$16*$E$16)+$A28*H$23/$D$16*$D$19)*(1+$D$17))</f>
        <v>585000</v>
      </c>
      <c r="I28" s="7">
        <f>LamChanHangNgan((PhiInKM4M_BHR70($A28*I$23/$D$16*$E$16)+$A28*I$23/$D$16*$D$19)*(1+$D$17))</f>
        <v>711000</v>
      </c>
      <c r="J28" s="7">
        <f>E28</f>
        <v>211000</v>
      </c>
      <c r="K28" s="7">
        <f t="shared" ref="K28:N28" si="3">F28</f>
        <v>337000</v>
      </c>
      <c r="L28" s="7">
        <f t="shared" si="3"/>
        <v>461000</v>
      </c>
      <c r="M28" s="7">
        <f t="shared" si="3"/>
        <v>585000</v>
      </c>
      <c r="N28" s="7">
        <f t="shared" si="3"/>
        <v>711000</v>
      </c>
    </row>
    <row r="29" spans="1:20" x14ac:dyDescent="0.25">
      <c r="A29" s="38">
        <v>16</v>
      </c>
      <c r="B29" s="39">
        <f t="shared" si="0"/>
        <v>160</v>
      </c>
      <c r="C29" s="39"/>
      <c r="D29" s="39" t="s">
        <v>304</v>
      </c>
      <c r="E29" s="40"/>
      <c r="F29" s="40"/>
      <c r="G29" s="40"/>
      <c r="H29" s="40"/>
      <c r="I29" s="40"/>
      <c r="J29" s="40">
        <f>LamChanHangNgan((PhiInKM4M_BHR70($A29*E$23/$D$16*$E$16)+$A28*E$23/$D$16*$D$19+PhiMayCanMang($A29*E$23/$D$16*2, $C$15/100,$D$15/100))*(1+$D$17))</f>
        <v>287000</v>
      </c>
      <c r="K29" s="40">
        <f>LamChanHangNgan((PhiInKM4M_BHR70($A29*F$23/$D$16*$E$16)+$A28*F$23/$D$16*$D$19+PhiMayCanMang($A29*F$23/$D$16*2, $C$15/100,$D$15/100))*(1+$D$17))</f>
        <v>424000</v>
      </c>
      <c r="L29" s="40">
        <f>LamChanHangNgan((PhiInKM4M_BHR70($A29*G$23/$D$16*$E$16)+$A28*G$23/$D$16*$D$19+PhiMayCanMang($A29*G$23/$D$16*2, $C$15/100,$D$15/100))*(1+$D$17))</f>
        <v>559000</v>
      </c>
      <c r="M29" s="40">
        <f>LamChanHangNgan((PhiInKM4M_BHR70($A29*H$23/$D$16*$E$16)+$A28*H$23/$D$16*$D$19+PhiMayCanMang($A29*H$23/$D$16*2, $C$15/100,$D$15/100))*(1+$D$17))</f>
        <v>695000</v>
      </c>
      <c r="N29" s="40">
        <f>LamChanHangNgan((PhiInKM4M_BHR70($A29*I$23/$D$16*$E$16)+$A28*I$23/$D$16*$D$19+PhiMayCanMang($A29*I$23/$D$16*2, $C$15/100,$D$15/100))*(1+$D$17))</f>
        <v>832000</v>
      </c>
    </row>
    <row r="30" spans="1:20" x14ac:dyDescent="0.25">
      <c r="A30" s="2">
        <v>18</v>
      </c>
      <c r="B30">
        <f t="shared" si="0"/>
        <v>180</v>
      </c>
      <c r="D30" t="s">
        <v>303</v>
      </c>
      <c r="E30" s="7">
        <f>LamChanHangNgan((PhiInKM4M_BHR70($A30*E$23/$D$16*$E$16)+$A30*E$23/$D$16*$D$19)*(1+$D$17))</f>
        <v>227000</v>
      </c>
      <c r="F30" s="7">
        <f>LamChanHangNgan((PhiInKM4M_BHR70($A30*F$23/$D$16*$E$16)+$A30*F$23/$D$16*$D$19)*(1+$D$17))</f>
        <v>368000</v>
      </c>
      <c r="G30" s="7">
        <f>LamChanHangNgan((PhiInKM4M_BHR70($A30*G$23/$D$16*$E$16)+$A30*G$23/$D$16*$D$19)*(1+$D$17))</f>
        <v>508000</v>
      </c>
      <c r="H30" s="7">
        <f>LamChanHangNgan((PhiInKM4M_BHR70($A30*H$23/$D$16*$E$16)+$A30*H$23/$D$16*$D$19)*(1+$D$17))</f>
        <v>648000</v>
      </c>
      <c r="I30" s="7">
        <f>LamChanHangNgan((PhiInKM4M_BHR70($A30*I$23/$D$16*$E$16)+$A30*I$23/$D$16*$D$19)*(1+$D$17))</f>
        <v>788000</v>
      </c>
      <c r="J30" s="7">
        <f>E30</f>
        <v>227000</v>
      </c>
      <c r="K30" s="7">
        <f t="shared" ref="K30:N30" si="4">F30</f>
        <v>368000</v>
      </c>
      <c r="L30" s="7">
        <f t="shared" si="4"/>
        <v>508000</v>
      </c>
      <c r="M30" s="7">
        <f t="shared" si="4"/>
        <v>648000</v>
      </c>
      <c r="N30" s="7">
        <f t="shared" si="4"/>
        <v>788000</v>
      </c>
    </row>
    <row r="31" spans="1:20" x14ac:dyDescent="0.25">
      <c r="A31" s="38">
        <v>18</v>
      </c>
      <c r="B31" s="39">
        <f t="shared" si="0"/>
        <v>180</v>
      </c>
      <c r="C31" s="39"/>
      <c r="D31" s="39" t="s">
        <v>304</v>
      </c>
      <c r="E31" s="40"/>
      <c r="F31" s="40"/>
      <c r="G31" s="40"/>
      <c r="H31" s="40"/>
      <c r="I31" s="40"/>
      <c r="J31" s="40">
        <f>LamChanHangNgan((PhiInKM4M_BHR70($A31*E$23/$D$16*$E$16)+$A30*E$23/$D$16*$D$19+PhiMayCanMang($A31*E$23/$D$16*2, $C$15/100,$D$15/100))*(1+$D$17))</f>
        <v>304000</v>
      </c>
      <c r="K31" s="40">
        <f>LamChanHangNgan((PhiInKM4M_BHR70($A31*F$23/$D$16*$E$16)+$A30*F$23/$D$16*$D$19+PhiMayCanMang($A31*F$23/$D$16*2, $C$15/100,$D$15/100))*(1+$D$17))</f>
        <v>457000</v>
      </c>
      <c r="L31" s="40">
        <f>LamChanHangNgan((PhiInKM4M_BHR70($A31*G$23/$D$16*$E$16)+$A30*G$23/$D$16*$D$19+PhiMayCanMang($A31*G$23/$D$16*2, $C$15/100,$D$15/100))*(1+$D$17))</f>
        <v>611000</v>
      </c>
      <c r="M31" s="40">
        <f>LamChanHangNgan((PhiInKM4M_BHR70($A31*H$23/$D$16*$E$16)+$A30*H$23/$D$16*$D$19+PhiMayCanMang($A31*H$23/$D$16*2, $C$15/100,$D$15/100))*(1+$D$17))</f>
        <v>763000</v>
      </c>
      <c r="N31" s="40">
        <f>LamChanHangNgan((PhiInKM4M_BHR70($A31*I$23/$D$16*$E$16)+$A30*I$23/$D$16*$D$19+PhiMayCanMang($A31*I$23/$D$16*2, $C$15/100,$D$15/100))*(1+$D$17))</f>
        <v>916000</v>
      </c>
    </row>
    <row r="32" spans="1:20" x14ac:dyDescent="0.25">
      <c r="A32" s="2">
        <v>20</v>
      </c>
      <c r="B32">
        <f t="shared" si="0"/>
        <v>200</v>
      </c>
      <c r="D32" t="s">
        <v>303</v>
      </c>
      <c r="E32" s="7">
        <f>LamChanHangNgan((PhiInKM4M_BHR70($A32*E$23/$D$16*$E$16)+$A32*E$23/$D$16*$D$19)*(1+$D$17))</f>
        <v>243000</v>
      </c>
      <c r="F32" s="7">
        <f>LamChanHangNgan((PhiInKM4M_BHR70($A32*F$23/$D$16*$E$16)+$A32*F$23/$D$16*$D$19)*(1+$D$17))</f>
        <v>398000</v>
      </c>
      <c r="G32" s="7">
        <f>LamChanHangNgan((PhiInKM4M_BHR70($A32*G$23/$D$16*$E$16)+$A32*G$23/$D$16*$D$19)*(1+$D$17))</f>
        <v>555000</v>
      </c>
      <c r="H32" s="7">
        <f>LamChanHangNgan((PhiInKM4M_BHR70($A32*H$23/$D$16*$E$16)+$A32*H$23/$D$16*$D$19)*(1+$D$17))</f>
        <v>711000</v>
      </c>
      <c r="I32" s="7">
        <f>LamChanHangNgan((PhiInKM4M_BHR70($A32*I$23/$D$16*$E$16)+$A32*I$23/$D$16*$D$19)*(1+$D$17))</f>
        <v>866000</v>
      </c>
      <c r="J32" s="7">
        <f>E32</f>
        <v>243000</v>
      </c>
      <c r="K32" s="7">
        <f t="shared" ref="K32:N32" si="5">F32</f>
        <v>398000</v>
      </c>
      <c r="L32" s="7">
        <f t="shared" si="5"/>
        <v>555000</v>
      </c>
      <c r="M32" s="7">
        <f t="shared" si="5"/>
        <v>711000</v>
      </c>
      <c r="N32" s="7">
        <f t="shared" si="5"/>
        <v>866000</v>
      </c>
    </row>
    <row r="33" spans="1:14" x14ac:dyDescent="0.25">
      <c r="A33" s="38">
        <v>20</v>
      </c>
      <c r="B33" s="39">
        <f t="shared" si="0"/>
        <v>200</v>
      </c>
      <c r="C33" s="39"/>
      <c r="D33" s="39" t="s">
        <v>304</v>
      </c>
      <c r="E33" s="40"/>
      <c r="F33" s="40"/>
      <c r="G33" s="40"/>
      <c r="H33" s="40"/>
      <c r="I33" s="40"/>
      <c r="J33" s="40">
        <f>LamChanHangNgan((PhiInKM4M_BHR70($A33*E$23/$D$16*$E$16)+$A32*E$23/$D$16*$D$19+PhiMayCanMang($A33*E$23/$D$16*2, $C$15/100,$D$15/100))*(1+$D$17))</f>
        <v>321000</v>
      </c>
      <c r="K33" s="40">
        <f>LamChanHangNgan((PhiInKM4M_BHR70($A33*F$23/$D$16*$E$16)+$A32*F$23/$D$16*$D$19+PhiMayCanMang($A33*F$23/$D$16*2, $C$15/100,$D$15/100))*(1+$D$17))</f>
        <v>491000</v>
      </c>
      <c r="L33" s="40">
        <f>LamChanHangNgan((PhiInKM4M_BHR70($A33*G$23/$D$16*$E$16)+$A32*G$23/$D$16*$D$19+PhiMayCanMang($A33*G$23/$D$16*2, $C$15/100,$D$15/100))*(1+$D$17))</f>
        <v>661000</v>
      </c>
      <c r="M33" s="40">
        <f>LamChanHangNgan((PhiInKM4M_BHR70($A33*H$23/$D$16*$E$16)+$A32*H$23/$D$16*$D$19+PhiMayCanMang($A33*H$23/$D$16*2, $C$15/100,$D$15/100))*(1+$D$17))</f>
        <v>832000</v>
      </c>
      <c r="N33" s="40">
        <f>LamChanHangNgan((PhiInKM4M_BHR70($A33*I$23/$D$16*$E$16)+$A32*I$23/$D$16*$D$19+PhiMayCanMang($A33*I$23/$D$16*2, $C$15/100,$D$15/100))*(1+$D$17))</f>
        <v>1001000</v>
      </c>
    </row>
    <row r="34" spans="1:14" x14ac:dyDescent="0.25">
      <c r="A34" s="2">
        <v>22</v>
      </c>
      <c r="B34">
        <f t="shared" si="0"/>
        <v>220</v>
      </c>
      <c r="D34" t="s">
        <v>303</v>
      </c>
      <c r="E34" s="7">
        <f>LamChanHangNgan((PhiInKM4M_BHR70($A34*E$23/$D$16*$E$16)+$A34*E$23/$D$16*$D$19)*(1+$D$17))</f>
        <v>258000</v>
      </c>
      <c r="F34" s="7">
        <f>LamChanHangNgan((PhiInKM4M_BHR70($A34*F$23/$D$16*$E$16)+$A34*F$23/$D$16*$D$19)*(1+$D$17))</f>
        <v>430000</v>
      </c>
      <c r="G34" s="7">
        <f>LamChanHangNgan((PhiInKM4M_BHR70($A34*G$23/$D$16*$E$16)+$A34*G$23/$D$16*$D$19)*(1+$D$17))</f>
        <v>601000</v>
      </c>
      <c r="H34" s="7">
        <f>LamChanHangNgan((PhiInKM4M_BHR70($A34*H$23/$D$16*$E$16)+$A34*H$23/$D$16*$D$19)*(1+$D$17))</f>
        <v>772000</v>
      </c>
      <c r="I34" s="7">
        <f>LamChanHangNgan((PhiInKM4M_BHR70($A34*I$23/$D$16*$E$16)+$A34*I$23/$D$16*$D$19)*(1+$D$17))</f>
        <v>945000</v>
      </c>
      <c r="J34" s="7">
        <f>E34</f>
        <v>258000</v>
      </c>
      <c r="K34" s="7">
        <f t="shared" ref="K34:N34" si="6">F34</f>
        <v>430000</v>
      </c>
      <c r="L34" s="7">
        <f t="shared" si="6"/>
        <v>601000</v>
      </c>
      <c r="M34" s="7">
        <f t="shared" si="6"/>
        <v>772000</v>
      </c>
      <c r="N34" s="7">
        <f t="shared" si="6"/>
        <v>945000</v>
      </c>
    </row>
    <row r="35" spans="1:14" x14ac:dyDescent="0.25">
      <c r="A35" s="38">
        <v>22</v>
      </c>
      <c r="B35" s="39">
        <f t="shared" si="0"/>
        <v>220</v>
      </c>
      <c r="C35" s="39"/>
      <c r="D35" s="39" t="s">
        <v>304</v>
      </c>
      <c r="E35" s="40"/>
      <c r="F35" s="40"/>
      <c r="G35" s="40"/>
      <c r="H35" s="40"/>
      <c r="I35" s="40"/>
      <c r="J35" s="40">
        <f>LamChanHangNgan((PhiInKM4M_BHR70($A35*E$23/$D$16*$E$16)+$A34*E$23/$D$16*$D$19+PhiMayCanMang($A35*E$23/$D$16*2, $C$15/100,$D$15/100))*(1+$D$17))</f>
        <v>338000</v>
      </c>
      <c r="K35" s="40">
        <f>LamChanHangNgan((PhiInKM4M_BHR70($A35*F$23/$D$16*$E$16)+$A34*F$23/$D$16*$D$19+PhiMayCanMang($A35*F$23/$D$16*2, $C$15/100,$D$15/100))*(1+$D$17))</f>
        <v>526000</v>
      </c>
      <c r="L35" s="40">
        <f>LamChanHangNgan((PhiInKM4M_BHR70($A35*G$23/$D$16*$E$16)+$A34*G$23/$D$16*$D$19+PhiMayCanMang($A35*G$23/$D$16*2, $C$15/100,$D$15/100))*(1+$D$17))</f>
        <v>712000</v>
      </c>
      <c r="M35" s="40">
        <f>LamChanHangNgan((PhiInKM4M_BHR70($A35*H$23/$D$16*$E$16)+$A34*H$23/$D$16*$D$19+PhiMayCanMang($A35*H$23/$D$16*2, $C$15/100,$D$15/100))*(1+$D$17))</f>
        <v>899000</v>
      </c>
      <c r="N35" s="40">
        <f>LamChanHangNgan((PhiInKM4M_BHR70($A35*I$23/$D$16*$E$16)+$A34*I$23/$D$16*$D$19+PhiMayCanMang($A35*I$23/$D$16*2, $C$15/100,$D$15/100))*(1+$D$17))</f>
        <v>1087000</v>
      </c>
    </row>
    <row r="36" spans="1:14" x14ac:dyDescent="0.25">
      <c r="A36" s="2">
        <v>24</v>
      </c>
      <c r="B36">
        <f t="shared" si="0"/>
        <v>240</v>
      </c>
      <c r="D36" t="s">
        <v>303</v>
      </c>
      <c r="E36" s="7">
        <f>LamChanHangNgan((PhiInKM4M_BHR70($A36*E$23/$D$16*$E$16)+$A36*E$23/$D$16*$D$19)*(1+$D$17))</f>
        <v>274000</v>
      </c>
      <c r="F36" s="7">
        <f>LamChanHangNgan((PhiInKM4M_BHR70($A36*F$23/$D$16*$E$16)+$A36*F$23/$D$16*$D$19)*(1+$D$17))</f>
        <v>461000</v>
      </c>
      <c r="G36" s="7">
        <f>LamChanHangNgan((PhiInKM4M_BHR70($A36*G$23/$D$16*$E$16)+$A36*G$23/$D$16*$D$19)*(1+$D$17))</f>
        <v>648000</v>
      </c>
      <c r="H36" s="7">
        <f>LamChanHangNgan((PhiInKM4M_BHR70($A36*H$23/$D$16*$E$16)+$A36*H$23/$D$16*$D$19)*(1+$D$17))</f>
        <v>835000</v>
      </c>
      <c r="I36" s="7">
        <f>LamChanHangNgan((PhiInKM4M_BHR70($A36*I$23/$D$16*$E$16)+$A36*I$23/$D$16*$D$19)*(1+$D$17))</f>
        <v>1022000</v>
      </c>
      <c r="J36" s="7">
        <f>E36</f>
        <v>274000</v>
      </c>
      <c r="K36" s="7">
        <f t="shared" ref="K36:N36" si="7">F36</f>
        <v>461000</v>
      </c>
      <c r="L36" s="7">
        <f t="shared" si="7"/>
        <v>648000</v>
      </c>
      <c r="M36" s="7">
        <f t="shared" si="7"/>
        <v>835000</v>
      </c>
      <c r="N36" s="7">
        <f t="shared" si="7"/>
        <v>1022000</v>
      </c>
    </row>
    <row r="37" spans="1:14" x14ac:dyDescent="0.25">
      <c r="A37" s="38">
        <v>24</v>
      </c>
      <c r="B37" s="39">
        <f t="shared" si="0"/>
        <v>240</v>
      </c>
      <c r="C37" s="39"/>
      <c r="D37" s="39" t="s">
        <v>304</v>
      </c>
      <c r="E37" s="40"/>
      <c r="F37" s="40"/>
      <c r="G37" s="40"/>
      <c r="H37" s="40"/>
      <c r="I37" s="40"/>
      <c r="J37" s="40">
        <f>LamChanHangNgan((PhiInKM4M_BHR70($A37*E$23/$D$16*$E$16)+$A36*E$23/$D$16*$D$19+PhiMayCanMang($A37*E$23/$D$16*2, $C$15/100,$D$15/100))*(1+$D$17))</f>
        <v>355000</v>
      </c>
      <c r="K37" s="40">
        <f>LamChanHangNgan((PhiInKM4M_BHR70($A37*F$23/$D$16*$E$16)+$A36*F$23/$D$16*$D$19+PhiMayCanMang($A37*F$23/$D$16*2, $C$15/100,$D$15/100))*(1+$D$17))</f>
        <v>559000</v>
      </c>
      <c r="L37" s="40">
        <f>LamChanHangNgan((PhiInKM4M_BHR70($A37*G$23/$D$16*$E$16)+$A36*G$23/$D$16*$D$19+PhiMayCanMang($A37*G$23/$D$16*2, $C$15/100,$D$15/100))*(1+$D$17))</f>
        <v>763000</v>
      </c>
      <c r="M37" s="40">
        <f>LamChanHangNgan((PhiInKM4M_BHR70($A37*H$23/$D$16*$E$16)+$A36*H$23/$D$16*$D$19+PhiMayCanMang($A37*H$23/$D$16*2, $C$15/100,$D$15/100))*(1+$D$17))</f>
        <v>967000</v>
      </c>
      <c r="N37" s="40">
        <f>LamChanHangNgan((PhiInKM4M_BHR70($A37*I$23/$D$16*$E$16)+$A36*I$23/$D$16*$D$19+PhiMayCanMang($A37*I$23/$D$16*2, $C$15/100,$D$15/100))*(1+$D$17))</f>
        <v>1172000</v>
      </c>
    </row>
    <row r="38" spans="1:14" x14ac:dyDescent="0.25">
      <c r="A38" s="2"/>
      <c r="C38" s="7"/>
      <c r="D38" s="7"/>
      <c r="E38" s="7"/>
      <c r="F38" s="7"/>
      <c r="G38" s="7"/>
      <c r="H38" s="7"/>
    </row>
    <row r="39" spans="1:14" x14ac:dyDescent="0.25">
      <c r="A39" s="2"/>
    </row>
    <row r="40" spans="1:14" x14ac:dyDescent="0.25">
      <c r="A40" s="2" t="s">
        <v>314</v>
      </c>
    </row>
    <row r="41" spans="1:14" x14ac:dyDescent="0.25">
      <c r="A41" s="2" t="s">
        <v>315</v>
      </c>
      <c r="B41">
        <v>6000</v>
      </c>
      <c r="D41" t="s">
        <v>316</v>
      </c>
      <c r="E41" s="7">
        <f>PhiLDPT_XepDotVoCuonLX(E$23)+$B$41*$C$13/100</f>
        <v>21362.2228</v>
      </c>
      <c r="F41" s="7">
        <f t="shared" ref="F41:I41" si="8">PhiLDPT_XepDotVoCuonLX(F$23)+$B$41*$C$13/100</f>
        <v>24251.111700000001</v>
      </c>
      <c r="G41" s="7">
        <f t="shared" si="8"/>
        <v>27140.000700000001</v>
      </c>
      <c r="H41" s="7">
        <f t="shared" si="8"/>
        <v>30028.8897</v>
      </c>
      <c r="I41" s="7">
        <f t="shared" si="8"/>
        <v>32917.778699999995</v>
      </c>
    </row>
    <row r="42" spans="1:14" x14ac:dyDescent="0.25">
      <c r="A42" s="2"/>
      <c r="D42" t="s">
        <v>317</v>
      </c>
      <c r="E42" s="7">
        <f>E$41*(1+$D$17)</f>
        <v>37383.889900000002</v>
      </c>
      <c r="F42" s="7">
        <f t="shared" ref="F42:I42" si="9">F$41*(1+$D$17)</f>
        <v>42439.445475</v>
      </c>
      <c r="G42" s="7">
        <f t="shared" si="9"/>
        <v>47495.001225</v>
      </c>
      <c r="H42" s="7">
        <f t="shared" si="9"/>
        <v>52550.556975</v>
      </c>
      <c r="I42" s="7">
        <f t="shared" si="9"/>
        <v>57606.112724999992</v>
      </c>
    </row>
    <row r="43" spans="1:14" x14ac:dyDescent="0.25">
      <c r="A43" s="2"/>
      <c r="D43" t="s">
        <v>318</v>
      </c>
      <c r="E43">
        <v>50000</v>
      </c>
      <c r="F43">
        <v>50000</v>
      </c>
      <c r="G43">
        <v>50000</v>
      </c>
      <c r="H43">
        <v>50000</v>
      </c>
      <c r="I43">
        <v>50000</v>
      </c>
    </row>
    <row r="44" spans="1:14" x14ac:dyDescent="0.25">
      <c r="A44" s="2"/>
    </row>
    <row r="45" spans="1:14" x14ac:dyDescent="0.25">
      <c r="A45" s="2"/>
    </row>
    <row r="46" spans="1:14" x14ac:dyDescent="0.25">
      <c r="A46" s="2"/>
    </row>
    <row r="47" spans="1:14" x14ac:dyDescent="0.25">
      <c r="A47" s="2"/>
    </row>
    <row r="48" spans="1:14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B19:B21" xr:uid="{F1B45340-F9EE-41B3-B1D4-DB371566B1F6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FB5CA25F-B2AC-4933-9A77-A1EB61F471E6}">
      <formula1>OFFSET(KHO_CAT_SAN_PHAM,1,0,,1)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56CFA-66DB-4FCF-B363-1EAA8F4AF513}">
  <sheetPr codeName="Trang_tính3"/>
  <dimension ref="A1:T65"/>
  <sheetViews>
    <sheetView topLeftCell="A19" workbookViewId="0">
      <selection activeCell="F23" sqref="F23"/>
    </sheetView>
  </sheetViews>
  <sheetFormatPr defaultRowHeight="15" x14ac:dyDescent="0.25"/>
  <cols>
    <col min="1" max="1" width="20" bestFit="1" customWidth="1"/>
    <col min="2" max="2" width="11.5703125" customWidth="1"/>
    <col min="3" max="3" width="14.85546875" bestFit="1" customWidth="1"/>
    <col min="4" max="4" width="15.85546875" bestFit="1" customWidth="1"/>
    <col min="5" max="5" width="18.28515625" bestFit="1" customWidth="1"/>
    <col min="6" max="6" width="15" bestFit="1" customWidth="1"/>
    <col min="7" max="8" width="15.85546875" bestFit="1" customWidth="1"/>
    <col min="9" max="9" width="15" bestFit="1" customWidth="1"/>
    <col min="10" max="11" width="13.28515625" bestFit="1" customWidth="1"/>
    <col min="12" max="14" width="14.85546875" bestFit="1" customWidth="1"/>
    <col min="18" max="18" width="14.140625" bestFit="1" customWidth="1"/>
  </cols>
  <sheetData>
    <row r="1" spans="1:5" x14ac:dyDescent="0.25">
      <c r="A1" t="s">
        <v>288</v>
      </c>
    </row>
    <row r="2" spans="1:5" x14ac:dyDescent="0.25">
      <c r="A2" t="s">
        <v>285</v>
      </c>
      <c r="B2" t="s">
        <v>289</v>
      </c>
    </row>
    <row r="3" spans="1:5" x14ac:dyDescent="0.25">
      <c r="A3" t="s">
        <v>290</v>
      </c>
      <c r="B3" t="s">
        <v>80</v>
      </c>
    </row>
    <row r="4" spans="1:5" x14ac:dyDescent="0.25">
      <c r="A4" t="s">
        <v>214</v>
      </c>
      <c r="B4" t="s">
        <v>291</v>
      </c>
    </row>
    <row r="5" spans="1:5" x14ac:dyDescent="0.25">
      <c r="A5" t="s">
        <v>286</v>
      </c>
      <c r="B5" t="s">
        <v>292</v>
      </c>
    </row>
    <row r="6" spans="1:5" x14ac:dyDescent="0.25">
      <c r="A6" t="s">
        <v>293</v>
      </c>
      <c r="B6" t="s">
        <v>294</v>
      </c>
    </row>
    <row r="9" spans="1:5" x14ac:dyDescent="0.25">
      <c r="A9" s="1" t="s">
        <v>287</v>
      </c>
      <c r="B9" t="s">
        <v>302</v>
      </c>
    </row>
    <row r="10" spans="1:5" x14ac:dyDescent="0.25">
      <c r="A10" t="s">
        <v>221</v>
      </c>
      <c r="B10" s="31">
        <v>43609</v>
      </c>
    </row>
    <row r="11" spans="1:5" x14ac:dyDescent="0.25">
      <c r="B11" t="s">
        <v>138</v>
      </c>
      <c r="C11" t="s">
        <v>139</v>
      </c>
    </row>
    <row r="12" spans="1:5" x14ac:dyDescent="0.25">
      <c r="A12" t="s">
        <v>208</v>
      </c>
      <c r="D12" t="s">
        <v>300</v>
      </c>
    </row>
    <row r="13" spans="1:5" x14ac:dyDescent="0.25">
      <c r="A13" t="s">
        <v>322</v>
      </c>
      <c r="B13">
        <v>15</v>
      </c>
      <c r="C13">
        <v>19</v>
      </c>
      <c r="D13">
        <v>0.3</v>
      </c>
    </row>
    <row r="15" spans="1:5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5" x14ac:dyDescent="0.25">
      <c r="A16" t="s">
        <v>219</v>
      </c>
      <c r="D16" s="1">
        <f>SoConTrenToLon($C$15,$D$15,$B$13+$D$13,$C$13+$D$13)</f>
        <v>4</v>
      </c>
      <c r="E16">
        <v>2</v>
      </c>
    </row>
    <row r="17" spans="1:20" x14ac:dyDescent="0.25">
      <c r="A17" t="s">
        <v>135</v>
      </c>
      <c r="D17" s="33">
        <v>0.75</v>
      </c>
      <c r="E17" s="34" t="s">
        <v>233</v>
      </c>
    </row>
    <row r="18" spans="1:20" x14ac:dyDescent="0.25">
      <c r="B18" t="s">
        <v>215</v>
      </c>
      <c r="C18" t="s">
        <v>216</v>
      </c>
      <c r="D18" t="s">
        <v>218</v>
      </c>
      <c r="E18" t="s">
        <v>217</v>
      </c>
    </row>
    <row r="19" spans="1:20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0" spans="1:20" x14ac:dyDescent="0.25">
      <c r="E20" s="7"/>
    </row>
    <row r="21" spans="1:20" ht="75" x14ac:dyDescent="0.25">
      <c r="E21" s="7"/>
      <c r="O21" s="2" t="s">
        <v>319</v>
      </c>
      <c r="P21" s="2" t="s">
        <v>308</v>
      </c>
      <c r="Q21" s="2"/>
      <c r="S21" s="2" t="s">
        <v>312</v>
      </c>
      <c r="T21" s="2" t="s">
        <v>308</v>
      </c>
    </row>
    <row r="22" spans="1:20" x14ac:dyDescent="0.25">
      <c r="A22" t="s">
        <v>305</v>
      </c>
      <c r="J22" s="37"/>
      <c r="N22" t="s">
        <v>309</v>
      </c>
      <c r="O22">
        <f>$A24*E$23/$D$16</f>
        <v>30</v>
      </c>
      <c r="P22">
        <f>$A24*E$23/$D$16*$E$16*2</f>
        <v>120</v>
      </c>
      <c r="R22" t="s">
        <v>311</v>
      </c>
      <c r="S22">
        <f>$A24*E23/$D$16*2</f>
        <v>60</v>
      </c>
    </row>
    <row r="23" spans="1:20" ht="45" x14ac:dyDescent="0.25">
      <c r="A23" s="19" t="s">
        <v>263</v>
      </c>
      <c r="B23" s="36" t="s">
        <v>262</v>
      </c>
      <c r="D23" t="s">
        <v>286</v>
      </c>
      <c r="E23">
        <v>10</v>
      </c>
      <c r="F23">
        <v>20</v>
      </c>
      <c r="G23">
        <v>30</v>
      </c>
      <c r="H23">
        <v>40</v>
      </c>
      <c r="I23">
        <v>50</v>
      </c>
      <c r="J23" s="41" t="s">
        <v>313</v>
      </c>
      <c r="N23" s="35" t="s">
        <v>306</v>
      </c>
      <c r="R23" s="35" t="s">
        <v>310</v>
      </c>
      <c r="S23">
        <f>PhiMayCanMang($A24*E23/$D$16*2, $C$15/100,$D$15/100)</f>
        <v>43913.725400000003</v>
      </c>
    </row>
    <row r="24" spans="1:20" x14ac:dyDescent="0.25">
      <c r="A24" s="2">
        <v>12</v>
      </c>
      <c r="B24">
        <f t="shared" ref="B24:B37" si="0">$A24*E$23</f>
        <v>120</v>
      </c>
      <c r="D24" t="s">
        <v>303</v>
      </c>
      <c r="E24" s="7">
        <f>LamChanHangNgan((PhiInKM4M_BHR70($A24*E$23/$D$16*$E$16)+$A24*E$23/$D$16*$D$19)*(1+$D$17))</f>
        <v>227000</v>
      </c>
      <c r="F24" s="7">
        <f>LamChanHangNgan((PhiInKM4M_BHR70($A24*F$23/$D$16*$E$16)+$A24*F$23/$D$16*$D$19)*(1+$D$17))</f>
        <v>368000</v>
      </c>
      <c r="G24" s="7">
        <f>LamChanHangNgan((PhiInKM4M_BHR70($A24*G$23/$D$16*$E$16)+$A24*G$23/$D$16*$D$19)*(1+$D$17))</f>
        <v>508000</v>
      </c>
      <c r="H24" s="7">
        <f>LamChanHangNgan((PhiInKM4M_BHR70($A24*H$23/$D$16*$E$16)+$A24*H$23/$D$16*$D$19)*(1+$D$17))</f>
        <v>648000</v>
      </c>
      <c r="I24" s="7">
        <f>LamChanHangNgan((PhiInKM4M_BHR70($A24*I$23/$D$16*$E$16)+$A24*I$23/$D$16*$D$19)*(1+$D$17))</f>
        <v>788000</v>
      </c>
      <c r="J24" s="7">
        <f>E24</f>
        <v>227000</v>
      </c>
      <c r="K24" s="7">
        <f t="shared" ref="K24:N24" si="1">F24</f>
        <v>368000</v>
      </c>
      <c r="L24" s="7">
        <f t="shared" si="1"/>
        <v>508000</v>
      </c>
      <c r="M24" s="7">
        <f t="shared" si="1"/>
        <v>648000</v>
      </c>
      <c r="N24" s="7">
        <f t="shared" si="1"/>
        <v>788000</v>
      </c>
      <c r="R24" s="7"/>
    </row>
    <row r="25" spans="1:20" x14ac:dyDescent="0.25">
      <c r="A25" s="38">
        <v>12</v>
      </c>
      <c r="B25" s="39">
        <f t="shared" si="0"/>
        <v>120</v>
      </c>
      <c r="C25" s="39"/>
      <c r="D25" s="39" t="s">
        <v>304</v>
      </c>
      <c r="J25" s="40">
        <f>LamChanHangNgan((PhiInKM4M_BHR70($A25*E$23/$D$16*$E$16)+$A24*E$23/$D$16*$D$19+PhiMayCanMang($A25*E$23/$D$16*2, $C$15/100,$D$15/100))*(1+$D$17))</f>
        <v>304000</v>
      </c>
      <c r="K25" s="40">
        <f>LamChanHangNgan((PhiInKM4M_BHR70($A25*F$23/$D$16*$E$16)+$A24*F$23/$D$16*$D$19+PhiMayCanMang($A25*F$23/$D$16*2, $C$15/100,$D$15/100))*(1+$D$17))</f>
        <v>457000</v>
      </c>
      <c r="L25" s="40">
        <f>LamChanHangNgan((PhiInKM4M_BHR70($A25*G$23/$D$16*$E$16)+$A24*G$23/$D$16*$D$19+PhiMayCanMang($A25*G$23/$D$16*2, $C$15/100,$D$15/100))*(1+$D$17))</f>
        <v>611000</v>
      </c>
      <c r="M25" s="40">
        <f>LamChanHangNgan((PhiInKM4M_BHR70($A25*H$23/$D$16*$E$16)+$A24*H$23/$D$16*$D$19+PhiMayCanMang($A25*H$23/$D$16*2, $C$15/100,$D$15/100))*(1+$D$17))</f>
        <v>763000</v>
      </c>
      <c r="N25" s="40">
        <f>LamChanHangNgan((PhiInKM4M_BHR70($A25*I$23/$D$16*$E$16)+$A24*I$23/$D$16*$D$19+PhiMayCanMang($A25*I$23/$D$16*2, $C$15/100,$D$15/100))*(1+$D$17))</f>
        <v>916000</v>
      </c>
    </row>
    <row r="26" spans="1:20" x14ac:dyDescent="0.25">
      <c r="A26" s="2">
        <v>14</v>
      </c>
      <c r="B26">
        <f t="shared" si="0"/>
        <v>140</v>
      </c>
      <c r="D26" t="s">
        <v>303</v>
      </c>
      <c r="E26" s="7">
        <f>LamChanHangNgan((PhiInKM4M_BHR70($A26*E$23/$D$16*$E$16)+$A26*E$23/$D$16*$D$19)*(1+$D$17))</f>
        <v>251000</v>
      </c>
      <c r="F26" s="7">
        <f>LamChanHangNgan((PhiInKM4M_BHR70($A26*F$23/$D$16*$E$16)+$A26*F$23/$D$16*$D$19)*(1+$D$17))</f>
        <v>414000</v>
      </c>
      <c r="G26" s="7">
        <f>LamChanHangNgan((PhiInKM4M_BHR70($A26*G$23/$D$16*$E$16)+$A26*G$23/$D$16*$D$19)*(1+$D$17))</f>
        <v>578000</v>
      </c>
      <c r="H26" s="7">
        <f>LamChanHangNgan((PhiInKM4M_BHR70($A26*H$23/$D$16*$E$16)+$A26*H$23/$D$16*$D$19)*(1+$D$17))</f>
        <v>742000</v>
      </c>
      <c r="I26" s="7">
        <f>LamChanHangNgan((PhiInKM4M_BHR70($A26*I$23/$D$16*$E$16)+$A26*I$23/$D$16*$D$19)*(1+$D$17))</f>
        <v>905000</v>
      </c>
      <c r="J26" s="7">
        <f>E26</f>
        <v>251000</v>
      </c>
      <c r="K26" s="7">
        <f t="shared" ref="K26:N26" si="2">F26</f>
        <v>414000</v>
      </c>
      <c r="L26" s="7">
        <f t="shared" si="2"/>
        <v>578000</v>
      </c>
      <c r="M26" s="7">
        <f t="shared" si="2"/>
        <v>742000</v>
      </c>
      <c r="N26" s="7">
        <f t="shared" si="2"/>
        <v>905000</v>
      </c>
    </row>
    <row r="27" spans="1:20" x14ac:dyDescent="0.25">
      <c r="A27" s="38">
        <v>14</v>
      </c>
      <c r="B27" s="39">
        <f t="shared" si="0"/>
        <v>140</v>
      </c>
      <c r="C27" s="39"/>
      <c r="D27" s="39" t="s">
        <v>304</v>
      </c>
      <c r="E27" s="40"/>
      <c r="F27" s="40"/>
      <c r="G27" s="40"/>
      <c r="H27" s="40"/>
      <c r="I27" s="40"/>
      <c r="J27" s="40">
        <f>LamChanHangNgan((PhiInKM4M_BHR70($A27*E$23/$D$16*$E$16)+$A26*E$23/$D$16*$D$19+PhiMayCanMang($A27*E$23/$D$16*2, $C$15/100,$D$15/100))*(1+$D$17))</f>
        <v>330000</v>
      </c>
      <c r="K27" s="40">
        <f>LamChanHangNgan((PhiInKM4M_BHR70($A27*F$23/$D$16*$E$16)+$A26*F$23/$D$16*$D$19+PhiMayCanMang($A27*F$23/$D$16*2, $C$15/100,$D$15/100))*(1+$D$17))</f>
        <v>508000</v>
      </c>
      <c r="L27" s="40">
        <f>LamChanHangNgan((PhiInKM4M_BHR70($A27*G$23/$D$16*$E$16)+$A26*G$23/$D$16*$D$19+PhiMayCanMang($A27*G$23/$D$16*2, $C$15/100,$D$15/100))*(1+$D$17))</f>
        <v>687000</v>
      </c>
      <c r="M27" s="40">
        <f>LamChanHangNgan((PhiInKM4M_BHR70($A27*H$23/$D$16*$E$16)+$A26*H$23/$D$16*$D$19+PhiMayCanMang($A27*H$23/$D$16*2, $C$15/100,$D$15/100))*(1+$D$17))</f>
        <v>866000</v>
      </c>
      <c r="N27" s="40">
        <f>LamChanHangNgan((PhiInKM4M_BHR70($A27*I$23/$D$16*$E$16)+$A26*I$23/$D$16*$D$19+PhiMayCanMang($A27*I$23/$D$16*2, $C$15/100,$D$15/100))*(1+$D$17))</f>
        <v>1044000</v>
      </c>
    </row>
    <row r="28" spans="1:20" x14ac:dyDescent="0.25">
      <c r="A28" s="2">
        <v>16</v>
      </c>
      <c r="B28">
        <f t="shared" si="0"/>
        <v>160</v>
      </c>
      <c r="D28" t="s">
        <v>303</v>
      </c>
      <c r="E28" s="7">
        <f>LamChanHangNgan((PhiInKM4M_BHR70($A28*E$23/$D$16*$E$16)+$A28*E$23/$D$16*$D$19)*(1+$D$17))</f>
        <v>274000</v>
      </c>
      <c r="F28" s="7">
        <f>LamChanHangNgan((PhiInKM4M_BHR70($A28*F$23/$D$16*$E$16)+$A28*F$23/$D$16*$D$19)*(1+$D$17))</f>
        <v>461000</v>
      </c>
      <c r="G28" s="7">
        <f>LamChanHangNgan((PhiInKM4M_BHR70($A28*G$23/$D$16*$E$16)+$A28*G$23/$D$16*$D$19)*(1+$D$17))</f>
        <v>648000</v>
      </c>
      <c r="H28" s="7">
        <f>LamChanHangNgan((PhiInKM4M_BHR70($A28*H$23/$D$16*$E$16)+$A28*H$23/$D$16*$D$19)*(1+$D$17))</f>
        <v>835000</v>
      </c>
      <c r="I28" s="7">
        <f>LamChanHangNgan((PhiInKM4M_BHR70($A28*I$23/$D$16*$E$16)+$A28*I$23/$D$16*$D$19)*(1+$D$17))</f>
        <v>1022000</v>
      </c>
      <c r="J28" s="7">
        <f>E28</f>
        <v>274000</v>
      </c>
      <c r="K28" s="7">
        <f t="shared" ref="K28:N28" si="3">F28</f>
        <v>461000</v>
      </c>
      <c r="L28" s="7">
        <f t="shared" si="3"/>
        <v>648000</v>
      </c>
      <c r="M28" s="7">
        <f t="shared" si="3"/>
        <v>835000</v>
      </c>
      <c r="N28" s="7">
        <f t="shared" si="3"/>
        <v>1022000</v>
      </c>
    </row>
    <row r="29" spans="1:20" x14ac:dyDescent="0.25">
      <c r="A29" s="38">
        <v>16</v>
      </c>
      <c r="B29" s="39">
        <f t="shared" si="0"/>
        <v>160</v>
      </c>
      <c r="C29" s="39"/>
      <c r="D29" s="39" t="s">
        <v>304</v>
      </c>
      <c r="E29" s="40"/>
      <c r="F29" s="40"/>
      <c r="G29" s="40"/>
      <c r="H29" s="40"/>
      <c r="I29" s="40"/>
      <c r="J29" s="40">
        <f>LamChanHangNgan((PhiInKM4M_BHR70($A29*E$23/$D$16*$E$16)+$A28*E$23/$D$16*$D$19+PhiMayCanMang($A29*E$23/$D$16*2, $C$15/100,$D$15/100))*(1+$D$17))</f>
        <v>355000</v>
      </c>
      <c r="K29" s="40">
        <f>LamChanHangNgan((PhiInKM4M_BHR70($A29*F$23/$D$16*$E$16)+$A28*F$23/$D$16*$D$19+PhiMayCanMang($A29*F$23/$D$16*2, $C$15/100,$D$15/100))*(1+$D$17))</f>
        <v>559000</v>
      </c>
      <c r="L29" s="40">
        <f>LamChanHangNgan((PhiInKM4M_BHR70($A29*G$23/$D$16*$E$16)+$A28*G$23/$D$16*$D$19+PhiMayCanMang($A29*G$23/$D$16*2, $C$15/100,$D$15/100))*(1+$D$17))</f>
        <v>763000</v>
      </c>
      <c r="M29" s="40">
        <f>LamChanHangNgan((PhiInKM4M_BHR70($A29*H$23/$D$16*$E$16)+$A28*H$23/$D$16*$D$19+PhiMayCanMang($A29*H$23/$D$16*2, $C$15/100,$D$15/100))*(1+$D$17))</f>
        <v>967000</v>
      </c>
      <c r="N29" s="40">
        <f>LamChanHangNgan((PhiInKM4M_BHR70($A29*I$23/$D$16*$E$16)+$A28*I$23/$D$16*$D$19+PhiMayCanMang($A29*I$23/$D$16*2, $C$15/100,$D$15/100))*(1+$D$17))</f>
        <v>1172000</v>
      </c>
    </row>
    <row r="30" spans="1:20" x14ac:dyDescent="0.25">
      <c r="A30" s="2">
        <v>18</v>
      </c>
      <c r="B30">
        <f t="shared" si="0"/>
        <v>180</v>
      </c>
      <c r="D30" t="s">
        <v>303</v>
      </c>
      <c r="E30" s="7">
        <f>LamChanHangNgan((PhiInKM4M_BHR70($A30*E$23/$D$16*$E$16)+$A30*E$23/$D$16*$D$19)*(1+$D$17))</f>
        <v>297000</v>
      </c>
      <c r="F30" s="7">
        <f>LamChanHangNgan((PhiInKM4M_BHR70($A30*F$23/$D$16*$E$16)+$A30*F$23/$D$16*$D$19)*(1+$D$17))</f>
        <v>508000</v>
      </c>
      <c r="G30" s="7">
        <f>LamChanHangNgan((PhiInKM4M_BHR70($A30*G$23/$D$16*$E$16)+$A30*G$23/$D$16*$D$19)*(1+$D$17))</f>
        <v>718000</v>
      </c>
      <c r="H30" s="7">
        <f>LamChanHangNgan((PhiInKM4M_BHR70($A30*H$23/$D$16*$E$16)+$A30*H$23/$D$16*$D$19)*(1+$D$17))</f>
        <v>929000</v>
      </c>
      <c r="I30" s="7">
        <f>LamChanHangNgan((PhiInKM4M_BHR70($A30*I$23/$D$16*$E$16)+$A30*I$23/$D$16*$D$19)*(1+$D$17))</f>
        <v>1139000</v>
      </c>
      <c r="J30" s="7">
        <f>E30</f>
        <v>297000</v>
      </c>
      <c r="K30" s="7">
        <f t="shared" ref="K30:N30" si="4">F30</f>
        <v>508000</v>
      </c>
      <c r="L30" s="7">
        <f t="shared" si="4"/>
        <v>718000</v>
      </c>
      <c r="M30" s="7">
        <f t="shared" si="4"/>
        <v>929000</v>
      </c>
      <c r="N30" s="7">
        <f t="shared" si="4"/>
        <v>1139000</v>
      </c>
    </row>
    <row r="31" spans="1:20" x14ac:dyDescent="0.25">
      <c r="A31" s="38">
        <v>18</v>
      </c>
      <c r="B31" s="39">
        <f t="shared" si="0"/>
        <v>180</v>
      </c>
      <c r="C31" s="39"/>
      <c r="D31" s="39" t="s">
        <v>304</v>
      </c>
      <c r="E31" s="40"/>
      <c r="F31" s="40"/>
      <c r="G31" s="40"/>
      <c r="H31" s="40"/>
      <c r="I31" s="40"/>
      <c r="J31" s="40">
        <f>LamChanHangNgan((PhiInKM4M_BHR70($A31*E$23/$D$16*$E$16)+$A30*E$23/$D$16*$D$19+PhiMayCanMang($A31*E$23/$D$16*2, $C$15/100,$D$15/100))*(1+$D$17))</f>
        <v>381000</v>
      </c>
      <c r="K31" s="40">
        <f>LamChanHangNgan((PhiInKM4M_BHR70($A31*F$23/$D$16*$E$16)+$A30*F$23/$D$16*$D$19+PhiMayCanMang($A31*F$23/$D$16*2, $C$15/100,$D$15/100))*(1+$D$17))</f>
        <v>611000</v>
      </c>
      <c r="L31" s="40">
        <f>LamChanHangNgan((PhiInKM4M_BHR70($A31*G$23/$D$16*$E$16)+$A30*G$23/$D$16*$D$19+PhiMayCanMang($A31*G$23/$D$16*2, $C$15/100,$D$15/100))*(1+$D$17))</f>
        <v>840000</v>
      </c>
      <c r="M31" s="40">
        <f>LamChanHangNgan((PhiInKM4M_BHR70($A31*H$23/$D$16*$E$16)+$A30*H$23/$D$16*$D$19+PhiMayCanMang($A31*H$23/$D$16*2, $C$15/100,$D$15/100))*(1+$D$17))</f>
        <v>1069000</v>
      </c>
      <c r="N31" s="40">
        <f>LamChanHangNgan((PhiInKM4M_BHR70($A31*I$23/$D$16*$E$16)+$A30*I$23/$D$16*$D$19+PhiMayCanMang($A31*I$23/$D$16*2, $C$15/100,$D$15/100))*(1+$D$17))</f>
        <v>1299000</v>
      </c>
    </row>
    <row r="32" spans="1:20" x14ac:dyDescent="0.25">
      <c r="A32" s="2">
        <v>20</v>
      </c>
      <c r="B32">
        <f t="shared" si="0"/>
        <v>200</v>
      </c>
      <c r="D32" t="s">
        <v>303</v>
      </c>
      <c r="E32" s="7">
        <f>LamChanHangNgan((PhiInKM4M_BHR70($A32*E$23/$D$16*$E$16)+$A32*E$23/$D$16*$D$19)*(1+$D$17))</f>
        <v>321000</v>
      </c>
      <c r="F32" s="7">
        <f>LamChanHangNgan((PhiInKM4M_BHR70($A32*F$23/$D$16*$E$16)+$A32*F$23/$D$16*$D$19)*(1+$D$17))</f>
        <v>555000</v>
      </c>
      <c r="G32" s="7">
        <f>LamChanHangNgan((PhiInKM4M_BHR70($A32*G$23/$D$16*$E$16)+$A32*G$23/$D$16*$D$19)*(1+$D$17))</f>
        <v>788000</v>
      </c>
      <c r="H32" s="7">
        <f>LamChanHangNgan((PhiInKM4M_BHR70($A32*H$23/$D$16*$E$16)+$A32*H$23/$D$16*$D$19)*(1+$D$17))</f>
        <v>1022000</v>
      </c>
      <c r="I32" s="7">
        <f>LamChanHangNgan((PhiInKM4M_BHR70($A32*I$23/$D$16*$E$16)+$A32*I$23/$D$16*$D$19)*(1+$D$17))</f>
        <v>1256000</v>
      </c>
      <c r="J32" s="7">
        <f>E32</f>
        <v>321000</v>
      </c>
      <c r="K32" s="7">
        <f t="shared" ref="K32:N32" si="5">F32</f>
        <v>555000</v>
      </c>
      <c r="L32" s="7">
        <f t="shared" si="5"/>
        <v>788000</v>
      </c>
      <c r="M32" s="7">
        <f t="shared" si="5"/>
        <v>1022000</v>
      </c>
      <c r="N32" s="7">
        <f t="shared" si="5"/>
        <v>1256000</v>
      </c>
    </row>
    <row r="33" spans="1:14" x14ac:dyDescent="0.25">
      <c r="A33" s="38">
        <v>20</v>
      </c>
      <c r="B33" s="39">
        <f t="shared" si="0"/>
        <v>200</v>
      </c>
      <c r="C33" s="39"/>
      <c r="D33" s="39" t="s">
        <v>304</v>
      </c>
      <c r="E33" s="40"/>
      <c r="F33" s="40"/>
      <c r="G33" s="40"/>
      <c r="H33" s="40"/>
      <c r="I33" s="40"/>
      <c r="J33" s="40">
        <f>LamChanHangNgan((PhiInKM4M_BHR70($A33*E$23/$D$16*$E$16)+$A32*E$23/$D$16*$D$19+PhiMayCanMang($A33*E$23/$D$16*2, $C$15/100,$D$15/100))*(1+$D$17))</f>
        <v>406000</v>
      </c>
      <c r="K33" s="40">
        <f>LamChanHangNgan((PhiInKM4M_BHR70($A33*F$23/$D$16*$E$16)+$A32*F$23/$D$16*$D$19+PhiMayCanMang($A33*F$23/$D$16*2, $C$15/100,$D$15/100))*(1+$D$17))</f>
        <v>661000</v>
      </c>
      <c r="L33" s="40">
        <f>LamChanHangNgan((PhiInKM4M_BHR70($A33*G$23/$D$16*$E$16)+$A32*G$23/$D$16*$D$19+PhiMayCanMang($A33*G$23/$D$16*2, $C$15/100,$D$15/100))*(1+$D$17))</f>
        <v>916000</v>
      </c>
      <c r="M33" s="40">
        <f>LamChanHangNgan((PhiInKM4M_BHR70($A33*H$23/$D$16*$E$16)+$A32*H$23/$D$16*$D$19+PhiMayCanMang($A33*H$23/$D$16*2, $C$15/100,$D$15/100))*(1+$D$17))</f>
        <v>1172000</v>
      </c>
      <c r="N33" s="40">
        <f>LamChanHangNgan((PhiInKM4M_BHR70($A33*I$23/$D$16*$E$16)+$A32*I$23/$D$16*$D$19+PhiMayCanMang($A33*I$23/$D$16*2, $C$15/100,$D$15/100))*(1+$D$17))</f>
        <v>1427000</v>
      </c>
    </row>
    <row r="34" spans="1:14" x14ac:dyDescent="0.25">
      <c r="A34" s="2">
        <v>22</v>
      </c>
      <c r="B34">
        <f t="shared" si="0"/>
        <v>220</v>
      </c>
      <c r="D34" t="s">
        <v>303</v>
      </c>
      <c r="E34" s="7">
        <f>LamChanHangNgan((PhiInKM4M_BHR70($A34*E$23/$D$16*$E$16)+$A34*E$23/$D$16*$D$19)*(1+$D$17))</f>
        <v>344000</v>
      </c>
      <c r="F34" s="7">
        <f>LamChanHangNgan((PhiInKM4M_BHR70($A34*F$23/$D$16*$E$16)+$A34*F$23/$D$16*$D$19)*(1+$D$17))</f>
        <v>601000</v>
      </c>
      <c r="G34" s="7">
        <f>LamChanHangNgan((PhiInKM4M_BHR70($A34*G$23/$D$16*$E$16)+$A34*G$23/$D$16*$D$19)*(1+$D$17))</f>
        <v>859000</v>
      </c>
      <c r="H34" s="7">
        <f>LamChanHangNgan((PhiInKM4M_BHR70($A34*H$23/$D$16*$E$16)+$A34*H$23/$D$16*$D$19)*(1+$D$17))</f>
        <v>1116000</v>
      </c>
      <c r="I34" s="7">
        <f>LamChanHangNgan((PhiInKM4M_BHR70($A34*I$23/$D$16*$E$16)+$A34*I$23/$D$16*$D$19)*(1+$D$17))</f>
        <v>1373000</v>
      </c>
      <c r="J34" s="7">
        <f>E34</f>
        <v>344000</v>
      </c>
      <c r="K34" s="7">
        <f t="shared" ref="K34:N34" si="6">F34</f>
        <v>601000</v>
      </c>
      <c r="L34" s="7">
        <f t="shared" si="6"/>
        <v>859000</v>
      </c>
      <c r="M34" s="7">
        <f t="shared" si="6"/>
        <v>1116000</v>
      </c>
      <c r="N34" s="7">
        <f t="shared" si="6"/>
        <v>1373000</v>
      </c>
    </row>
    <row r="35" spans="1:14" x14ac:dyDescent="0.25">
      <c r="A35" s="38">
        <v>22</v>
      </c>
      <c r="B35" s="39">
        <f t="shared" si="0"/>
        <v>220</v>
      </c>
      <c r="C35" s="39"/>
      <c r="D35" s="39" t="s">
        <v>304</v>
      </c>
      <c r="E35" s="40"/>
      <c r="F35" s="40"/>
      <c r="G35" s="40"/>
      <c r="H35" s="40"/>
      <c r="I35" s="40"/>
      <c r="J35" s="40">
        <f>LamChanHangNgan((PhiInKM4M_BHR70($A35*E$23/$D$16*$E$16)+$A34*E$23/$D$16*$D$19+PhiMayCanMang($A35*E$23/$D$16*2, $C$15/100,$D$15/100))*(1+$D$17))</f>
        <v>432000</v>
      </c>
      <c r="K35" s="40">
        <f>LamChanHangNgan((PhiInKM4M_BHR70($A35*F$23/$D$16*$E$16)+$A34*F$23/$D$16*$D$19+PhiMayCanMang($A35*F$23/$D$16*2, $C$15/100,$D$15/100))*(1+$D$17))</f>
        <v>712000</v>
      </c>
      <c r="L35" s="40">
        <f>LamChanHangNgan((PhiInKM4M_BHR70($A35*G$23/$D$16*$E$16)+$A34*G$23/$D$16*$D$19+PhiMayCanMang($A35*G$23/$D$16*2, $C$15/100,$D$15/100))*(1+$D$17))</f>
        <v>993000</v>
      </c>
      <c r="M35" s="40">
        <f>LamChanHangNgan((PhiInKM4M_BHR70($A35*H$23/$D$16*$E$16)+$A34*H$23/$D$16*$D$19+PhiMayCanMang($A35*H$23/$D$16*2, $C$15/100,$D$15/100))*(1+$D$17))</f>
        <v>1274000</v>
      </c>
      <c r="N35" s="40">
        <f>LamChanHangNgan((PhiInKM4M_BHR70($A35*I$23/$D$16*$E$16)+$A34*I$23/$D$16*$D$19+PhiMayCanMang($A35*I$23/$D$16*2, $C$15/100,$D$15/100))*(1+$D$17))</f>
        <v>1554000</v>
      </c>
    </row>
    <row r="36" spans="1:14" x14ac:dyDescent="0.25">
      <c r="A36" s="2">
        <v>24</v>
      </c>
      <c r="B36">
        <f t="shared" si="0"/>
        <v>240</v>
      </c>
      <c r="D36" t="s">
        <v>303</v>
      </c>
      <c r="E36" s="7">
        <f>LamChanHangNgan((PhiInKM4M_BHR70($A36*E$23/$D$16*$E$16)+$A36*E$23/$D$16*$D$19)*(1+$D$17))</f>
        <v>368000</v>
      </c>
      <c r="F36" s="7">
        <f>LamChanHangNgan((PhiInKM4M_BHR70($A36*F$23/$D$16*$E$16)+$A36*F$23/$D$16*$D$19)*(1+$D$17))</f>
        <v>648000</v>
      </c>
      <c r="G36" s="7">
        <f>LamChanHangNgan((PhiInKM4M_BHR70($A36*G$23/$D$16*$E$16)+$A36*G$23/$D$16*$D$19)*(1+$D$17))</f>
        <v>929000</v>
      </c>
      <c r="H36" s="7">
        <f>LamChanHangNgan((PhiInKM4M_BHR70($A36*H$23/$D$16*$E$16)+$A36*H$23/$D$16*$D$19)*(1+$D$17))</f>
        <v>1209000</v>
      </c>
      <c r="I36" s="7">
        <f>LamChanHangNgan((PhiInKM4M_BHR70($A36*I$23/$D$16*$E$16)+$A36*I$23/$D$16*$D$19)*(1+$D$17))</f>
        <v>1490000</v>
      </c>
      <c r="J36" s="7">
        <f>E36</f>
        <v>368000</v>
      </c>
      <c r="K36" s="7">
        <f t="shared" ref="K36:N36" si="7">F36</f>
        <v>648000</v>
      </c>
      <c r="L36" s="7">
        <f t="shared" si="7"/>
        <v>929000</v>
      </c>
      <c r="M36" s="7">
        <f t="shared" si="7"/>
        <v>1209000</v>
      </c>
      <c r="N36" s="7">
        <f t="shared" si="7"/>
        <v>1490000</v>
      </c>
    </row>
    <row r="37" spans="1:14" x14ac:dyDescent="0.25">
      <c r="A37" s="38">
        <v>24</v>
      </c>
      <c r="B37" s="39">
        <f t="shared" si="0"/>
        <v>240</v>
      </c>
      <c r="C37" s="39"/>
      <c r="D37" s="39" t="s">
        <v>304</v>
      </c>
      <c r="E37" s="40"/>
      <c r="F37" s="40"/>
      <c r="G37" s="40"/>
      <c r="H37" s="40"/>
      <c r="I37" s="40"/>
      <c r="J37" s="40">
        <f>LamChanHangNgan((PhiInKM4M_BHR70($A37*E$23/$D$16*$E$16)+$A36*E$23/$D$16*$D$19+PhiMayCanMang($A37*E$23/$D$16*2, $C$15/100,$D$15/100))*(1+$D$17))</f>
        <v>457000</v>
      </c>
      <c r="K37" s="40">
        <f>LamChanHangNgan((PhiInKM4M_BHR70($A37*F$23/$D$16*$E$16)+$A36*F$23/$D$16*$D$19+PhiMayCanMang($A37*F$23/$D$16*2, $C$15/100,$D$15/100))*(1+$D$17))</f>
        <v>763000</v>
      </c>
      <c r="L37" s="40">
        <f>LamChanHangNgan((PhiInKM4M_BHR70($A37*G$23/$D$16*$E$16)+$A36*G$23/$D$16*$D$19+PhiMayCanMang($A37*G$23/$D$16*2, $C$15/100,$D$15/100))*(1+$D$17))</f>
        <v>1069000</v>
      </c>
      <c r="M37" s="40">
        <f>LamChanHangNgan((PhiInKM4M_BHR70($A37*H$23/$D$16*$E$16)+$A36*H$23/$D$16*$D$19+PhiMayCanMang($A37*H$23/$D$16*2, $C$15/100,$D$15/100))*(1+$D$17))</f>
        <v>1376000</v>
      </c>
      <c r="N37" s="40">
        <f>LamChanHangNgan((PhiInKM4M_BHR70($A37*I$23/$D$16*$E$16)+$A36*I$23/$D$16*$D$19+PhiMayCanMang($A37*I$23/$D$16*2, $C$15/100,$D$15/100))*(1+$D$17))</f>
        <v>1682000</v>
      </c>
    </row>
    <row r="38" spans="1:14" x14ac:dyDescent="0.25">
      <c r="A38" s="2"/>
      <c r="C38" s="7"/>
      <c r="D38" s="7"/>
      <c r="E38" s="7"/>
      <c r="F38" s="7"/>
      <c r="G38" s="7"/>
      <c r="H38" s="7"/>
    </row>
    <row r="39" spans="1:14" x14ac:dyDescent="0.25">
      <c r="A39" s="2"/>
    </row>
    <row r="40" spans="1:14" x14ac:dyDescent="0.25">
      <c r="A40" s="2" t="s">
        <v>314</v>
      </c>
    </row>
    <row r="41" spans="1:14" x14ac:dyDescent="0.25">
      <c r="A41" s="2" t="s">
        <v>315</v>
      </c>
      <c r="B41">
        <v>6000</v>
      </c>
      <c r="D41" t="s">
        <v>316</v>
      </c>
      <c r="E41" s="7">
        <f>PhiLDPT_XepDotVoCuonLX(E$23)+$B$41*$C$13/100</f>
        <v>21362.2228</v>
      </c>
      <c r="F41" s="7">
        <f t="shared" ref="F41:I41" si="8">PhiLDPT_XepDotVoCuonLX(F$23)+$B$41*$C$13/100</f>
        <v>24251.111700000001</v>
      </c>
      <c r="G41" s="7">
        <f t="shared" si="8"/>
        <v>27140.000700000001</v>
      </c>
      <c r="H41" s="7">
        <f t="shared" si="8"/>
        <v>30028.8897</v>
      </c>
      <c r="I41" s="7">
        <f t="shared" si="8"/>
        <v>32917.778699999995</v>
      </c>
    </row>
    <row r="42" spans="1:14" x14ac:dyDescent="0.25">
      <c r="A42" s="2"/>
      <c r="D42" t="s">
        <v>317</v>
      </c>
      <c r="E42" s="7">
        <f>E$41*(1+$D$17)</f>
        <v>37383.889900000002</v>
      </c>
      <c r="F42" s="7">
        <f t="shared" ref="F42:I42" si="9">F$41*(1+$D$17)</f>
        <v>42439.445475</v>
      </c>
      <c r="G42" s="7">
        <f t="shared" si="9"/>
        <v>47495.001225</v>
      </c>
      <c r="H42" s="7">
        <f t="shared" si="9"/>
        <v>52550.556975</v>
      </c>
      <c r="I42" s="7">
        <f t="shared" si="9"/>
        <v>57606.112724999992</v>
      </c>
    </row>
    <row r="43" spans="1:14" x14ac:dyDescent="0.25">
      <c r="A43" s="2"/>
      <c r="D43" t="s">
        <v>318</v>
      </c>
      <c r="E43">
        <v>50000</v>
      </c>
      <c r="F43">
        <v>50000</v>
      </c>
      <c r="G43">
        <v>50000</v>
      </c>
      <c r="H43">
        <v>50000</v>
      </c>
      <c r="I43">
        <v>50000</v>
      </c>
    </row>
    <row r="44" spans="1:14" x14ac:dyDescent="0.25">
      <c r="A44" s="2"/>
    </row>
    <row r="45" spans="1:14" x14ac:dyDescent="0.25">
      <c r="A45" s="2"/>
    </row>
    <row r="46" spans="1:14" x14ac:dyDescent="0.25">
      <c r="A46" s="2"/>
    </row>
    <row r="47" spans="1:14" x14ac:dyDescent="0.25">
      <c r="A47" s="2"/>
    </row>
    <row r="48" spans="1:14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</sheetData>
  <dataValidations count="2">
    <dataValidation type="list" allowBlank="1" showInputMessage="1" showErrorMessage="1" errorTitle="Lỗi" error="Vui lòng chọn dữ liệu trong danh sách._x000d__x000a_(Add-in A-Tools Tác giả: Nguyễn Duy Tuân - http://bluesofts.net)" sqref="A13" xr:uid="{0EE96482-E64B-4E39-BCE7-417594A230BA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9:B21" xr:uid="{686037AE-E91E-4AE5-AA5E-C5F6F3F340FF}">
      <formula1>OFFSET(GIA_GIAY_CO_BAN,1,0,,1)</formula1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8A674-A506-4793-BD34-5CBEDF24A027}">
  <sheetPr codeName="Trang_tính4"/>
  <dimension ref="A1:T65"/>
  <sheetViews>
    <sheetView topLeftCell="A22" workbookViewId="0">
      <selection activeCell="D41" sqref="D41:I43"/>
    </sheetView>
  </sheetViews>
  <sheetFormatPr defaultRowHeight="15" x14ac:dyDescent="0.25"/>
  <cols>
    <col min="1" max="1" width="20" bestFit="1" customWidth="1"/>
    <col min="2" max="2" width="11.5703125" customWidth="1"/>
    <col min="3" max="3" width="14.85546875" bestFit="1" customWidth="1"/>
    <col min="4" max="4" width="15.85546875" bestFit="1" customWidth="1"/>
    <col min="5" max="5" width="18.28515625" bestFit="1" customWidth="1"/>
    <col min="6" max="6" width="15" bestFit="1" customWidth="1"/>
    <col min="7" max="8" width="15.85546875" bestFit="1" customWidth="1"/>
    <col min="9" max="9" width="15" bestFit="1" customWidth="1"/>
    <col min="10" max="11" width="13.28515625" bestFit="1" customWidth="1"/>
    <col min="12" max="14" width="14.85546875" bestFit="1" customWidth="1"/>
    <col min="18" max="18" width="14.140625" bestFit="1" customWidth="1"/>
  </cols>
  <sheetData>
    <row r="1" spans="1:5" x14ac:dyDescent="0.25">
      <c r="A1" t="s">
        <v>288</v>
      </c>
    </row>
    <row r="2" spans="1:5" x14ac:dyDescent="0.25">
      <c r="A2" t="s">
        <v>285</v>
      </c>
      <c r="B2" t="s">
        <v>289</v>
      </c>
    </row>
    <row r="3" spans="1:5" x14ac:dyDescent="0.25">
      <c r="A3" t="s">
        <v>290</v>
      </c>
      <c r="B3" t="s">
        <v>80</v>
      </c>
    </row>
    <row r="4" spans="1:5" x14ac:dyDescent="0.25">
      <c r="A4" t="s">
        <v>214</v>
      </c>
      <c r="B4" t="s">
        <v>291</v>
      </c>
    </row>
    <row r="5" spans="1:5" x14ac:dyDescent="0.25">
      <c r="A5" t="s">
        <v>286</v>
      </c>
      <c r="B5" t="s">
        <v>292</v>
      </c>
    </row>
    <row r="6" spans="1:5" x14ac:dyDescent="0.25">
      <c r="A6" t="s">
        <v>293</v>
      </c>
      <c r="B6" t="s">
        <v>294</v>
      </c>
    </row>
    <row r="9" spans="1:5" x14ac:dyDescent="0.25">
      <c r="A9" s="1" t="s">
        <v>287</v>
      </c>
      <c r="B9" t="s">
        <v>302</v>
      </c>
    </row>
    <row r="10" spans="1:5" x14ac:dyDescent="0.25">
      <c r="A10" t="s">
        <v>221</v>
      </c>
      <c r="B10" s="31">
        <v>43609</v>
      </c>
    </row>
    <row r="11" spans="1:5" x14ac:dyDescent="0.25">
      <c r="B11" t="s">
        <v>138</v>
      </c>
      <c r="C11" t="s">
        <v>139</v>
      </c>
    </row>
    <row r="12" spans="1:5" x14ac:dyDescent="0.25">
      <c r="A12" t="s">
        <v>208</v>
      </c>
      <c r="D12" t="s">
        <v>300</v>
      </c>
    </row>
    <row r="13" spans="1:5" x14ac:dyDescent="0.25">
      <c r="A13" t="s">
        <v>323</v>
      </c>
      <c r="B13">
        <v>19</v>
      </c>
      <c r="C13">
        <v>30</v>
      </c>
      <c r="D13">
        <v>0.3</v>
      </c>
    </row>
    <row r="15" spans="1:5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5" x14ac:dyDescent="0.25">
      <c r="A16" t="s">
        <v>219</v>
      </c>
      <c r="D16" s="1">
        <f>SoConTrenToLon($C$15,$D$15,$B$13+$D$13,$C$13+$D$13)</f>
        <v>2</v>
      </c>
      <c r="E16">
        <v>2</v>
      </c>
    </row>
    <row r="17" spans="1:20" x14ac:dyDescent="0.25">
      <c r="A17" t="s">
        <v>135</v>
      </c>
      <c r="D17" s="33">
        <v>0.75</v>
      </c>
      <c r="E17" s="34" t="s">
        <v>233</v>
      </c>
    </row>
    <row r="18" spans="1:20" x14ac:dyDescent="0.25">
      <c r="B18" t="s">
        <v>215</v>
      </c>
      <c r="C18" t="s">
        <v>216</v>
      </c>
      <c r="D18" t="s">
        <v>218</v>
      </c>
      <c r="E18" t="s">
        <v>217</v>
      </c>
    </row>
    <row r="19" spans="1:20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0" spans="1:20" x14ac:dyDescent="0.25">
      <c r="E20" s="7"/>
    </row>
    <row r="21" spans="1:20" ht="75" x14ac:dyDescent="0.25">
      <c r="E21" s="7"/>
      <c r="O21" s="2" t="s">
        <v>319</v>
      </c>
      <c r="P21" s="2" t="s">
        <v>308</v>
      </c>
      <c r="Q21" s="2"/>
      <c r="S21" s="2" t="s">
        <v>312</v>
      </c>
      <c r="T21" s="2" t="s">
        <v>308</v>
      </c>
    </row>
    <row r="22" spans="1:20" x14ac:dyDescent="0.25">
      <c r="A22" t="s">
        <v>305</v>
      </c>
      <c r="J22" s="37"/>
      <c r="N22" t="s">
        <v>309</v>
      </c>
      <c r="O22">
        <f>$A24*E$23/$D$16</f>
        <v>60</v>
      </c>
      <c r="P22">
        <f>$A24*E$23/$D$16*$E$16*2</f>
        <v>240</v>
      </c>
      <c r="R22" t="s">
        <v>311</v>
      </c>
      <c r="S22">
        <f>$A24*E23/$D$16*2</f>
        <v>120</v>
      </c>
    </row>
    <row r="23" spans="1:20" ht="45" x14ac:dyDescent="0.25">
      <c r="A23" s="19" t="s">
        <v>263</v>
      </c>
      <c r="B23" s="36" t="s">
        <v>262</v>
      </c>
      <c r="D23" t="s">
        <v>286</v>
      </c>
      <c r="E23">
        <v>10</v>
      </c>
      <c r="F23">
        <v>20</v>
      </c>
      <c r="G23">
        <v>30</v>
      </c>
      <c r="H23">
        <v>40</v>
      </c>
      <c r="I23">
        <v>50</v>
      </c>
      <c r="J23" s="41" t="s">
        <v>313</v>
      </c>
      <c r="N23" s="35" t="s">
        <v>306</v>
      </c>
      <c r="R23" s="35" t="s">
        <v>310</v>
      </c>
      <c r="S23">
        <f>PhiMayCanMang($A24*E23/$D$16*2, $C$15/100,$D$15/100)</f>
        <v>51160.784200000002</v>
      </c>
    </row>
    <row r="24" spans="1:20" x14ac:dyDescent="0.25">
      <c r="A24" s="2">
        <v>12</v>
      </c>
      <c r="B24">
        <f t="shared" ref="B24:B37" si="0">$A24*E$23</f>
        <v>120</v>
      </c>
      <c r="D24" t="s">
        <v>303</v>
      </c>
      <c r="E24" s="7">
        <f>LamChanHangNgan((PhiInKM4M_BHR70($A24*E$23/$D$16*$E$16)+$A24*E$23/$D$16*$D$19)*(1+$D$17))</f>
        <v>368000</v>
      </c>
      <c r="F24" s="7">
        <f>LamChanHangNgan((PhiInKM4M_BHR70($A24*F$23/$D$16*$E$16)+$A24*F$23/$D$16*$D$19)*(1+$D$17))</f>
        <v>648000</v>
      </c>
      <c r="G24" s="7">
        <f>LamChanHangNgan((PhiInKM4M_BHR70($A24*G$23/$D$16*$E$16)+$A24*G$23/$D$16*$D$19)*(1+$D$17))</f>
        <v>929000</v>
      </c>
      <c r="H24" s="7">
        <f>LamChanHangNgan((PhiInKM4M_BHR70($A24*H$23/$D$16*$E$16)+$A24*H$23/$D$16*$D$19)*(1+$D$17))</f>
        <v>1209000</v>
      </c>
      <c r="I24" s="7">
        <f>LamChanHangNgan((PhiInKM4M_BHR70($A24*I$23/$D$16*$E$16)+$A24*I$23/$D$16*$D$19)*(1+$D$17))</f>
        <v>1490000</v>
      </c>
      <c r="J24" s="7">
        <f>E24</f>
        <v>368000</v>
      </c>
      <c r="K24" s="7">
        <f t="shared" ref="K24:N24" si="1">F24</f>
        <v>648000</v>
      </c>
      <c r="L24" s="7">
        <f t="shared" si="1"/>
        <v>929000</v>
      </c>
      <c r="M24" s="7">
        <f t="shared" si="1"/>
        <v>1209000</v>
      </c>
      <c r="N24" s="7">
        <f t="shared" si="1"/>
        <v>1490000</v>
      </c>
      <c r="R24" s="7"/>
    </row>
    <row r="25" spans="1:20" x14ac:dyDescent="0.25">
      <c r="A25" s="38">
        <v>12</v>
      </c>
      <c r="B25" s="39">
        <f t="shared" si="0"/>
        <v>120</v>
      </c>
      <c r="C25" s="39"/>
      <c r="D25" s="39" t="s">
        <v>304</v>
      </c>
      <c r="J25" s="40">
        <f>LamChanHangNgan((PhiInKM4M_BHR70($A25*E$23/$D$16*$E$16)+$A24*E$23/$D$16*$D$19+PhiMayCanMang($A25*E$23/$D$16*2, $C$15/100,$D$15/100))*(1+$D$17))</f>
        <v>457000</v>
      </c>
      <c r="K25" s="40">
        <f>LamChanHangNgan((PhiInKM4M_BHR70($A25*F$23/$D$16*$E$16)+$A24*F$23/$D$16*$D$19+PhiMayCanMang($A25*F$23/$D$16*2, $C$15/100,$D$15/100))*(1+$D$17))</f>
        <v>763000</v>
      </c>
      <c r="L25" s="40">
        <f>LamChanHangNgan((PhiInKM4M_BHR70($A25*G$23/$D$16*$E$16)+$A24*G$23/$D$16*$D$19+PhiMayCanMang($A25*G$23/$D$16*2, $C$15/100,$D$15/100))*(1+$D$17))</f>
        <v>1069000</v>
      </c>
      <c r="M25" s="40">
        <f>LamChanHangNgan((PhiInKM4M_BHR70($A25*H$23/$D$16*$E$16)+$A24*H$23/$D$16*$D$19+PhiMayCanMang($A25*H$23/$D$16*2, $C$15/100,$D$15/100))*(1+$D$17))</f>
        <v>1376000</v>
      </c>
      <c r="N25" s="40">
        <f>LamChanHangNgan((PhiInKM4M_BHR70($A25*I$23/$D$16*$E$16)+$A24*I$23/$D$16*$D$19+PhiMayCanMang($A25*I$23/$D$16*2, $C$15/100,$D$15/100))*(1+$D$17))</f>
        <v>1682000</v>
      </c>
    </row>
    <row r="26" spans="1:20" x14ac:dyDescent="0.25">
      <c r="A26" s="2">
        <v>14</v>
      </c>
      <c r="B26">
        <f t="shared" si="0"/>
        <v>140</v>
      </c>
      <c r="D26" t="s">
        <v>303</v>
      </c>
      <c r="E26" s="7">
        <f>LamChanHangNgan((PhiInKM4M_BHR70($A26*E$23/$D$16*$E$16)+$A26*E$23/$D$16*$D$19)*(1+$D$17))</f>
        <v>414000</v>
      </c>
      <c r="F26" s="7">
        <f>LamChanHangNgan((PhiInKM4M_BHR70($A26*F$23/$D$16*$E$16)+$A26*F$23/$D$16*$D$19)*(1+$D$17))</f>
        <v>742000</v>
      </c>
      <c r="G26" s="7">
        <f>LamChanHangNgan((PhiInKM4M_BHR70($A26*G$23/$D$16*$E$16)+$A26*G$23/$D$16*$D$19)*(1+$D$17))</f>
        <v>1069000</v>
      </c>
      <c r="H26" s="7">
        <f>LamChanHangNgan((PhiInKM4M_BHR70($A26*H$23/$D$16*$E$16)+$A26*H$23/$D$16*$D$19)*(1+$D$17))</f>
        <v>1396000</v>
      </c>
      <c r="I26" s="7">
        <f>LamChanHangNgan((PhiInKM4M_BHR70($A26*I$23/$D$16*$E$16)+$A26*I$23/$D$16*$D$19)*(1+$D$17))</f>
        <v>1724000</v>
      </c>
      <c r="J26" s="7">
        <f>E26</f>
        <v>414000</v>
      </c>
      <c r="K26" s="7">
        <f t="shared" ref="K26:N26" si="2">F26</f>
        <v>742000</v>
      </c>
      <c r="L26" s="7">
        <f t="shared" si="2"/>
        <v>1069000</v>
      </c>
      <c r="M26" s="7">
        <f t="shared" si="2"/>
        <v>1396000</v>
      </c>
      <c r="N26" s="7">
        <f t="shared" si="2"/>
        <v>1724000</v>
      </c>
    </row>
    <row r="27" spans="1:20" x14ac:dyDescent="0.25">
      <c r="A27" s="38">
        <v>14</v>
      </c>
      <c r="B27" s="39">
        <f t="shared" si="0"/>
        <v>140</v>
      </c>
      <c r="C27" s="39"/>
      <c r="D27" s="39" t="s">
        <v>304</v>
      </c>
      <c r="E27" s="40"/>
      <c r="F27" s="40"/>
      <c r="G27" s="40"/>
      <c r="H27" s="40"/>
      <c r="I27" s="40"/>
      <c r="J27" s="40">
        <f>LamChanHangNgan((PhiInKM4M_BHR70($A27*E$23/$D$16*$E$16)+$A26*E$23/$D$16*$D$19+PhiMayCanMang($A27*E$23/$D$16*2, $C$15/100,$D$15/100))*(1+$D$17))</f>
        <v>508000</v>
      </c>
      <c r="K27" s="40">
        <f>LamChanHangNgan((PhiInKM4M_BHR70($A27*F$23/$D$16*$E$16)+$A26*F$23/$D$16*$D$19+PhiMayCanMang($A27*F$23/$D$16*2, $C$15/100,$D$15/100))*(1+$D$17))</f>
        <v>866000</v>
      </c>
      <c r="L27" s="40">
        <f>LamChanHangNgan((PhiInKM4M_BHR70($A27*G$23/$D$16*$E$16)+$A26*G$23/$D$16*$D$19+PhiMayCanMang($A27*G$23/$D$16*2, $C$15/100,$D$15/100))*(1+$D$17))</f>
        <v>1222000</v>
      </c>
      <c r="M27" s="40">
        <f>LamChanHangNgan((PhiInKM4M_BHR70($A27*H$23/$D$16*$E$16)+$A26*H$23/$D$16*$D$19+PhiMayCanMang($A27*H$23/$D$16*2, $C$15/100,$D$15/100))*(1+$D$17))</f>
        <v>1580000</v>
      </c>
      <c r="N27" s="40">
        <f>LamChanHangNgan((PhiInKM4M_BHR70($A27*I$23/$D$16*$E$16)+$A26*I$23/$D$16*$D$19+PhiMayCanMang($A27*I$23/$D$16*2, $C$15/100,$D$15/100))*(1+$D$17))</f>
        <v>1937000</v>
      </c>
    </row>
    <row r="28" spans="1:20" x14ac:dyDescent="0.25">
      <c r="A28" s="2">
        <v>16</v>
      </c>
      <c r="B28">
        <f t="shared" si="0"/>
        <v>160</v>
      </c>
      <c r="D28" t="s">
        <v>303</v>
      </c>
      <c r="E28" s="7">
        <f>LamChanHangNgan((PhiInKM4M_BHR70($A28*E$23/$D$16*$E$16)+$A28*E$23/$D$16*$D$19)*(1+$D$17))</f>
        <v>461000</v>
      </c>
      <c r="F28" s="7">
        <f>LamChanHangNgan((PhiInKM4M_BHR70($A28*F$23/$D$16*$E$16)+$A28*F$23/$D$16*$D$19)*(1+$D$17))</f>
        <v>835000</v>
      </c>
      <c r="G28" s="7">
        <f>LamChanHangNgan((PhiInKM4M_BHR70($A28*G$23/$D$16*$E$16)+$A28*G$23/$D$16*$D$19)*(1+$D$17))</f>
        <v>1209000</v>
      </c>
      <c r="H28" s="7">
        <f>LamChanHangNgan((PhiInKM4M_BHR70($A28*H$23/$D$16*$E$16)+$A28*H$23/$D$16*$D$19)*(1+$D$17))</f>
        <v>1583000</v>
      </c>
      <c r="I28" s="7">
        <f>LamChanHangNgan((PhiInKM4M_BHR70($A28*I$23/$D$16*$E$16)+$A28*I$23/$D$16*$D$19)*(1+$D$17))</f>
        <v>1957000</v>
      </c>
      <c r="J28" s="7">
        <f>E28</f>
        <v>461000</v>
      </c>
      <c r="K28" s="7">
        <f t="shared" ref="K28:N28" si="3">F28</f>
        <v>835000</v>
      </c>
      <c r="L28" s="7">
        <f t="shared" si="3"/>
        <v>1209000</v>
      </c>
      <c r="M28" s="7">
        <f t="shared" si="3"/>
        <v>1583000</v>
      </c>
      <c r="N28" s="7">
        <f t="shared" si="3"/>
        <v>1957000</v>
      </c>
    </row>
    <row r="29" spans="1:20" x14ac:dyDescent="0.25">
      <c r="A29" s="38">
        <v>16</v>
      </c>
      <c r="B29" s="39">
        <f t="shared" si="0"/>
        <v>160</v>
      </c>
      <c r="C29" s="39"/>
      <c r="D29" s="39" t="s">
        <v>304</v>
      </c>
      <c r="E29" s="40"/>
      <c r="F29" s="40"/>
      <c r="G29" s="40"/>
      <c r="H29" s="40"/>
      <c r="I29" s="40"/>
      <c r="J29" s="40">
        <f>LamChanHangNgan((PhiInKM4M_BHR70($A29*E$23/$D$16*$E$16)+$A28*E$23/$D$16*$D$19+PhiMayCanMang($A29*E$23/$D$16*2, $C$15/100,$D$15/100))*(1+$D$17))</f>
        <v>559000</v>
      </c>
      <c r="K29" s="40">
        <f>LamChanHangNgan((PhiInKM4M_BHR70($A29*F$23/$D$16*$E$16)+$A28*F$23/$D$16*$D$19+PhiMayCanMang($A29*F$23/$D$16*2, $C$15/100,$D$15/100))*(1+$D$17))</f>
        <v>967000</v>
      </c>
      <c r="L29" s="40">
        <f>LamChanHangNgan((PhiInKM4M_BHR70($A29*G$23/$D$16*$E$16)+$A28*G$23/$D$16*$D$19+PhiMayCanMang($A29*G$23/$D$16*2, $C$15/100,$D$15/100))*(1+$D$17))</f>
        <v>1376000</v>
      </c>
      <c r="M29" s="40">
        <f>LamChanHangNgan((PhiInKM4M_BHR70($A29*H$23/$D$16*$E$16)+$A28*H$23/$D$16*$D$19+PhiMayCanMang($A29*H$23/$D$16*2, $C$15/100,$D$15/100))*(1+$D$17))</f>
        <v>1784000</v>
      </c>
      <c r="N29" s="40">
        <f>LamChanHangNgan((PhiInKM4M_BHR70($A29*I$23/$D$16*$E$16)+$A28*I$23/$D$16*$D$19+PhiMayCanMang($A29*I$23/$D$16*2, $C$15/100,$D$15/100))*(1+$D$17))</f>
        <v>2192000</v>
      </c>
    </row>
    <row r="30" spans="1:20" x14ac:dyDescent="0.25">
      <c r="A30" s="2">
        <v>18</v>
      </c>
      <c r="B30">
        <f t="shared" si="0"/>
        <v>180</v>
      </c>
      <c r="D30" t="s">
        <v>303</v>
      </c>
      <c r="E30" s="7">
        <f>LamChanHangNgan((PhiInKM4M_BHR70($A30*E$23/$D$16*$E$16)+$A30*E$23/$D$16*$D$19)*(1+$D$17))</f>
        <v>508000</v>
      </c>
      <c r="F30" s="7">
        <f>LamChanHangNgan((PhiInKM4M_BHR70($A30*F$23/$D$16*$E$16)+$A30*F$23/$D$16*$D$19)*(1+$D$17))</f>
        <v>929000</v>
      </c>
      <c r="G30" s="7">
        <f>LamChanHangNgan((PhiInKM4M_BHR70($A30*G$23/$D$16*$E$16)+$A30*G$23/$D$16*$D$19)*(1+$D$17))</f>
        <v>1350000</v>
      </c>
      <c r="H30" s="7">
        <f>LamChanHangNgan((PhiInKM4M_BHR70($A30*H$23/$D$16*$E$16)+$A30*H$23/$D$16*$D$19)*(1+$D$17))</f>
        <v>1770000</v>
      </c>
      <c r="I30" s="7">
        <f>LamChanHangNgan((PhiInKM4M_BHR70($A30*I$23/$D$16*$E$16)+$A30*I$23/$D$16*$D$19)*(1+$D$17))</f>
        <v>2191000</v>
      </c>
      <c r="J30" s="7">
        <f>E30</f>
        <v>508000</v>
      </c>
      <c r="K30" s="7">
        <f t="shared" ref="K30:N30" si="4">F30</f>
        <v>929000</v>
      </c>
      <c r="L30" s="7">
        <f t="shared" si="4"/>
        <v>1350000</v>
      </c>
      <c r="M30" s="7">
        <f t="shared" si="4"/>
        <v>1770000</v>
      </c>
      <c r="N30" s="7">
        <f t="shared" si="4"/>
        <v>2191000</v>
      </c>
    </row>
    <row r="31" spans="1:20" x14ac:dyDescent="0.25">
      <c r="A31" s="38">
        <v>18</v>
      </c>
      <c r="B31" s="39">
        <f t="shared" si="0"/>
        <v>180</v>
      </c>
      <c r="C31" s="39"/>
      <c r="D31" s="39" t="s">
        <v>304</v>
      </c>
      <c r="E31" s="40"/>
      <c r="F31" s="40"/>
      <c r="G31" s="40"/>
      <c r="H31" s="40"/>
      <c r="I31" s="40"/>
      <c r="J31" s="40">
        <f>LamChanHangNgan((PhiInKM4M_BHR70($A31*E$23/$D$16*$E$16)+$A30*E$23/$D$16*$D$19+PhiMayCanMang($A31*E$23/$D$16*2, $C$15/100,$D$15/100))*(1+$D$17))</f>
        <v>611000</v>
      </c>
      <c r="K31" s="40">
        <f>LamChanHangNgan((PhiInKM4M_BHR70($A31*F$23/$D$16*$E$16)+$A30*F$23/$D$16*$D$19+PhiMayCanMang($A31*F$23/$D$16*2, $C$15/100,$D$15/100))*(1+$D$17))</f>
        <v>1069000</v>
      </c>
      <c r="L31" s="40">
        <f>LamChanHangNgan((PhiInKM4M_BHR70($A31*G$23/$D$16*$E$16)+$A30*G$23/$D$16*$D$19+PhiMayCanMang($A31*G$23/$D$16*2, $C$15/100,$D$15/100))*(1+$D$17))</f>
        <v>1529000</v>
      </c>
      <c r="M31" s="40">
        <f>LamChanHangNgan((PhiInKM4M_BHR70($A31*H$23/$D$16*$E$16)+$A30*H$23/$D$16*$D$19+PhiMayCanMang($A31*H$23/$D$16*2, $C$15/100,$D$15/100))*(1+$D$17))</f>
        <v>1988000</v>
      </c>
      <c r="N31" s="40">
        <f>LamChanHangNgan((PhiInKM4M_BHR70($A31*I$23/$D$16*$E$16)+$A30*I$23/$D$16*$D$19+PhiMayCanMang($A31*I$23/$D$16*2, $C$15/100,$D$15/100))*(1+$D$17))</f>
        <v>2447000</v>
      </c>
    </row>
    <row r="32" spans="1:20" x14ac:dyDescent="0.25">
      <c r="A32" s="2">
        <v>20</v>
      </c>
      <c r="B32">
        <f t="shared" si="0"/>
        <v>200</v>
      </c>
      <c r="D32" t="s">
        <v>303</v>
      </c>
      <c r="E32" s="7">
        <f>LamChanHangNgan((PhiInKM4M_BHR70($A32*E$23/$D$16*$E$16)+$A32*E$23/$D$16*$D$19)*(1+$D$17))</f>
        <v>555000</v>
      </c>
      <c r="F32" s="7">
        <f>LamChanHangNgan((PhiInKM4M_BHR70($A32*F$23/$D$16*$E$16)+$A32*F$23/$D$16*$D$19)*(1+$D$17))</f>
        <v>1022000</v>
      </c>
      <c r="G32" s="7">
        <f>LamChanHangNgan((PhiInKM4M_BHR70($A32*G$23/$D$16*$E$16)+$A32*G$23/$D$16*$D$19)*(1+$D$17))</f>
        <v>1490000</v>
      </c>
      <c r="H32" s="7">
        <f>LamChanHangNgan((PhiInKM4M_BHR70($A32*H$23/$D$16*$E$16)+$A32*H$23/$D$16*$D$19)*(1+$D$17))</f>
        <v>1957000</v>
      </c>
      <c r="I32" s="7">
        <f>LamChanHangNgan((PhiInKM4M_BHR70($A32*I$23/$D$16*$E$16)+$A32*I$23/$D$16*$D$19)*(1+$D$17))</f>
        <v>2425000</v>
      </c>
      <c r="J32" s="7">
        <f>E32</f>
        <v>555000</v>
      </c>
      <c r="K32" s="7">
        <f t="shared" ref="K32:N32" si="5">F32</f>
        <v>1022000</v>
      </c>
      <c r="L32" s="7">
        <f t="shared" si="5"/>
        <v>1490000</v>
      </c>
      <c r="M32" s="7">
        <f t="shared" si="5"/>
        <v>1957000</v>
      </c>
      <c r="N32" s="7">
        <f t="shared" si="5"/>
        <v>2425000</v>
      </c>
    </row>
    <row r="33" spans="1:14" x14ac:dyDescent="0.25">
      <c r="A33" s="38">
        <v>20</v>
      </c>
      <c r="B33" s="39">
        <f t="shared" si="0"/>
        <v>200</v>
      </c>
      <c r="C33" s="39"/>
      <c r="D33" s="39" t="s">
        <v>304</v>
      </c>
      <c r="E33" s="40"/>
      <c r="F33" s="40"/>
      <c r="G33" s="40"/>
      <c r="H33" s="40"/>
      <c r="I33" s="40"/>
      <c r="J33" s="40">
        <f>LamChanHangNgan((PhiInKM4M_BHR70($A33*E$23/$D$16*$E$16)+$A32*E$23/$D$16*$D$19+PhiMayCanMang($A33*E$23/$D$16*2, $C$15/100,$D$15/100))*(1+$D$17))</f>
        <v>661000</v>
      </c>
      <c r="K33" s="40">
        <f>LamChanHangNgan((PhiInKM4M_BHR70($A33*F$23/$D$16*$E$16)+$A32*F$23/$D$16*$D$19+PhiMayCanMang($A33*F$23/$D$16*2, $C$15/100,$D$15/100))*(1+$D$17))</f>
        <v>1172000</v>
      </c>
      <c r="L33" s="40">
        <f>LamChanHangNgan((PhiInKM4M_BHR70($A33*G$23/$D$16*$E$16)+$A32*G$23/$D$16*$D$19+PhiMayCanMang($A33*G$23/$D$16*2, $C$15/100,$D$15/100))*(1+$D$17))</f>
        <v>1682000</v>
      </c>
      <c r="M33" s="40">
        <f>LamChanHangNgan((PhiInKM4M_BHR70($A33*H$23/$D$16*$E$16)+$A32*H$23/$D$16*$D$19+PhiMayCanMang($A33*H$23/$D$16*2, $C$15/100,$D$15/100))*(1+$D$17))</f>
        <v>2192000</v>
      </c>
      <c r="N33" s="40">
        <f>LamChanHangNgan((PhiInKM4M_BHR70($A33*I$23/$D$16*$E$16)+$A32*I$23/$D$16*$D$19+PhiMayCanMang($A33*I$23/$D$16*2, $C$15/100,$D$15/100))*(1+$D$17))</f>
        <v>2702000</v>
      </c>
    </row>
    <row r="34" spans="1:14" x14ac:dyDescent="0.25">
      <c r="A34" s="2">
        <v>22</v>
      </c>
      <c r="B34">
        <f t="shared" si="0"/>
        <v>220</v>
      </c>
      <c r="D34" t="s">
        <v>303</v>
      </c>
      <c r="E34" s="7">
        <f>LamChanHangNgan((PhiInKM4M_BHR70($A34*E$23/$D$16*$E$16)+$A34*E$23/$D$16*$D$19)*(1+$D$17))</f>
        <v>601000</v>
      </c>
      <c r="F34" s="7">
        <f>LamChanHangNgan((PhiInKM4M_BHR70($A34*F$23/$D$16*$E$16)+$A34*F$23/$D$16*$D$19)*(1+$D$17))</f>
        <v>1116000</v>
      </c>
      <c r="G34" s="7">
        <f>LamChanHangNgan((PhiInKM4M_BHR70($A34*G$23/$D$16*$E$16)+$A34*G$23/$D$16*$D$19)*(1+$D$17))</f>
        <v>1630000</v>
      </c>
      <c r="H34" s="7">
        <f>LamChanHangNgan((PhiInKM4M_BHR70($A34*H$23/$D$16*$E$16)+$A34*H$23/$D$16*$D$19)*(1+$D$17))</f>
        <v>2144000</v>
      </c>
      <c r="I34" s="7">
        <f>LamChanHangNgan((PhiInKM4M_BHR70($A34*I$23/$D$16*$E$16)+$A34*I$23/$D$16*$D$19)*(1+$D$17))</f>
        <v>2659000</v>
      </c>
      <c r="J34" s="7">
        <f>E34</f>
        <v>601000</v>
      </c>
      <c r="K34" s="7">
        <f t="shared" ref="K34:N34" si="6">F34</f>
        <v>1116000</v>
      </c>
      <c r="L34" s="7">
        <f t="shared" si="6"/>
        <v>1630000</v>
      </c>
      <c r="M34" s="7">
        <f t="shared" si="6"/>
        <v>2144000</v>
      </c>
      <c r="N34" s="7">
        <f t="shared" si="6"/>
        <v>2659000</v>
      </c>
    </row>
    <row r="35" spans="1:14" x14ac:dyDescent="0.25">
      <c r="A35" s="38">
        <v>22</v>
      </c>
      <c r="B35" s="39">
        <f t="shared" si="0"/>
        <v>220</v>
      </c>
      <c r="C35" s="39"/>
      <c r="D35" s="39" t="s">
        <v>304</v>
      </c>
      <c r="E35" s="40"/>
      <c r="F35" s="40"/>
      <c r="G35" s="40"/>
      <c r="H35" s="40"/>
      <c r="I35" s="40"/>
      <c r="J35" s="40">
        <f>LamChanHangNgan((PhiInKM4M_BHR70($A35*E$23/$D$16*$E$16)+$A34*E$23/$D$16*$D$19+PhiMayCanMang($A35*E$23/$D$16*2, $C$15/100,$D$15/100))*(1+$D$17))</f>
        <v>712000</v>
      </c>
      <c r="K35" s="40">
        <f>LamChanHangNgan((PhiInKM4M_BHR70($A35*F$23/$D$16*$E$16)+$A34*F$23/$D$16*$D$19+PhiMayCanMang($A35*F$23/$D$16*2, $C$15/100,$D$15/100))*(1+$D$17))</f>
        <v>1274000</v>
      </c>
      <c r="L35" s="40">
        <f>LamChanHangNgan((PhiInKM4M_BHR70($A35*G$23/$D$16*$E$16)+$A34*G$23/$D$16*$D$19+PhiMayCanMang($A35*G$23/$D$16*2, $C$15/100,$D$15/100))*(1+$D$17))</f>
        <v>1835000</v>
      </c>
      <c r="M35" s="40">
        <f>LamChanHangNgan((PhiInKM4M_BHR70($A35*H$23/$D$16*$E$16)+$A34*H$23/$D$16*$D$19+PhiMayCanMang($A35*H$23/$D$16*2, $C$15/100,$D$15/100))*(1+$D$17))</f>
        <v>2396000</v>
      </c>
      <c r="N35" s="40">
        <f>LamChanHangNgan((PhiInKM4M_BHR70($A35*I$23/$D$16*$E$16)+$A34*I$23/$D$16*$D$19+PhiMayCanMang($A35*I$23/$D$16*2, $C$15/100,$D$15/100))*(1+$D$17))</f>
        <v>2957000</v>
      </c>
    </row>
    <row r="36" spans="1:14" x14ac:dyDescent="0.25">
      <c r="A36" s="2">
        <v>24</v>
      </c>
      <c r="B36">
        <f t="shared" si="0"/>
        <v>240</v>
      </c>
      <c r="D36" t="s">
        <v>303</v>
      </c>
      <c r="E36" s="7">
        <f>LamChanHangNgan((PhiInKM4M_BHR70($A36*E$23/$D$16*$E$16)+$A36*E$23/$D$16*$D$19)*(1+$D$17))</f>
        <v>648000</v>
      </c>
      <c r="F36" s="7">
        <f>LamChanHangNgan((PhiInKM4M_BHR70($A36*F$23/$D$16*$E$16)+$A36*F$23/$D$16*$D$19)*(1+$D$17))</f>
        <v>1209000</v>
      </c>
      <c r="G36" s="7">
        <f>LamChanHangNgan((PhiInKM4M_BHR70($A36*G$23/$D$16*$E$16)+$A36*G$23/$D$16*$D$19)*(1+$D$17))</f>
        <v>1770000</v>
      </c>
      <c r="H36" s="7">
        <f>LamChanHangNgan((PhiInKM4M_BHR70($A36*H$23/$D$16*$E$16)+$A36*H$23/$D$16*$D$19)*(1+$D$17))</f>
        <v>2331000</v>
      </c>
      <c r="I36" s="7">
        <f>LamChanHangNgan((PhiInKM4M_BHR70($A36*I$23/$D$16*$E$16)+$A36*I$23/$D$16*$D$19)*(1+$D$17))</f>
        <v>2893000</v>
      </c>
      <c r="J36" s="7">
        <f>E36</f>
        <v>648000</v>
      </c>
      <c r="K36" s="7">
        <f t="shared" ref="K36:N36" si="7">F36</f>
        <v>1209000</v>
      </c>
      <c r="L36" s="7">
        <f t="shared" si="7"/>
        <v>1770000</v>
      </c>
      <c r="M36" s="7">
        <f t="shared" si="7"/>
        <v>2331000</v>
      </c>
      <c r="N36" s="7">
        <f t="shared" si="7"/>
        <v>2893000</v>
      </c>
    </row>
    <row r="37" spans="1:14" x14ac:dyDescent="0.25">
      <c r="A37" s="38">
        <v>24</v>
      </c>
      <c r="B37" s="39">
        <f t="shared" si="0"/>
        <v>240</v>
      </c>
      <c r="C37" s="39"/>
      <c r="D37" s="39" t="s">
        <v>304</v>
      </c>
      <c r="E37" s="40"/>
      <c r="F37" s="40"/>
      <c r="G37" s="40"/>
      <c r="H37" s="40"/>
      <c r="I37" s="40"/>
      <c r="J37" s="40">
        <f>LamChanHangNgan((PhiInKM4M_BHR70($A37*E$23/$D$16*$E$16)+$A36*E$23/$D$16*$D$19+PhiMayCanMang($A37*E$23/$D$16*2, $C$15/100,$D$15/100))*(1+$D$17))</f>
        <v>763000</v>
      </c>
      <c r="K37" s="40">
        <f>LamChanHangNgan((PhiInKM4M_BHR70($A37*F$23/$D$16*$E$16)+$A36*F$23/$D$16*$D$19+PhiMayCanMang($A37*F$23/$D$16*2, $C$15/100,$D$15/100))*(1+$D$17))</f>
        <v>1376000</v>
      </c>
      <c r="L37" s="40">
        <f>LamChanHangNgan((PhiInKM4M_BHR70($A37*G$23/$D$16*$E$16)+$A36*G$23/$D$16*$D$19+PhiMayCanMang($A37*G$23/$D$16*2, $C$15/100,$D$15/100))*(1+$D$17))</f>
        <v>1988000</v>
      </c>
      <c r="M37" s="40">
        <f>LamChanHangNgan((PhiInKM4M_BHR70($A37*H$23/$D$16*$E$16)+$A36*H$23/$D$16*$D$19+PhiMayCanMang($A37*H$23/$D$16*2, $C$15/100,$D$15/100))*(1+$D$17))</f>
        <v>2600000</v>
      </c>
      <c r="N37" s="40">
        <f>LamChanHangNgan((PhiInKM4M_BHR70($A37*I$23/$D$16*$E$16)+$A36*I$23/$D$16*$D$19+PhiMayCanMang($A37*I$23/$D$16*2, $C$15/100,$D$15/100))*(1+$D$17))</f>
        <v>3212000</v>
      </c>
    </row>
    <row r="38" spans="1:14" x14ac:dyDescent="0.25">
      <c r="A38" s="2"/>
      <c r="C38" s="7"/>
      <c r="D38" s="7"/>
      <c r="E38" s="7"/>
      <c r="F38" s="7"/>
      <c r="G38" s="7"/>
      <c r="H38" s="7"/>
    </row>
    <row r="39" spans="1:14" x14ac:dyDescent="0.25">
      <c r="A39" s="2"/>
    </row>
    <row r="40" spans="1:14" x14ac:dyDescent="0.25">
      <c r="A40" s="2" t="s">
        <v>314</v>
      </c>
    </row>
    <row r="41" spans="1:14" x14ac:dyDescent="0.25">
      <c r="A41" s="2" t="s">
        <v>315</v>
      </c>
      <c r="B41">
        <v>6000</v>
      </c>
      <c r="D41" t="s">
        <v>316</v>
      </c>
      <c r="E41" s="7">
        <f>PhiLDPT_XepDotVoCuonLX(E$23)+$B$41*$C$13/100</f>
        <v>22022.2228</v>
      </c>
      <c r="F41" s="7">
        <f t="shared" ref="F41:I41" si="8">PhiLDPT_XepDotVoCuonLX(F$23)+$B$41*$C$13/100</f>
        <v>24911.111700000001</v>
      </c>
      <c r="G41" s="7">
        <f t="shared" si="8"/>
        <v>27800.000700000001</v>
      </c>
      <c r="H41" s="7">
        <f t="shared" si="8"/>
        <v>30688.8897</v>
      </c>
      <c r="I41" s="7">
        <f t="shared" si="8"/>
        <v>33577.778699999995</v>
      </c>
    </row>
    <row r="42" spans="1:14" x14ac:dyDescent="0.25">
      <c r="A42" s="2"/>
      <c r="D42" t="s">
        <v>317</v>
      </c>
      <c r="E42" s="7">
        <f>E$41*(1+$D$17)</f>
        <v>38538.889900000002</v>
      </c>
      <c r="F42" s="7">
        <f t="shared" ref="F42:I42" si="9">F$41*(1+$D$17)</f>
        <v>43594.445475</v>
      </c>
      <c r="G42" s="7">
        <f t="shared" si="9"/>
        <v>48650.001225</v>
      </c>
      <c r="H42" s="7">
        <f t="shared" si="9"/>
        <v>53705.556975</v>
      </c>
      <c r="I42" s="7">
        <f t="shared" si="9"/>
        <v>58761.112724999992</v>
      </c>
    </row>
    <row r="43" spans="1:14" x14ac:dyDescent="0.25">
      <c r="A43" s="2"/>
      <c r="D43" t="s">
        <v>318</v>
      </c>
      <c r="E43">
        <v>50000</v>
      </c>
      <c r="F43">
        <v>50000</v>
      </c>
      <c r="G43">
        <v>50000</v>
      </c>
      <c r="H43">
        <v>50000</v>
      </c>
      <c r="I43">
        <v>50000</v>
      </c>
    </row>
    <row r="44" spans="1:14" x14ac:dyDescent="0.25">
      <c r="A44" s="2"/>
    </row>
    <row r="45" spans="1:14" x14ac:dyDescent="0.25">
      <c r="A45" s="2"/>
    </row>
    <row r="46" spans="1:14" x14ac:dyDescent="0.25">
      <c r="A46" s="2"/>
    </row>
    <row r="47" spans="1:14" x14ac:dyDescent="0.25">
      <c r="A47" s="2"/>
    </row>
    <row r="48" spans="1:14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</sheetData>
  <dataValidations count="2">
    <dataValidation type="list" allowBlank="1" showInputMessage="1" showErrorMessage="1" errorTitle="Lỗi" error="Vui lòng chọn dữ liệu trong danh sách._x000d__x000a_(Add-in A-Tools Tác giả: Nguyễn Duy Tuân - http://bluesofts.net)" sqref="B19:B21" xr:uid="{CDF47D1D-D73D-48ED-B76D-FA347085CB74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005B7517-1D56-4F73-980E-5C32BC9DAF07}">
      <formula1>OFFSET(KHO_CAT_SAN_PHAM,1,0,,1)</formula1>
    </dataValidation>
  </dataValidation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A852D-BABF-4E61-B030-F9D8834E20D8}">
  <sheetPr codeName="Trang_tính5"/>
  <dimension ref="A1:T65"/>
  <sheetViews>
    <sheetView topLeftCell="A16" workbookViewId="0">
      <selection activeCell="F40" sqref="F40"/>
    </sheetView>
  </sheetViews>
  <sheetFormatPr defaultRowHeight="15" x14ac:dyDescent="0.25"/>
  <cols>
    <col min="1" max="1" width="20" bestFit="1" customWidth="1"/>
    <col min="2" max="2" width="23" customWidth="1"/>
    <col min="3" max="3" width="14.85546875" bestFit="1" customWidth="1"/>
    <col min="4" max="4" width="15.85546875" bestFit="1" customWidth="1"/>
    <col min="5" max="5" width="18.28515625" bestFit="1" customWidth="1"/>
    <col min="6" max="6" width="15" bestFit="1" customWidth="1"/>
    <col min="7" max="8" width="15.85546875" bestFit="1" customWidth="1"/>
    <col min="9" max="9" width="15" bestFit="1" customWidth="1"/>
    <col min="10" max="10" width="13.28515625" bestFit="1" customWidth="1"/>
    <col min="11" max="14" width="14.85546875" bestFit="1" customWidth="1"/>
    <col min="18" max="18" width="14.140625" bestFit="1" customWidth="1"/>
  </cols>
  <sheetData>
    <row r="1" spans="1:5" x14ac:dyDescent="0.25">
      <c r="A1" t="s">
        <v>288</v>
      </c>
    </row>
    <row r="2" spans="1:5" x14ac:dyDescent="0.25">
      <c r="A2" t="s">
        <v>285</v>
      </c>
      <c r="B2" t="s">
        <v>289</v>
      </c>
    </row>
    <row r="3" spans="1:5" x14ac:dyDescent="0.25">
      <c r="A3" t="s">
        <v>290</v>
      </c>
      <c r="B3" t="s">
        <v>80</v>
      </c>
    </row>
    <row r="4" spans="1:5" x14ac:dyDescent="0.25">
      <c r="A4" t="s">
        <v>214</v>
      </c>
      <c r="B4" t="s">
        <v>291</v>
      </c>
    </row>
    <row r="5" spans="1:5" x14ac:dyDescent="0.25">
      <c r="A5" t="s">
        <v>286</v>
      </c>
      <c r="B5" t="s">
        <v>292</v>
      </c>
    </row>
    <row r="6" spans="1:5" x14ac:dyDescent="0.25">
      <c r="A6" t="s">
        <v>293</v>
      </c>
      <c r="B6" t="s">
        <v>294</v>
      </c>
    </row>
    <row r="9" spans="1:5" x14ac:dyDescent="0.25">
      <c r="A9" s="1" t="s">
        <v>287</v>
      </c>
      <c r="B9" t="s">
        <v>302</v>
      </c>
    </row>
    <row r="10" spans="1:5" x14ac:dyDescent="0.25">
      <c r="A10" t="s">
        <v>221</v>
      </c>
      <c r="B10" s="31">
        <v>43609</v>
      </c>
    </row>
    <row r="11" spans="1:5" x14ac:dyDescent="0.25">
      <c r="B11" t="s">
        <v>138</v>
      </c>
      <c r="C11" t="s">
        <v>139</v>
      </c>
    </row>
    <row r="12" spans="1:5" x14ac:dyDescent="0.25">
      <c r="A12" t="s">
        <v>208</v>
      </c>
      <c r="D12" t="s">
        <v>300</v>
      </c>
    </row>
    <row r="13" spans="1:5" x14ac:dyDescent="0.25">
      <c r="A13" t="s">
        <v>321</v>
      </c>
      <c r="B13">
        <v>15</v>
      </c>
      <c r="C13">
        <v>34</v>
      </c>
      <c r="D13">
        <v>0.3</v>
      </c>
    </row>
    <row r="15" spans="1:5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5" x14ac:dyDescent="0.25">
      <c r="A16" t="s">
        <v>219</v>
      </c>
      <c r="D16" s="1">
        <f>SoConTrenToLon($C$15,$D$15,$B$13+$D$13,$C$13+$D$13)</f>
        <v>2</v>
      </c>
      <c r="E16">
        <v>2</v>
      </c>
    </row>
    <row r="17" spans="1:20" x14ac:dyDescent="0.25">
      <c r="A17" t="s">
        <v>135</v>
      </c>
      <c r="D17" s="33">
        <v>0.75</v>
      </c>
      <c r="E17" s="34" t="s">
        <v>233</v>
      </c>
    </row>
    <row r="18" spans="1:20" x14ac:dyDescent="0.25">
      <c r="B18" t="s">
        <v>215</v>
      </c>
      <c r="C18" t="s">
        <v>216</v>
      </c>
      <c r="D18" t="s">
        <v>218</v>
      </c>
      <c r="E18" t="s">
        <v>217</v>
      </c>
    </row>
    <row r="19" spans="1:20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0" spans="1:20" x14ac:dyDescent="0.25">
      <c r="E20" s="7"/>
    </row>
    <row r="21" spans="1:20" ht="75" x14ac:dyDescent="0.25">
      <c r="E21" s="7"/>
      <c r="O21" s="2" t="s">
        <v>319</v>
      </c>
      <c r="P21" s="2" t="s">
        <v>308</v>
      </c>
      <c r="Q21" s="2"/>
      <c r="S21" s="2" t="s">
        <v>312</v>
      </c>
      <c r="T21" s="2" t="s">
        <v>308</v>
      </c>
    </row>
    <row r="22" spans="1:20" x14ac:dyDescent="0.25">
      <c r="A22" t="s">
        <v>305</v>
      </c>
      <c r="J22" s="37"/>
      <c r="N22" t="s">
        <v>309</v>
      </c>
      <c r="O22">
        <f>$A24*E$23/$D$16</f>
        <v>60</v>
      </c>
      <c r="P22">
        <f>$A24*E$23/$D$16*$E$16*2</f>
        <v>240</v>
      </c>
      <c r="R22" t="s">
        <v>311</v>
      </c>
      <c r="S22">
        <f>$A24*E23/$D$16*2</f>
        <v>120</v>
      </c>
    </row>
    <row r="23" spans="1:20" ht="45" x14ac:dyDescent="0.25">
      <c r="A23" s="19" t="s">
        <v>263</v>
      </c>
      <c r="B23" s="36" t="s">
        <v>262</v>
      </c>
      <c r="D23" t="s">
        <v>286</v>
      </c>
      <c r="E23">
        <v>10</v>
      </c>
      <c r="F23">
        <v>20</v>
      </c>
      <c r="G23">
        <v>30</v>
      </c>
      <c r="H23">
        <v>40</v>
      </c>
      <c r="I23">
        <v>50</v>
      </c>
      <c r="J23" s="41" t="s">
        <v>313</v>
      </c>
      <c r="N23" s="35" t="s">
        <v>306</v>
      </c>
      <c r="R23" s="35" t="s">
        <v>310</v>
      </c>
      <c r="S23">
        <f>PhiMayCanMang($A24*E23/$D$16*2, $C$15/100,$D$15/100)</f>
        <v>51160.784200000002</v>
      </c>
    </row>
    <row r="24" spans="1:20" x14ac:dyDescent="0.25">
      <c r="A24" s="2">
        <v>12</v>
      </c>
      <c r="B24">
        <f t="shared" ref="B24:B37" si="0">$A24*E$23</f>
        <v>120</v>
      </c>
      <c r="D24" t="s">
        <v>303</v>
      </c>
      <c r="E24" s="7">
        <f>LamChanHangNgan((PhiInKM4M_BHR70($A24*E$23/$D$16*$E$16)+$A24*E$23/$D$16*$D$19)*(1+$D$17))</f>
        <v>368000</v>
      </c>
      <c r="F24" s="7">
        <f>LamChanHangNgan((PhiInKM4M_BHR70($A24*F$23/$D$16*$E$16)+$A24*F$23/$D$16*$D$19)*(1+$D$17))</f>
        <v>648000</v>
      </c>
      <c r="G24" s="7">
        <f>LamChanHangNgan((PhiInKM4M_BHR70($A24*G$23/$D$16*$E$16)+$A24*G$23/$D$16*$D$19)*(1+$D$17))</f>
        <v>929000</v>
      </c>
      <c r="H24" s="7">
        <f>LamChanHangNgan((PhiInKM4M_BHR70($A24*H$23/$D$16*$E$16)+$A24*H$23/$D$16*$D$19)*(1+$D$17))</f>
        <v>1209000</v>
      </c>
      <c r="I24" s="7">
        <f>LamChanHangNgan((PhiInKM4M_BHR70($A24*I$23/$D$16*$E$16)+$A24*I$23/$D$16*$D$19)*(1+$D$17))</f>
        <v>1490000</v>
      </c>
      <c r="J24" s="7">
        <f>E24</f>
        <v>368000</v>
      </c>
      <c r="K24" s="7">
        <f t="shared" ref="K24:N24" si="1">F24</f>
        <v>648000</v>
      </c>
      <c r="L24" s="7">
        <f t="shared" si="1"/>
        <v>929000</v>
      </c>
      <c r="M24" s="7">
        <f t="shared" si="1"/>
        <v>1209000</v>
      </c>
      <c r="N24" s="7">
        <f t="shared" si="1"/>
        <v>1490000</v>
      </c>
      <c r="R24" s="7"/>
    </row>
    <row r="25" spans="1:20" x14ac:dyDescent="0.25">
      <c r="A25" s="38">
        <v>12</v>
      </c>
      <c r="B25" s="39">
        <f t="shared" si="0"/>
        <v>120</v>
      </c>
      <c r="C25" s="39"/>
      <c r="D25" s="39" t="s">
        <v>304</v>
      </c>
      <c r="J25" s="40">
        <f>LamChanHangNgan((PhiInKM4M_BHR70($A25*E$23/$D$16*$E$16)+$A24*E$23/$D$16*$D$19+PhiMayCanMang($A25*E$23/$D$16*2, $C$15/100,$D$15/100))*(1+$D$17))</f>
        <v>457000</v>
      </c>
      <c r="K25" s="40">
        <f>LamChanHangNgan((PhiInKM4M_BHR70($A25*F$23/$D$16*$E$16)+$A24*F$23/$D$16*$D$19+PhiMayCanMang($A25*F$23/$D$16*2, $C$15/100,$D$15/100))*(1+$D$17))</f>
        <v>763000</v>
      </c>
      <c r="L25" s="40">
        <f>LamChanHangNgan((PhiInKM4M_BHR70($A25*G$23/$D$16*$E$16)+$A24*G$23/$D$16*$D$19+PhiMayCanMang($A25*G$23/$D$16*2, $C$15/100,$D$15/100))*(1+$D$17))</f>
        <v>1069000</v>
      </c>
      <c r="M25" s="40">
        <f>LamChanHangNgan((PhiInKM4M_BHR70($A25*H$23/$D$16*$E$16)+$A24*H$23/$D$16*$D$19+PhiMayCanMang($A25*H$23/$D$16*2, $C$15/100,$D$15/100))*(1+$D$17))</f>
        <v>1376000</v>
      </c>
      <c r="N25" s="40">
        <f>LamChanHangNgan((PhiInKM4M_BHR70($A25*I$23/$D$16*$E$16)+$A24*I$23/$D$16*$D$19+PhiMayCanMang($A25*I$23/$D$16*2, $C$15/100,$D$15/100))*(1+$D$17))</f>
        <v>1682000</v>
      </c>
    </row>
    <row r="26" spans="1:20" x14ac:dyDescent="0.25">
      <c r="A26" s="2">
        <v>14</v>
      </c>
      <c r="B26">
        <f t="shared" si="0"/>
        <v>140</v>
      </c>
      <c r="D26" t="s">
        <v>303</v>
      </c>
      <c r="E26" s="7">
        <f>LamChanHangNgan((PhiInKM4M_BHR70($A26*E$23/$D$16*$E$16)+$A26*E$23/$D$16*$D$19)*(1+$D$17))</f>
        <v>414000</v>
      </c>
      <c r="F26" s="7">
        <f>LamChanHangNgan((PhiInKM4M_BHR70($A26*F$23/$D$16*$E$16)+$A26*F$23/$D$16*$D$19)*(1+$D$17))</f>
        <v>742000</v>
      </c>
      <c r="G26" s="7">
        <f>LamChanHangNgan((PhiInKM4M_BHR70($A26*G$23/$D$16*$E$16)+$A26*G$23/$D$16*$D$19)*(1+$D$17))</f>
        <v>1069000</v>
      </c>
      <c r="H26" s="7">
        <f>LamChanHangNgan((PhiInKM4M_BHR70($A26*H$23/$D$16*$E$16)+$A26*H$23/$D$16*$D$19)*(1+$D$17))</f>
        <v>1396000</v>
      </c>
      <c r="I26" s="7">
        <f>LamChanHangNgan((PhiInKM4M_BHR70($A26*I$23/$D$16*$E$16)+$A26*I$23/$D$16*$D$19)*(1+$D$17))</f>
        <v>1724000</v>
      </c>
      <c r="J26" s="7">
        <f>E26</f>
        <v>414000</v>
      </c>
      <c r="K26" s="7">
        <f t="shared" ref="K26:N26" si="2">F26</f>
        <v>742000</v>
      </c>
      <c r="L26" s="7">
        <f t="shared" si="2"/>
        <v>1069000</v>
      </c>
      <c r="M26" s="7">
        <f t="shared" si="2"/>
        <v>1396000</v>
      </c>
      <c r="N26" s="7">
        <f t="shared" si="2"/>
        <v>1724000</v>
      </c>
    </row>
    <row r="27" spans="1:20" x14ac:dyDescent="0.25">
      <c r="A27" s="38">
        <v>14</v>
      </c>
      <c r="B27" s="39">
        <f t="shared" si="0"/>
        <v>140</v>
      </c>
      <c r="C27" s="39"/>
      <c r="D27" s="39" t="s">
        <v>304</v>
      </c>
      <c r="E27" s="40"/>
      <c r="F27" s="40"/>
      <c r="G27" s="40"/>
      <c r="H27" s="40"/>
      <c r="I27" s="40"/>
      <c r="J27" s="40">
        <f>LamChanHangNgan((PhiInKM4M_BHR70($A27*E$23/$D$16*$E$16)+$A26*E$23/$D$16*$D$19+PhiMayCanMang($A27*E$23/$D$16*2, $C$15/100,$D$15/100))*(1+$D$17))</f>
        <v>508000</v>
      </c>
      <c r="K27" s="40">
        <f>LamChanHangNgan((PhiInKM4M_BHR70($A27*F$23/$D$16*$E$16)+$A26*F$23/$D$16*$D$19+PhiMayCanMang($A27*F$23/$D$16*2, $C$15/100,$D$15/100))*(1+$D$17))</f>
        <v>866000</v>
      </c>
      <c r="L27" s="40">
        <f>LamChanHangNgan((PhiInKM4M_BHR70($A27*G$23/$D$16*$E$16)+$A26*G$23/$D$16*$D$19+PhiMayCanMang($A27*G$23/$D$16*2, $C$15/100,$D$15/100))*(1+$D$17))</f>
        <v>1222000</v>
      </c>
      <c r="M27" s="40">
        <f>LamChanHangNgan((PhiInKM4M_BHR70($A27*H$23/$D$16*$E$16)+$A26*H$23/$D$16*$D$19+PhiMayCanMang($A27*H$23/$D$16*2, $C$15/100,$D$15/100))*(1+$D$17))</f>
        <v>1580000</v>
      </c>
      <c r="N27" s="40">
        <f>LamChanHangNgan((PhiInKM4M_BHR70($A27*I$23/$D$16*$E$16)+$A26*I$23/$D$16*$D$19+PhiMayCanMang($A27*I$23/$D$16*2, $C$15/100,$D$15/100))*(1+$D$17))</f>
        <v>1937000</v>
      </c>
    </row>
    <row r="28" spans="1:20" x14ac:dyDescent="0.25">
      <c r="A28" s="2">
        <v>16</v>
      </c>
      <c r="B28">
        <f t="shared" si="0"/>
        <v>160</v>
      </c>
      <c r="D28" t="s">
        <v>303</v>
      </c>
      <c r="E28" s="7">
        <f>LamChanHangNgan((PhiInKM4M_BHR70($A28*E$23/$D$16*$E$16)+$A28*E$23/$D$16*$D$19)*(1+$D$17))</f>
        <v>461000</v>
      </c>
      <c r="F28" s="7">
        <f>LamChanHangNgan((PhiInKM4M_BHR70($A28*F$23/$D$16*$E$16)+$A28*F$23/$D$16*$D$19)*(1+$D$17))</f>
        <v>835000</v>
      </c>
      <c r="G28" s="7">
        <f>LamChanHangNgan((PhiInKM4M_BHR70($A28*G$23/$D$16*$E$16)+$A28*G$23/$D$16*$D$19)*(1+$D$17))</f>
        <v>1209000</v>
      </c>
      <c r="H28" s="7">
        <f>LamChanHangNgan((PhiInKM4M_BHR70($A28*H$23/$D$16*$E$16)+$A28*H$23/$D$16*$D$19)*(1+$D$17))</f>
        <v>1583000</v>
      </c>
      <c r="I28" s="7">
        <f>LamChanHangNgan((PhiInKM4M_BHR70($A28*I$23/$D$16*$E$16)+$A28*I$23/$D$16*$D$19)*(1+$D$17))</f>
        <v>1957000</v>
      </c>
      <c r="J28" s="7">
        <f>E28</f>
        <v>461000</v>
      </c>
      <c r="K28" s="7">
        <f t="shared" ref="K28:N28" si="3">F28</f>
        <v>835000</v>
      </c>
      <c r="L28" s="7">
        <f t="shared" si="3"/>
        <v>1209000</v>
      </c>
      <c r="M28" s="7">
        <f t="shared" si="3"/>
        <v>1583000</v>
      </c>
      <c r="N28" s="7">
        <f t="shared" si="3"/>
        <v>1957000</v>
      </c>
    </row>
    <row r="29" spans="1:20" x14ac:dyDescent="0.25">
      <c r="A29" s="38">
        <v>16</v>
      </c>
      <c r="B29" s="39">
        <f t="shared" si="0"/>
        <v>160</v>
      </c>
      <c r="C29" s="39"/>
      <c r="D29" s="39" t="s">
        <v>304</v>
      </c>
      <c r="E29" s="40"/>
      <c r="F29" s="40"/>
      <c r="G29" s="40"/>
      <c r="H29" s="40"/>
      <c r="I29" s="40"/>
      <c r="J29" s="40">
        <f>LamChanHangNgan((PhiInKM4M_BHR70($A29*E$23/$D$16*$E$16)+$A28*E$23/$D$16*$D$19+PhiMayCanMang($A29*E$23/$D$16*2, $C$15/100,$D$15/100))*(1+$D$17))</f>
        <v>559000</v>
      </c>
      <c r="K29" s="40">
        <f>LamChanHangNgan((PhiInKM4M_BHR70($A29*F$23/$D$16*$E$16)+$A28*F$23/$D$16*$D$19+PhiMayCanMang($A29*F$23/$D$16*2, $C$15/100,$D$15/100))*(1+$D$17))</f>
        <v>967000</v>
      </c>
      <c r="L29" s="40">
        <f>LamChanHangNgan((PhiInKM4M_BHR70($A29*G$23/$D$16*$E$16)+$A28*G$23/$D$16*$D$19+PhiMayCanMang($A29*G$23/$D$16*2, $C$15/100,$D$15/100))*(1+$D$17))</f>
        <v>1376000</v>
      </c>
      <c r="M29" s="40">
        <f>LamChanHangNgan((PhiInKM4M_BHR70($A29*H$23/$D$16*$E$16)+$A28*H$23/$D$16*$D$19+PhiMayCanMang($A29*H$23/$D$16*2, $C$15/100,$D$15/100))*(1+$D$17))</f>
        <v>1784000</v>
      </c>
      <c r="N29" s="40">
        <f>LamChanHangNgan((PhiInKM4M_BHR70($A29*I$23/$D$16*$E$16)+$A28*I$23/$D$16*$D$19+PhiMayCanMang($A29*I$23/$D$16*2, $C$15/100,$D$15/100))*(1+$D$17))</f>
        <v>2192000</v>
      </c>
    </row>
    <row r="30" spans="1:20" x14ac:dyDescent="0.25">
      <c r="A30" s="2">
        <v>18</v>
      </c>
      <c r="B30">
        <f t="shared" si="0"/>
        <v>180</v>
      </c>
      <c r="D30" t="s">
        <v>303</v>
      </c>
      <c r="E30" s="7">
        <f>LamChanHangNgan((PhiInKM4M_BHR70($A30*E$23/$D$16*$E$16)+$A30*E$23/$D$16*$D$19)*(1+$D$17))</f>
        <v>508000</v>
      </c>
      <c r="F30" s="7">
        <f>LamChanHangNgan((PhiInKM4M_BHR70($A30*F$23/$D$16*$E$16)+$A30*F$23/$D$16*$D$19)*(1+$D$17))</f>
        <v>929000</v>
      </c>
      <c r="G30" s="7">
        <f>LamChanHangNgan((PhiInKM4M_BHR70($A30*G$23/$D$16*$E$16)+$A30*G$23/$D$16*$D$19)*(1+$D$17))</f>
        <v>1350000</v>
      </c>
      <c r="H30" s="7">
        <f>LamChanHangNgan((PhiInKM4M_BHR70($A30*H$23/$D$16*$E$16)+$A30*H$23/$D$16*$D$19)*(1+$D$17))</f>
        <v>1770000</v>
      </c>
      <c r="I30" s="7">
        <f>LamChanHangNgan((PhiInKM4M_BHR70($A30*I$23/$D$16*$E$16)+$A30*I$23/$D$16*$D$19)*(1+$D$17))</f>
        <v>2191000</v>
      </c>
      <c r="J30" s="7">
        <f>E30</f>
        <v>508000</v>
      </c>
      <c r="K30" s="7">
        <f t="shared" ref="K30:N30" si="4">F30</f>
        <v>929000</v>
      </c>
      <c r="L30" s="7">
        <f t="shared" si="4"/>
        <v>1350000</v>
      </c>
      <c r="M30" s="7">
        <f t="shared" si="4"/>
        <v>1770000</v>
      </c>
      <c r="N30" s="7">
        <f t="shared" si="4"/>
        <v>2191000</v>
      </c>
    </row>
    <row r="31" spans="1:20" x14ac:dyDescent="0.25">
      <c r="A31" s="38">
        <v>18</v>
      </c>
      <c r="B31" s="39">
        <f t="shared" si="0"/>
        <v>180</v>
      </c>
      <c r="C31" s="39"/>
      <c r="D31" s="39" t="s">
        <v>304</v>
      </c>
      <c r="E31" s="40"/>
      <c r="F31" s="40"/>
      <c r="G31" s="40"/>
      <c r="H31" s="40"/>
      <c r="I31" s="40"/>
      <c r="J31" s="40">
        <f>LamChanHangNgan((PhiInKM4M_BHR70($A31*E$23/$D$16*$E$16)+$A30*E$23/$D$16*$D$19+PhiMayCanMang($A31*E$23/$D$16*2, $C$15/100,$D$15/100))*(1+$D$17))</f>
        <v>611000</v>
      </c>
      <c r="K31" s="40">
        <f>LamChanHangNgan((PhiInKM4M_BHR70($A31*F$23/$D$16*$E$16)+$A30*F$23/$D$16*$D$19+PhiMayCanMang($A31*F$23/$D$16*2, $C$15/100,$D$15/100))*(1+$D$17))</f>
        <v>1069000</v>
      </c>
      <c r="L31" s="40">
        <f>LamChanHangNgan((PhiInKM4M_BHR70($A31*G$23/$D$16*$E$16)+$A30*G$23/$D$16*$D$19+PhiMayCanMang($A31*G$23/$D$16*2, $C$15/100,$D$15/100))*(1+$D$17))</f>
        <v>1529000</v>
      </c>
      <c r="M31" s="40">
        <f>LamChanHangNgan((PhiInKM4M_BHR70($A31*H$23/$D$16*$E$16)+$A30*H$23/$D$16*$D$19+PhiMayCanMang($A31*H$23/$D$16*2, $C$15/100,$D$15/100))*(1+$D$17))</f>
        <v>1988000</v>
      </c>
      <c r="N31" s="40">
        <f>LamChanHangNgan((PhiInKM4M_BHR70($A31*I$23/$D$16*$E$16)+$A30*I$23/$D$16*$D$19+PhiMayCanMang($A31*I$23/$D$16*2, $C$15/100,$D$15/100))*(1+$D$17))</f>
        <v>2447000</v>
      </c>
    </row>
    <row r="32" spans="1:20" x14ac:dyDescent="0.25">
      <c r="A32" s="2">
        <v>20</v>
      </c>
      <c r="B32">
        <f t="shared" si="0"/>
        <v>200</v>
      </c>
      <c r="D32" t="s">
        <v>303</v>
      </c>
      <c r="E32" s="7">
        <f>LamChanHangNgan((PhiInKM4M_BHR70($A32*E$23/$D$16*$E$16)+$A32*E$23/$D$16*$D$19)*(1+$D$17))</f>
        <v>555000</v>
      </c>
      <c r="F32" s="7">
        <f>LamChanHangNgan((PhiInKM4M_BHR70($A32*F$23/$D$16*$E$16)+$A32*F$23/$D$16*$D$19)*(1+$D$17))</f>
        <v>1022000</v>
      </c>
      <c r="G32" s="7">
        <f>LamChanHangNgan((PhiInKM4M_BHR70($A32*G$23/$D$16*$E$16)+$A32*G$23/$D$16*$D$19)*(1+$D$17))</f>
        <v>1490000</v>
      </c>
      <c r="H32" s="7">
        <f>LamChanHangNgan((PhiInKM4M_BHR70($A32*H$23/$D$16*$E$16)+$A32*H$23/$D$16*$D$19)*(1+$D$17))</f>
        <v>1957000</v>
      </c>
      <c r="I32" s="7">
        <f>LamChanHangNgan((PhiInKM4M_BHR70($A32*I$23/$D$16*$E$16)+$A32*I$23/$D$16*$D$19)*(1+$D$17))</f>
        <v>2425000</v>
      </c>
      <c r="J32" s="7">
        <f>E32</f>
        <v>555000</v>
      </c>
      <c r="K32" s="7">
        <f t="shared" ref="K32:N32" si="5">F32</f>
        <v>1022000</v>
      </c>
      <c r="L32" s="7">
        <f t="shared" si="5"/>
        <v>1490000</v>
      </c>
      <c r="M32" s="7">
        <f t="shared" si="5"/>
        <v>1957000</v>
      </c>
      <c r="N32" s="7">
        <f t="shared" si="5"/>
        <v>2425000</v>
      </c>
    </row>
    <row r="33" spans="1:14" x14ac:dyDescent="0.25">
      <c r="A33" s="38">
        <v>20</v>
      </c>
      <c r="B33" s="39">
        <f t="shared" si="0"/>
        <v>200</v>
      </c>
      <c r="C33" s="39"/>
      <c r="D33" s="39" t="s">
        <v>304</v>
      </c>
      <c r="E33" s="40"/>
      <c r="F33" s="40"/>
      <c r="G33" s="40"/>
      <c r="H33" s="40"/>
      <c r="I33" s="40"/>
      <c r="J33" s="40">
        <f>LamChanHangNgan((PhiInKM4M_BHR70($A33*E$23/$D$16*$E$16)+$A32*E$23/$D$16*$D$19+PhiMayCanMang($A33*E$23/$D$16*2, $C$15/100,$D$15/100))*(1+$D$17))</f>
        <v>661000</v>
      </c>
      <c r="K33" s="40">
        <f>LamChanHangNgan((PhiInKM4M_BHR70($A33*F$23/$D$16*$E$16)+$A32*F$23/$D$16*$D$19+PhiMayCanMang($A33*F$23/$D$16*2, $C$15/100,$D$15/100))*(1+$D$17))</f>
        <v>1172000</v>
      </c>
      <c r="L33" s="40">
        <f>LamChanHangNgan((PhiInKM4M_BHR70($A33*G$23/$D$16*$E$16)+$A32*G$23/$D$16*$D$19+PhiMayCanMang($A33*G$23/$D$16*2, $C$15/100,$D$15/100))*(1+$D$17))</f>
        <v>1682000</v>
      </c>
      <c r="M33" s="40">
        <f>LamChanHangNgan((PhiInKM4M_BHR70($A33*H$23/$D$16*$E$16)+$A32*H$23/$D$16*$D$19+PhiMayCanMang($A33*H$23/$D$16*2, $C$15/100,$D$15/100))*(1+$D$17))</f>
        <v>2192000</v>
      </c>
      <c r="N33" s="40">
        <f>LamChanHangNgan((PhiInKM4M_BHR70($A33*I$23/$D$16*$E$16)+$A32*I$23/$D$16*$D$19+PhiMayCanMang($A33*I$23/$D$16*2, $C$15/100,$D$15/100))*(1+$D$17))</f>
        <v>2702000</v>
      </c>
    </row>
    <row r="34" spans="1:14" x14ac:dyDescent="0.25">
      <c r="A34" s="2">
        <v>22</v>
      </c>
      <c r="B34">
        <f t="shared" si="0"/>
        <v>220</v>
      </c>
      <c r="D34" t="s">
        <v>303</v>
      </c>
      <c r="E34" s="7">
        <f>LamChanHangNgan((PhiInKM4M_BHR70($A34*E$23/$D$16*$E$16)+$A34*E$23/$D$16*$D$19)*(1+$D$17))</f>
        <v>601000</v>
      </c>
      <c r="F34" s="7">
        <f>LamChanHangNgan((PhiInKM4M_BHR70($A34*F$23/$D$16*$E$16)+$A34*F$23/$D$16*$D$19)*(1+$D$17))</f>
        <v>1116000</v>
      </c>
      <c r="G34" s="7">
        <f>LamChanHangNgan((PhiInKM4M_BHR70($A34*G$23/$D$16*$E$16)+$A34*G$23/$D$16*$D$19)*(1+$D$17))</f>
        <v>1630000</v>
      </c>
      <c r="H34" s="7">
        <f>LamChanHangNgan((PhiInKM4M_BHR70($A34*H$23/$D$16*$E$16)+$A34*H$23/$D$16*$D$19)*(1+$D$17))</f>
        <v>2144000</v>
      </c>
      <c r="I34" s="7">
        <f>LamChanHangNgan((PhiInKM4M_BHR70($A34*I$23/$D$16*$E$16)+$A34*I$23/$D$16*$D$19)*(1+$D$17))</f>
        <v>2659000</v>
      </c>
      <c r="J34" s="7">
        <f>E34</f>
        <v>601000</v>
      </c>
      <c r="K34" s="7">
        <f t="shared" ref="K34:N34" si="6">F34</f>
        <v>1116000</v>
      </c>
      <c r="L34" s="7">
        <f t="shared" si="6"/>
        <v>1630000</v>
      </c>
      <c r="M34" s="7">
        <f t="shared" si="6"/>
        <v>2144000</v>
      </c>
      <c r="N34" s="7">
        <f t="shared" si="6"/>
        <v>2659000</v>
      </c>
    </row>
    <row r="35" spans="1:14" x14ac:dyDescent="0.25">
      <c r="A35" s="38">
        <v>22</v>
      </c>
      <c r="B35" s="39">
        <f t="shared" si="0"/>
        <v>220</v>
      </c>
      <c r="C35" s="39"/>
      <c r="D35" s="39" t="s">
        <v>304</v>
      </c>
      <c r="E35" s="40"/>
      <c r="F35" s="40"/>
      <c r="G35" s="40"/>
      <c r="H35" s="40"/>
      <c r="I35" s="40"/>
      <c r="J35" s="40">
        <f>LamChanHangNgan((PhiInKM4M_BHR70($A35*E$23/$D$16*$E$16)+$A34*E$23/$D$16*$D$19+PhiMayCanMang($A35*E$23/$D$16*2, $C$15/100,$D$15/100))*(1+$D$17))</f>
        <v>712000</v>
      </c>
      <c r="K35" s="40">
        <f>LamChanHangNgan((PhiInKM4M_BHR70($A35*F$23/$D$16*$E$16)+$A34*F$23/$D$16*$D$19+PhiMayCanMang($A35*F$23/$D$16*2, $C$15/100,$D$15/100))*(1+$D$17))</f>
        <v>1274000</v>
      </c>
      <c r="L35" s="40">
        <f>LamChanHangNgan((PhiInKM4M_BHR70($A35*G$23/$D$16*$E$16)+$A34*G$23/$D$16*$D$19+PhiMayCanMang($A35*G$23/$D$16*2, $C$15/100,$D$15/100))*(1+$D$17))</f>
        <v>1835000</v>
      </c>
      <c r="M35" s="40">
        <f>LamChanHangNgan((PhiInKM4M_BHR70($A35*H$23/$D$16*$E$16)+$A34*H$23/$D$16*$D$19+PhiMayCanMang($A35*H$23/$D$16*2, $C$15/100,$D$15/100))*(1+$D$17))</f>
        <v>2396000</v>
      </c>
      <c r="N35" s="40">
        <f>LamChanHangNgan((PhiInKM4M_BHR70($A35*I$23/$D$16*$E$16)+$A34*I$23/$D$16*$D$19+PhiMayCanMang($A35*I$23/$D$16*2, $C$15/100,$D$15/100))*(1+$D$17))</f>
        <v>2957000</v>
      </c>
    </row>
    <row r="36" spans="1:14" x14ac:dyDescent="0.25">
      <c r="A36" s="2">
        <v>24</v>
      </c>
      <c r="B36">
        <f t="shared" si="0"/>
        <v>240</v>
      </c>
      <c r="D36" t="s">
        <v>303</v>
      </c>
      <c r="E36" s="7">
        <f>LamChanHangNgan((PhiInKM4M_BHR70($A36*E$23/$D$16*$E$16)+$A36*E$23/$D$16*$D$19)*(1+$D$17))</f>
        <v>648000</v>
      </c>
      <c r="F36" s="7">
        <f>LamChanHangNgan((PhiInKM4M_BHR70($A36*F$23/$D$16*$E$16)+$A36*F$23/$D$16*$D$19)*(1+$D$17))</f>
        <v>1209000</v>
      </c>
      <c r="G36" s="7">
        <f>LamChanHangNgan((PhiInKM4M_BHR70($A36*G$23/$D$16*$E$16)+$A36*G$23/$D$16*$D$19)*(1+$D$17))</f>
        <v>1770000</v>
      </c>
      <c r="H36" s="7">
        <f>LamChanHangNgan((PhiInKM4M_BHR70($A36*H$23/$D$16*$E$16)+$A36*H$23/$D$16*$D$19)*(1+$D$17))</f>
        <v>2331000</v>
      </c>
      <c r="I36" s="7">
        <f>LamChanHangNgan((PhiInKM4M_BHR70($A36*I$23/$D$16*$E$16)+$A36*I$23/$D$16*$D$19)*(1+$D$17))</f>
        <v>2893000</v>
      </c>
      <c r="J36" s="7">
        <f>E36</f>
        <v>648000</v>
      </c>
      <c r="K36" s="7">
        <f t="shared" ref="K36:N36" si="7">F36</f>
        <v>1209000</v>
      </c>
      <c r="L36" s="7">
        <f t="shared" si="7"/>
        <v>1770000</v>
      </c>
      <c r="M36" s="7">
        <f t="shared" si="7"/>
        <v>2331000</v>
      </c>
      <c r="N36" s="7">
        <f t="shared" si="7"/>
        <v>2893000</v>
      </c>
    </row>
    <row r="37" spans="1:14" x14ac:dyDescent="0.25">
      <c r="A37" s="38">
        <v>24</v>
      </c>
      <c r="B37" s="39">
        <f t="shared" si="0"/>
        <v>240</v>
      </c>
      <c r="C37" s="39"/>
      <c r="D37" s="39" t="s">
        <v>304</v>
      </c>
      <c r="E37" s="40"/>
      <c r="F37" s="40"/>
      <c r="G37" s="40"/>
      <c r="H37" s="40"/>
      <c r="I37" s="40"/>
      <c r="J37" s="40">
        <f>LamChanHangNgan((PhiInKM4M_BHR70($A37*E$23/$D$16*$E$16)+$A36*E$23/$D$16*$D$19+PhiMayCanMang($A37*E$23/$D$16*2, $C$15/100,$D$15/100))*(1+$D$17))</f>
        <v>763000</v>
      </c>
      <c r="K37" s="40">
        <f>LamChanHangNgan((PhiInKM4M_BHR70($A37*F$23/$D$16*$E$16)+$A36*F$23/$D$16*$D$19+PhiMayCanMang($A37*F$23/$D$16*2, $C$15/100,$D$15/100))*(1+$D$17))</f>
        <v>1376000</v>
      </c>
      <c r="L37" s="40">
        <f>LamChanHangNgan((PhiInKM4M_BHR70($A37*G$23/$D$16*$E$16)+$A36*G$23/$D$16*$D$19+PhiMayCanMang($A37*G$23/$D$16*2, $C$15/100,$D$15/100))*(1+$D$17))</f>
        <v>1988000</v>
      </c>
      <c r="M37" s="40">
        <f>LamChanHangNgan((PhiInKM4M_BHR70($A37*H$23/$D$16*$E$16)+$A36*H$23/$D$16*$D$19+PhiMayCanMang($A37*H$23/$D$16*2, $C$15/100,$D$15/100))*(1+$D$17))</f>
        <v>2600000</v>
      </c>
      <c r="N37" s="40">
        <f>LamChanHangNgan((PhiInKM4M_BHR70($A37*I$23/$D$16*$E$16)+$A36*I$23/$D$16*$D$19+PhiMayCanMang($A37*I$23/$D$16*2, $C$15/100,$D$15/100))*(1+$D$17))</f>
        <v>3212000</v>
      </c>
    </row>
    <row r="38" spans="1:14" x14ac:dyDescent="0.25">
      <c r="A38" s="2"/>
      <c r="C38" s="7"/>
      <c r="D38" s="7"/>
      <c r="E38" s="7"/>
      <c r="F38" s="7"/>
      <c r="G38" s="7"/>
      <c r="H38" s="7"/>
    </row>
    <row r="39" spans="1:14" x14ac:dyDescent="0.25">
      <c r="A39" s="2"/>
    </row>
    <row r="40" spans="1:14" x14ac:dyDescent="0.25">
      <c r="A40" s="2" t="s">
        <v>314</v>
      </c>
    </row>
    <row r="41" spans="1:14" x14ac:dyDescent="0.25">
      <c r="A41" s="2" t="s">
        <v>315</v>
      </c>
      <c r="B41">
        <v>6000</v>
      </c>
      <c r="D41" t="s">
        <v>316</v>
      </c>
      <c r="E41" s="7">
        <f>PhiLDPT_XepDotVoCuonLX(E$23)+$B$41*$C$13/100</f>
        <v>22262.2228</v>
      </c>
      <c r="F41" s="7">
        <f t="shared" ref="F41:I41" si="8">PhiLDPT_XepDotVoCuonLX(F$23)+$B$41*$C$13/100</f>
        <v>25151.111700000001</v>
      </c>
      <c r="G41" s="7">
        <f t="shared" si="8"/>
        <v>28040.000700000001</v>
      </c>
      <c r="H41" s="7">
        <f t="shared" si="8"/>
        <v>30928.8897</v>
      </c>
      <c r="I41" s="7">
        <f t="shared" si="8"/>
        <v>33817.778699999995</v>
      </c>
    </row>
    <row r="42" spans="1:14" x14ac:dyDescent="0.25">
      <c r="A42" s="2"/>
      <c r="D42" t="s">
        <v>317</v>
      </c>
      <c r="E42" s="7">
        <f>E$41*(1+$D$17)</f>
        <v>38958.889900000002</v>
      </c>
      <c r="F42" s="7">
        <f t="shared" ref="F42:I42" si="9">F$41*(1+$D$17)</f>
        <v>44014.445475</v>
      </c>
      <c r="G42" s="7">
        <f t="shared" si="9"/>
        <v>49070.001225</v>
      </c>
      <c r="H42" s="7">
        <f t="shared" si="9"/>
        <v>54125.556975</v>
      </c>
      <c r="I42" s="7">
        <f t="shared" si="9"/>
        <v>59181.112724999992</v>
      </c>
    </row>
    <row r="43" spans="1:14" x14ac:dyDescent="0.25">
      <c r="A43" s="2"/>
      <c r="D43" t="s">
        <v>318</v>
      </c>
      <c r="E43">
        <v>50000</v>
      </c>
      <c r="F43">
        <v>50000</v>
      </c>
      <c r="G43">
        <v>50000</v>
      </c>
      <c r="H43">
        <v>50000</v>
      </c>
      <c r="I43">
        <v>50000</v>
      </c>
    </row>
    <row r="44" spans="1:14" x14ac:dyDescent="0.25">
      <c r="A44" s="2"/>
    </row>
    <row r="45" spans="1:14" x14ac:dyDescent="0.25">
      <c r="A45" s="2"/>
    </row>
    <row r="46" spans="1:14" x14ac:dyDescent="0.25">
      <c r="A46" s="2"/>
    </row>
    <row r="47" spans="1:14" x14ac:dyDescent="0.25">
      <c r="A47" s="2"/>
    </row>
    <row r="48" spans="1:14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A13" xr:uid="{924FB55F-09E7-4856-9772-F73C63C1B74C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9:B21" xr:uid="{A459B156-B0D6-4EF7-9895-6877627B1A5F}">
      <formula1>OFFSET(GIA_GIAY_CO_BAN,1,0,,1)</formula1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8BE822-3F33-4EBD-AFF0-A626967EA186}">
  <sheetPr codeName="Trang_tính11"/>
  <dimension ref="A1:I73"/>
  <sheetViews>
    <sheetView topLeftCell="A28" workbookViewId="0">
      <selection activeCell="B43" sqref="B43"/>
    </sheetView>
  </sheetViews>
  <sheetFormatPr defaultRowHeight="15" x14ac:dyDescent="0.25"/>
  <cols>
    <col min="1" max="1" width="20" bestFit="1" customWidth="1"/>
    <col min="2" max="2" width="18.5703125" customWidth="1"/>
    <col min="3" max="3" width="16.5703125" bestFit="1" customWidth="1"/>
    <col min="4" max="4" width="15.85546875" bestFit="1" customWidth="1"/>
    <col min="5" max="5" width="18.5703125" bestFit="1" customWidth="1"/>
    <col min="6" max="6" width="15" bestFit="1" customWidth="1"/>
    <col min="7" max="9" width="15.140625" bestFit="1" customWidth="1"/>
  </cols>
  <sheetData>
    <row r="1" spans="1:7" x14ac:dyDescent="0.25">
      <c r="A1" t="s">
        <v>362</v>
      </c>
    </row>
    <row r="2" spans="1:7" x14ac:dyDescent="0.25">
      <c r="A2" t="s">
        <v>285</v>
      </c>
      <c r="B2" t="s">
        <v>289</v>
      </c>
    </row>
    <row r="3" spans="1:7" x14ac:dyDescent="0.25">
      <c r="A3" t="s">
        <v>290</v>
      </c>
      <c r="B3" t="s">
        <v>80</v>
      </c>
    </row>
    <row r="4" spans="1:7" x14ac:dyDescent="0.25">
      <c r="A4" t="s">
        <v>214</v>
      </c>
      <c r="B4" t="s">
        <v>291</v>
      </c>
    </row>
    <row r="5" spans="1:7" x14ac:dyDescent="0.25">
      <c r="A5" t="s">
        <v>286</v>
      </c>
      <c r="B5" t="s">
        <v>292</v>
      </c>
    </row>
    <row r="6" spans="1:7" x14ac:dyDescent="0.25">
      <c r="A6" t="s">
        <v>293</v>
      </c>
      <c r="B6" t="s">
        <v>294</v>
      </c>
    </row>
    <row r="9" spans="1:7" x14ac:dyDescent="0.25">
      <c r="A9" s="1" t="s">
        <v>287</v>
      </c>
      <c r="B9" t="s">
        <v>302</v>
      </c>
    </row>
    <row r="10" spans="1:7" x14ac:dyDescent="0.25">
      <c r="A10" t="s">
        <v>221</v>
      </c>
      <c r="B10" s="31">
        <v>43609</v>
      </c>
    </row>
    <row r="11" spans="1:7" x14ac:dyDescent="0.25">
      <c r="B11" t="s">
        <v>138</v>
      </c>
      <c r="C11" t="s">
        <v>139</v>
      </c>
      <c r="E11" t="s">
        <v>326</v>
      </c>
      <c r="F11" s="1" t="s">
        <v>327</v>
      </c>
      <c r="G11" s="1" t="s">
        <v>328</v>
      </c>
    </row>
    <row r="12" spans="1:7" x14ac:dyDescent="0.25">
      <c r="A12" t="s">
        <v>208</v>
      </c>
      <c r="D12" t="s">
        <v>300</v>
      </c>
    </row>
    <row r="13" spans="1:7" x14ac:dyDescent="0.25">
      <c r="A13" t="s">
        <v>325</v>
      </c>
      <c r="B13">
        <v>10</v>
      </c>
      <c r="C13">
        <v>19</v>
      </c>
      <c r="D13">
        <v>0.3</v>
      </c>
      <c r="E13">
        <v>0</v>
      </c>
      <c r="F13">
        <f>$B13+$E13+$D13*2</f>
        <v>10.6</v>
      </c>
      <c r="G13">
        <f>$C13+$D13*2</f>
        <v>19.600000000000001</v>
      </c>
    </row>
    <row r="15" spans="1:7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7" x14ac:dyDescent="0.25">
      <c r="A16" t="s">
        <v>219</v>
      </c>
      <c r="D16" s="1">
        <f>SoConTrenToLon($C$15,$D$15,$F$13,$G$13)</f>
        <v>6</v>
      </c>
      <c r="E16">
        <v>2</v>
      </c>
    </row>
    <row r="17" spans="1:9" x14ac:dyDescent="0.25">
      <c r="A17" t="s">
        <v>135</v>
      </c>
      <c r="D17" s="33">
        <v>0.75</v>
      </c>
      <c r="E17" s="34" t="s">
        <v>233</v>
      </c>
    </row>
    <row r="18" spans="1:9" x14ac:dyDescent="0.25">
      <c r="B18" t="s">
        <v>215</v>
      </c>
      <c r="C18" t="s">
        <v>216</v>
      </c>
      <c r="D18" t="s">
        <v>218</v>
      </c>
      <c r="E18" t="s">
        <v>217</v>
      </c>
    </row>
    <row r="19" spans="1:9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1" spans="1:9" x14ac:dyDescent="0.25">
      <c r="A21" t="s">
        <v>331</v>
      </c>
      <c r="B21" t="s">
        <v>98</v>
      </c>
      <c r="C21" t="s">
        <v>99</v>
      </c>
      <c r="D21">
        <v>1200</v>
      </c>
    </row>
    <row r="23" spans="1:9" x14ac:dyDescent="0.25">
      <c r="A23" t="s">
        <v>305</v>
      </c>
    </row>
    <row r="24" spans="1:9" x14ac:dyDescent="0.25">
      <c r="A24" t="s">
        <v>263</v>
      </c>
      <c r="B24" t="s">
        <v>262</v>
      </c>
      <c r="E24">
        <v>10</v>
      </c>
      <c r="F24">
        <v>20</v>
      </c>
      <c r="G24">
        <v>30</v>
      </c>
      <c r="H24">
        <v>40</v>
      </c>
      <c r="I24">
        <v>50</v>
      </c>
    </row>
    <row r="25" spans="1:9" x14ac:dyDescent="0.25">
      <c r="A25">
        <v>12</v>
      </c>
      <c r="B25">
        <f>$A25*E$24</f>
        <v>120</v>
      </c>
      <c r="C25" t="s">
        <v>332</v>
      </c>
      <c r="E25">
        <f>($A25*E$24/2)/$D$16</f>
        <v>10</v>
      </c>
      <c r="F25">
        <f t="shared" ref="F25:I25" si="0">($A25*F$24/2)/$D$16</f>
        <v>20</v>
      </c>
      <c r="G25">
        <f t="shared" si="0"/>
        <v>30</v>
      </c>
      <c r="H25">
        <f t="shared" si="0"/>
        <v>40</v>
      </c>
      <c r="I25">
        <f t="shared" si="0"/>
        <v>50</v>
      </c>
    </row>
    <row r="26" spans="1:9" x14ac:dyDescent="0.25">
      <c r="C26" t="s">
        <v>306</v>
      </c>
      <c r="E26" s="7">
        <f>PhiInKM4M_BHR70(E$25*$E$16*2)*(1+$D$17)</f>
        <v>136500</v>
      </c>
      <c r="F26" s="7">
        <f>PhiInKM4M_BHR70(F$25*$E$16*2)*(1+$D$17)</f>
        <v>185500</v>
      </c>
      <c r="G26" s="7">
        <f>PhiInKM4M_BHR70(G$25*$E$16*2)*(1+$D$17)</f>
        <v>234500</v>
      </c>
      <c r="H26" s="7">
        <f>PhiInKM4M_BHR70(H$25*$E$16*2)*(1+$D$17)</f>
        <v>283500</v>
      </c>
      <c r="I26" s="7">
        <f>PhiInKM4M_BHR70(I$25*$E$16*2)*(1+$D$17)</f>
        <v>332500</v>
      </c>
    </row>
    <row r="27" spans="1:9" x14ac:dyDescent="0.25">
      <c r="C27" t="s">
        <v>333</v>
      </c>
      <c r="E27" s="7">
        <f>E$25*$D$19*(1+$D$17)</f>
        <v>22260</v>
      </c>
      <c r="F27" s="7">
        <f>F$25*$D$19*(1+$D$17)</f>
        <v>44520</v>
      </c>
      <c r="G27" s="7">
        <f t="shared" ref="G27:I27" si="1">G$25*$D$19*(1+$D$17)</f>
        <v>66780</v>
      </c>
      <c r="H27" s="7">
        <f t="shared" si="1"/>
        <v>89040</v>
      </c>
      <c r="I27" s="7">
        <f t="shared" si="1"/>
        <v>111300</v>
      </c>
    </row>
    <row r="28" spans="1:9" x14ac:dyDescent="0.25">
      <c r="C28" t="s">
        <v>310</v>
      </c>
      <c r="E28" s="7">
        <f>(PhiMayCanMang(E$25*2,$C$15/100,$D$15/100) + PhiMangCan(E$25*2,$C$15/100,$D$15/100,$D$21))*(1+$D$17)</f>
        <v>74559.937024999992</v>
      </c>
      <c r="F28" s="7">
        <f>(PhiMayCanMang(F$25*2,$C$15/100,$D$15/100) + PhiMangCan(F$25*2,$C$15/100,$D$15/100,$D$21))*(1+$D$17)</f>
        <v>85406.148625000002</v>
      </c>
      <c r="G28" s="7">
        <f>(PhiMayCanMang(G$25*2,$C$15/100,$D$15/100) + PhiMangCan(G$25*2,$C$15/100,$D$15/100,$D$21))*(1+$D$17)</f>
        <v>95799.419800000003</v>
      </c>
      <c r="H28" s="7">
        <f>(PhiMayCanMang(H$25*2,$C$15/100,$D$15/100) + PhiMangCan(H$25*2,$C$15/100,$D$15/100,$D$21))*(1+$D$17)</f>
        <v>106645.63035000001</v>
      </c>
      <c r="I28" s="7">
        <f>(PhiMayCanMang(I$25*2,$C$15/100,$D$15/100) + PhiMangCan(I$25*2,$C$15/100,$D$15/100,$D$21))*(1+$D$17)</f>
        <v>117038.901875</v>
      </c>
    </row>
    <row r="29" spans="1:9" x14ac:dyDescent="0.25">
      <c r="C29" t="s">
        <v>334</v>
      </c>
      <c r="E29" s="7"/>
      <c r="F29" s="7"/>
      <c r="G29" s="7"/>
      <c r="H29" s="7"/>
      <c r="I29" s="7"/>
    </row>
    <row r="30" spans="1:9" x14ac:dyDescent="0.25">
      <c r="C30" t="s">
        <v>329</v>
      </c>
      <c r="E30" s="25">
        <f>LamChanHangNgan(E$26+E$27+E$29)</f>
        <v>158000</v>
      </c>
      <c r="F30" s="25">
        <f t="shared" ref="F30:I30" si="2">LamChanHangNgan(F$26+F$27+F$29)</f>
        <v>230000</v>
      </c>
      <c r="G30" s="25">
        <f t="shared" si="2"/>
        <v>301000</v>
      </c>
      <c r="H30" s="25">
        <f t="shared" si="2"/>
        <v>372000</v>
      </c>
      <c r="I30" s="25">
        <f t="shared" si="2"/>
        <v>443000</v>
      </c>
    </row>
    <row r="31" spans="1:9" x14ac:dyDescent="0.25">
      <c r="C31" t="s">
        <v>330</v>
      </c>
      <c r="E31" s="25">
        <f>LamChanHangNgan(E$26+E$27+E$28+E$29)</f>
        <v>233000</v>
      </c>
      <c r="F31" s="25">
        <f t="shared" ref="F31:I31" si="3">LamChanHangNgan(F$26+F$27+F$28+F$29)</f>
        <v>315000</v>
      </c>
      <c r="G31" s="25">
        <f t="shared" si="3"/>
        <v>397000</v>
      </c>
      <c r="H31" s="25">
        <f t="shared" si="3"/>
        <v>479000</v>
      </c>
      <c r="I31" s="25">
        <f t="shared" si="3"/>
        <v>560000</v>
      </c>
    </row>
    <row r="32" spans="1:9" x14ac:dyDescent="0.25">
      <c r="A32">
        <v>14</v>
      </c>
      <c r="B32">
        <f>$A32*E$24</f>
        <v>140</v>
      </c>
      <c r="C32" t="s">
        <v>332</v>
      </c>
      <c r="E32">
        <f>($A32*E$24/2)/$D$16</f>
        <v>11.666666666666666</v>
      </c>
      <c r="F32">
        <f t="shared" ref="F32:I32" si="4">($A32*F$24/2)/$D$16</f>
        <v>23.333333333333332</v>
      </c>
      <c r="G32">
        <f t="shared" si="4"/>
        <v>35</v>
      </c>
      <c r="H32">
        <f t="shared" si="4"/>
        <v>46.666666666666664</v>
      </c>
      <c r="I32">
        <f t="shared" si="4"/>
        <v>58.333333333333336</v>
      </c>
    </row>
    <row r="33" spans="1:9" x14ac:dyDescent="0.25">
      <c r="C33" t="s">
        <v>306</v>
      </c>
      <c r="E33" s="26">
        <f>PhiInKM4M_BHR70(E32*$E$16*2)*(1+$D$17)</f>
        <v>145075</v>
      </c>
      <c r="F33" s="26">
        <f>PhiInKM4M_BHR70(F32*$E$16*2)*(1+$D$17)</f>
        <v>201425</v>
      </c>
      <c r="G33" s="26">
        <f>PhiInKM4M_BHR70(G32*$E$16*2)*(1+$D$17)</f>
        <v>259000</v>
      </c>
      <c r="H33" s="26">
        <f>PhiInKM4M_BHR70(H32*$E$16*2)*(1+$D$17)</f>
        <v>316575</v>
      </c>
      <c r="I33" s="26">
        <f>PhiInKM4M_BHR70(I32*$E$16*2)*(1+$D$17)</f>
        <v>372925</v>
      </c>
    </row>
    <row r="34" spans="1:9" x14ac:dyDescent="0.25">
      <c r="C34" t="s">
        <v>333</v>
      </c>
      <c r="E34" s="26">
        <f>E32*$D$19*(1+$D$17)</f>
        <v>25970</v>
      </c>
      <c r="F34" s="26">
        <f t="shared" ref="F34:I34" si="5">F32*$D$19*(1+$D$17)</f>
        <v>51940</v>
      </c>
      <c r="G34" s="26">
        <f t="shared" si="5"/>
        <v>77910</v>
      </c>
      <c r="H34" s="26">
        <f t="shared" si="5"/>
        <v>103880</v>
      </c>
      <c r="I34" s="26">
        <f t="shared" si="5"/>
        <v>129850</v>
      </c>
    </row>
    <row r="35" spans="1:9" x14ac:dyDescent="0.25">
      <c r="C35" t="s">
        <v>310</v>
      </c>
      <c r="E35" s="26">
        <f>(PhiMayCanMang(E32*2,$C$15/100,$D$15/100) + PhiMangCan(E32*2,$C$15/100,$D$15/100,$D$21))*(1+$D$17)</f>
        <v>76413.339275000006</v>
      </c>
      <c r="F35" s="26">
        <f>(PhiMayCanMang(F32*2,$C$15/100,$D$15/100) + PhiMangCan(F32*2,$C$15/100,$D$15/100,$D$21))*(1+$D$17)</f>
        <v>88975.852350000001</v>
      </c>
      <c r="G35" s="26">
        <f>(PhiMayCanMang(G32*2,$C$15/100,$D$15/100) + PhiMangCan(G32*2,$C$15/100,$D$15/100,$D$21))*(1+$D$17)</f>
        <v>101222.52525000001</v>
      </c>
      <c r="H35" s="26">
        <f>(PhiMayCanMang(H32*2,$C$15/100,$D$15/100) + PhiMangCan(H32*2,$C$15/100,$D$15/100,$D$21))*(1+$D$17)</f>
        <v>113469.19779999999</v>
      </c>
      <c r="I35" s="26">
        <f>(PhiMayCanMang(I32*2,$C$15/100,$D$15/100) + PhiMangCan(I32*2,$C$15/100,$D$15/100,$D$21))*(1+$D$17)</f>
        <v>126031.710875</v>
      </c>
    </row>
    <row r="36" spans="1:9" x14ac:dyDescent="0.25">
      <c r="C36" t="s">
        <v>334</v>
      </c>
      <c r="E36" s="26"/>
      <c r="F36" s="26"/>
      <c r="G36" s="26"/>
      <c r="H36" s="26"/>
      <c r="I36" s="26"/>
    </row>
    <row r="37" spans="1:9" x14ac:dyDescent="0.25">
      <c r="C37" t="s">
        <v>329</v>
      </c>
      <c r="E37" s="42">
        <f>LamChanHangNgan(E33+E34+E36)</f>
        <v>171000</v>
      </c>
      <c r="F37" s="42">
        <f t="shared" ref="F37:I37" si="6">LamChanHangNgan(F33+F34+F36)</f>
        <v>253000</v>
      </c>
      <c r="G37" s="42">
        <f t="shared" si="6"/>
        <v>336000</v>
      </c>
      <c r="H37" s="42">
        <f t="shared" si="6"/>
        <v>420000</v>
      </c>
      <c r="I37" s="42">
        <f t="shared" si="6"/>
        <v>502000</v>
      </c>
    </row>
    <row r="38" spans="1:9" x14ac:dyDescent="0.25">
      <c r="C38" t="s">
        <v>330</v>
      </c>
      <c r="E38" s="42">
        <f>LamChanHangNgan(E33+E34+E35+E36)</f>
        <v>247000</v>
      </c>
      <c r="F38" s="42">
        <f t="shared" ref="F38:I38" si="7">LamChanHangNgan(F33+F34+F35+F36)</f>
        <v>342000</v>
      </c>
      <c r="G38" s="42">
        <f t="shared" si="7"/>
        <v>438000</v>
      </c>
      <c r="H38" s="42">
        <f t="shared" si="7"/>
        <v>533000</v>
      </c>
      <c r="I38" s="42">
        <f t="shared" si="7"/>
        <v>628000</v>
      </c>
    </row>
    <row r="39" spans="1:9" x14ac:dyDescent="0.25">
      <c r="A39">
        <v>16</v>
      </c>
      <c r="B39">
        <f>$A39*E$24</f>
        <v>160</v>
      </c>
      <c r="C39" t="s">
        <v>332</v>
      </c>
      <c r="E39">
        <f>($A39*E$24/2)/$D$16</f>
        <v>13.333333333333334</v>
      </c>
      <c r="F39">
        <f t="shared" ref="F39:I39" si="8">($A39*F$24/2)/$D$16</f>
        <v>26.666666666666668</v>
      </c>
      <c r="G39">
        <f t="shared" si="8"/>
        <v>40</v>
      </c>
      <c r="H39">
        <f t="shared" si="8"/>
        <v>53.333333333333336</v>
      </c>
      <c r="I39">
        <f t="shared" si="8"/>
        <v>66.666666666666671</v>
      </c>
    </row>
    <row r="40" spans="1:9" x14ac:dyDescent="0.25">
      <c r="C40" t="s">
        <v>306</v>
      </c>
      <c r="E40">
        <f>PhiInKM4M_BHR70(E39*$E$16*2)*(1+$D$17)</f>
        <v>152425</v>
      </c>
      <c r="F40">
        <f>PhiInKM4M_BHR70(F39*$E$16*2)*(1+$D$17)</f>
        <v>218575</v>
      </c>
      <c r="G40">
        <f>PhiInKM4M_BHR70(G39*$E$16*2)*(1+$D$17)</f>
        <v>283500</v>
      </c>
      <c r="H40">
        <f>PhiInKM4M_BHR70(H39*$E$16*2)*(1+$D$17)</f>
        <v>348425</v>
      </c>
      <c r="I40">
        <f>PhiInKM4M_BHR70(I39*$E$16*2)*(1+$D$17)</f>
        <v>414575</v>
      </c>
    </row>
    <row r="41" spans="1:9" x14ac:dyDescent="0.25">
      <c r="C41" t="s">
        <v>333</v>
      </c>
      <c r="E41">
        <f>E39*$D$19*(1+$D$17)</f>
        <v>29680</v>
      </c>
      <c r="F41">
        <f t="shared" ref="F41:I41" si="9">F39*$D$19*(1+$D$17)</f>
        <v>59360</v>
      </c>
      <c r="G41">
        <f t="shared" si="9"/>
        <v>89040</v>
      </c>
      <c r="H41">
        <f t="shared" si="9"/>
        <v>118720</v>
      </c>
      <c r="I41">
        <f t="shared" si="9"/>
        <v>148400</v>
      </c>
    </row>
    <row r="42" spans="1:9" x14ac:dyDescent="0.25">
      <c r="C42" t="s">
        <v>310</v>
      </c>
      <c r="E42">
        <f>(PhiMayCanMang(E39*2,$C$15/100,$D$15/100) + PhiMangCan(E39*2,$C$15/100,$D$15/100,$D$21))*(1+$D$17)</f>
        <v>78582.582049999997</v>
      </c>
      <c r="F42">
        <f>(PhiMayCanMang(F39*2,$C$15/100,$D$15/100) + PhiMangCan(F39*2,$C$15/100,$D$15/100,$D$21))*(1+$D$17)</f>
        <v>92229.71590000001</v>
      </c>
      <c r="G42">
        <f>(PhiMayCanMang(G39*2,$C$15/100,$D$15/100) + PhiMangCan(G39*2,$C$15/100,$D$15/100,$D$21))*(1+$D$17)</f>
        <v>106645.63035000001</v>
      </c>
      <c r="H42">
        <f>(PhiMayCanMang(H39*2,$C$15/100,$D$15/100) + PhiMangCan(H39*2,$C$15/100,$D$15/100,$D$21))*(1+$D$17)</f>
        <v>120608.60577499999</v>
      </c>
      <c r="I42">
        <f>(PhiMayCanMang(I39*2,$C$15/100,$D$15/100) + PhiMangCan(I39*2,$C$15/100,$D$15/100,$D$21))*(1+$D$17)</f>
        <v>134708.67777499999</v>
      </c>
    </row>
    <row r="43" spans="1:9" x14ac:dyDescent="0.25">
      <c r="C43" t="s">
        <v>334</v>
      </c>
    </row>
    <row r="44" spans="1:9" x14ac:dyDescent="0.25">
      <c r="C44" t="s">
        <v>329</v>
      </c>
      <c r="E44" s="25">
        <f>LamChanHangNgan(E40+E41+E43)</f>
        <v>182000</v>
      </c>
      <c r="F44" s="25">
        <f t="shared" ref="F44:I44" si="10">LamChanHangNgan(F40+F41+F43)</f>
        <v>277000</v>
      </c>
      <c r="G44" s="25">
        <f t="shared" si="10"/>
        <v>372000</v>
      </c>
      <c r="H44" s="25">
        <f t="shared" si="10"/>
        <v>467000</v>
      </c>
      <c r="I44" s="25">
        <f t="shared" si="10"/>
        <v>562000</v>
      </c>
    </row>
    <row r="45" spans="1:9" x14ac:dyDescent="0.25">
      <c r="C45" t="s">
        <v>330</v>
      </c>
      <c r="E45" s="25">
        <f>LamChanHangNgan(E40+E41+E42+E43)</f>
        <v>260000</v>
      </c>
      <c r="F45" s="25">
        <f t="shared" ref="F45:I45" si="11">LamChanHangNgan(F40+F41+F42+F43)</f>
        <v>370000</v>
      </c>
      <c r="G45" s="25">
        <f t="shared" si="11"/>
        <v>479000</v>
      </c>
      <c r="H45" s="25">
        <f t="shared" si="11"/>
        <v>587000</v>
      </c>
      <c r="I45" s="25">
        <f t="shared" si="11"/>
        <v>697000</v>
      </c>
    </row>
    <row r="46" spans="1:9" x14ac:dyDescent="0.25">
      <c r="A46">
        <v>18</v>
      </c>
      <c r="B46">
        <f>$A46*E$24</f>
        <v>180</v>
      </c>
      <c r="C46" t="s">
        <v>332</v>
      </c>
      <c r="E46">
        <f>($A46*E$24/2)/$D$16</f>
        <v>15</v>
      </c>
      <c r="F46">
        <f t="shared" ref="F46:I46" si="12">($A46*F$24/2)/$D$16</f>
        <v>30</v>
      </c>
      <c r="G46">
        <f t="shared" si="12"/>
        <v>45</v>
      </c>
      <c r="H46">
        <f t="shared" si="12"/>
        <v>60</v>
      </c>
      <c r="I46">
        <f t="shared" si="12"/>
        <v>75</v>
      </c>
    </row>
    <row r="47" spans="1:9" x14ac:dyDescent="0.25">
      <c r="C47" t="s">
        <v>306</v>
      </c>
      <c r="E47">
        <f>PhiInKM4M_BHR70(E46*$E$16*2)*(1+$D$17)</f>
        <v>161000</v>
      </c>
      <c r="F47">
        <f>PhiInKM4M_BHR70(F46*$E$16*2)*(1+$D$17)</f>
        <v>234500</v>
      </c>
      <c r="G47">
        <f>PhiInKM4M_BHR70(G46*$E$16*2)*(1+$D$17)</f>
        <v>308000</v>
      </c>
      <c r="H47">
        <f>PhiInKM4M_BHR70(H46*$E$16*2)*(1+$D$17)</f>
        <v>381500</v>
      </c>
      <c r="I47">
        <f>PhiInKM4M_BHR70(I46*$E$16*2)*(1+$D$17)</f>
        <v>455000</v>
      </c>
    </row>
    <row r="48" spans="1:9" x14ac:dyDescent="0.25">
      <c r="C48" t="s">
        <v>333</v>
      </c>
      <c r="E48">
        <f>E46*$D$19*(1+$D$17)</f>
        <v>33390</v>
      </c>
      <c r="F48">
        <f t="shared" ref="F48:I48" si="13">F46*$D$19*(1+$D$17)</f>
        <v>66780</v>
      </c>
      <c r="G48">
        <f t="shared" si="13"/>
        <v>100170</v>
      </c>
      <c r="H48">
        <f t="shared" si="13"/>
        <v>133560</v>
      </c>
      <c r="I48">
        <f t="shared" si="13"/>
        <v>166950</v>
      </c>
    </row>
    <row r="49" spans="1:9" x14ac:dyDescent="0.25">
      <c r="C49" t="s">
        <v>310</v>
      </c>
      <c r="E49">
        <f>(PhiMayCanMang(E46*2,$C$15/100,$D$15/100) + PhiMangCan(E46*2,$C$15/100,$D$15/100,$D$21))*(1+$D$17)</f>
        <v>79983.043174999999</v>
      </c>
      <c r="F49">
        <f>(PhiMayCanMang(F46*2,$C$15/100,$D$15/100) + PhiMangCan(F46*2,$C$15/100,$D$15/100,$D$21))*(1+$D$17)</f>
        <v>95799.419800000003</v>
      </c>
      <c r="G49">
        <f>(PhiMayCanMang(G46*2,$C$15/100,$D$15/100) + PhiMangCan(G46*2,$C$15/100,$D$15/100,$D$21))*(1+$D$17)</f>
        <v>111615.79449999999</v>
      </c>
      <c r="H49">
        <f>(PhiMayCanMang(H46*2,$C$15/100,$D$15/100) + PhiMangCan(H46*2,$C$15/100,$D$15/100,$D$21))*(1+$D$17)</f>
        <v>127432.17305000001</v>
      </c>
      <c r="I49">
        <f>(PhiMayCanMang(I46*2,$C$15/100,$D$15/100) + PhiMangCan(I46*2,$C$15/100,$D$15/100,$D$21))*(1+$D$17)</f>
        <v>143248.54792499999</v>
      </c>
    </row>
    <row r="50" spans="1:9" x14ac:dyDescent="0.25">
      <c r="C50" t="s">
        <v>334</v>
      </c>
    </row>
    <row r="51" spans="1:9" x14ac:dyDescent="0.25">
      <c r="C51" t="s">
        <v>329</v>
      </c>
      <c r="E51" s="25">
        <f>LamChanHangNgan(E47+E48+E50)</f>
        <v>194000</v>
      </c>
      <c r="F51" s="25">
        <f t="shared" ref="F51:I51" si="14">LamChanHangNgan(F47+F48+F50)</f>
        <v>301000</v>
      </c>
      <c r="G51" s="25">
        <f t="shared" si="14"/>
        <v>408000</v>
      </c>
      <c r="H51" s="25">
        <f t="shared" si="14"/>
        <v>515000</v>
      </c>
      <c r="I51" s="25">
        <f t="shared" si="14"/>
        <v>621000</v>
      </c>
    </row>
    <row r="52" spans="1:9" x14ac:dyDescent="0.25">
      <c r="C52" t="s">
        <v>330</v>
      </c>
      <c r="E52" s="25">
        <f>LamChanHangNgan(E47+E48+E49+E50)</f>
        <v>274000</v>
      </c>
      <c r="F52" s="25">
        <f t="shared" ref="F52:I52" si="15">LamChanHangNgan(F47+F48+F49+F50)</f>
        <v>397000</v>
      </c>
      <c r="G52" s="25">
        <f t="shared" si="15"/>
        <v>519000</v>
      </c>
      <c r="H52" s="25">
        <f t="shared" si="15"/>
        <v>642000</v>
      </c>
      <c r="I52" s="25">
        <f t="shared" si="15"/>
        <v>765000</v>
      </c>
    </row>
    <row r="53" spans="1:9" x14ac:dyDescent="0.25">
      <c r="A53">
        <v>20</v>
      </c>
      <c r="B53">
        <f>$A53*E$24</f>
        <v>200</v>
      </c>
      <c r="C53" t="s">
        <v>332</v>
      </c>
      <c r="E53">
        <f>($A53*E$24/2)/$D$16</f>
        <v>16.666666666666668</v>
      </c>
      <c r="F53">
        <f t="shared" ref="F53:I53" si="16">($A53*F$24/2)/$D$16</f>
        <v>33.333333333333336</v>
      </c>
      <c r="G53">
        <f t="shared" si="16"/>
        <v>50</v>
      </c>
      <c r="H53">
        <f t="shared" si="16"/>
        <v>66.666666666666671</v>
      </c>
      <c r="I53">
        <f t="shared" si="16"/>
        <v>83.333333333333329</v>
      </c>
    </row>
    <row r="54" spans="1:9" x14ac:dyDescent="0.25">
      <c r="C54" t="s">
        <v>306</v>
      </c>
      <c r="E54">
        <f>PhiInKM4M_BHR70(E53*$E$16*2)*(1+$D$17)</f>
        <v>169575</v>
      </c>
      <c r="F54">
        <f>PhiInKM4M_BHR70(F53*$E$16*2)*(1+$D$17)</f>
        <v>250425</v>
      </c>
      <c r="G54">
        <f>PhiInKM4M_BHR70(G53*$E$16*2)*(1+$D$17)</f>
        <v>332500</v>
      </c>
      <c r="H54">
        <f>PhiInKM4M_BHR70(H53*$E$16*2)*(1+$D$17)</f>
        <v>414575</v>
      </c>
      <c r="I54">
        <f>PhiInKM4M_BHR70(I53*$E$16*2)*(1+$D$17)</f>
        <v>495425</v>
      </c>
    </row>
    <row r="55" spans="1:9" x14ac:dyDescent="0.25">
      <c r="C55" t="s">
        <v>333</v>
      </c>
      <c r="E55">
        <f>E53*$D$19*(1+$D$17)</f>
        <v>37100</v>
      </c>
      <c r="F55">
        <f t="shared" ref="F55:I55" si="17">F53*$D$19*(1+$D$17)</f>
        <v>74200</v>
      </c>
      <c r="G55">
        <f t="shared" si="17"/>
        <v>111300</v>
      </c>
      <c r="H55">
        <f t="shared" si="17"/>
        <v>148400</v>
      </c>
      <c r="I55">
        <f t="shared" si="17"/>
        <v>185500</v>
      </c>
    </row>
    <row r="56" spans="1:9" x14ac:dyDescent="0.25">
      <c r="C56" t="s">
        <v>310</v>
      </c>
      <c r="E56">
        <f>(PhiMayCanMang(E53*2,$C$15/100,$D$15/100) + PhiMangCan(E53*2,$C$15/100,$D$15/100,$D$21))*(1+$D$17)</f>
        <v>81836.445600000006</v>
      </c>
      <c r="F56">
        <f>(PhiMayCanMang(F53*2,$C$15/100,$D$15/100) + PhiMangCan(F53*2,$C$15/100,$D$15/100,$D$21))*(1+$D$17)</f>
        <v>99369.121775000007</v>
      </c>
      <c r="G56">
        <f>(PhiMayCanMang(G53*2,$C$15/100,$D$15/100) + PhiMangCan(G53*2,$C$15/100,$D$15/100,$D$21))*(1+$D$17)</f>
        <v>117038.901875</v>
      </c>
      <c r="H56">
        <f>(PhiMayCanMang(H53*2,$C$15/100,$D$15/100) + PhiMangCan(H53*2,$C$15/100,$D$15/100,$D$21))*(1+$D$17)</f>
        <v>134708.67777499999</v>
      </c>
      <c r="I56">
        <f>(PhiMayCanMang(I53*2,$C$15/100,$D$15/100) + PhiMangCan(I53*2,$C$15/100,$D$15/100,$D$21))*(1+$D$17)</f>
        <v>152241.35902499998</v>
      </c>
    </row>
    <row r="57" spans="1:9" x14ac:dyDescent="0.25">
      <c r="C57" t="s">
        <v>334</v>
      </c>
    </row>
    <row r="58" spans="1:9" x14ac:dyDescent="0.25">
      <c r="C58" t="s">
        <v>329</v>
      </c>
      <c r="E58" s="25">
        <f>LamChanHangNgan(E54+E55+E57)</f>
        <v>206000</v>
      </c>
      <c r="F58" s="25">
        <f t="shared" ref="F58:I58" si="18">LamChanHangNgan(F54+F55+F57)</f>
        <v>324000</v>
      </c>
      <c r="G58" s="25">
        <f t="shared" si="18"/>
        <v>443000</v>
      </c>
      <c r="H58" s="25">
        <f t="shared" si="18"/>
        <v>562000</v>
      </c>
      <c r="I58" s="25">
        <f t="shared" si="18"/>
        <v>680000</v>
      </c>
    </row>
    <row r="59" spans="1:9" ht="14.25" customHeight="1" x14ac:dyDescent="0.25">
      <c r="C59" t="s">
        <v>330</v>
      </c>
      <c r="E59" s="25">
        <f>LamChanHangNgan(E54+E55+E56+E57)</f>
        <v>288000</v>
      </c>
      <c r="F59" s="25">
        <f t="shared" ref="F59:I59" si="19">LamChanHangNgan(F54+F55+F56+F57)</f>
        <v>423000</v>
      </c>
      <c r="G59" s="25">
        <f t="shared" si="19"/>
        <v>560000</v>
      </c>
      <c r="H59" s="25">
        <f t="shared" si="19"/>
        <v>697000</v>
      </c>
      <c r="I59" s="25">
        <f t="shared" si="19"/>
        <v>833000</v>
      </c>
    </row>
    <row r="60" spans="1:9" x14ac:dyDescent="0.25">
      <c r="A60">
        <v>22</v>
      </c>
      <c r="B60">
        <f>$A60*E$24</f>
        <v>220</v>
      </c>
      <c r="C60" t="s">
        <v>332</v>
      </c>
      <c r="E60">
        <f>($A60*E$24/2)/$D$16</f>
        <v>18.333333333333332</v>
      </c>
      <c r="F60">
        <f t="shared" ref="F60:I60" si="20">($A60*F$24/2)/$D$16</f>
        <v>36.666666666666664</v>
      </c>
      <c r="G60">
        <f t="shared" si="20"/>
        <v>55</v>
      </c>
      <c r="H60">
        <f t="shared" si="20"/>
        <v>73.333333333333329</v>
      </c>
      <c r="I60">
        <f t="shared" si="20"/>
        <v>91.666666666666671</v>
      </c>
    </row>
    <row r="61" spans="1:9" x14ac:dyDescent="0.25">
      <c r="C61" t="s">
        <v>306</v>
      </c>
      <c r="E61">
        <f>PhiInKM4M_BHR70(E60*$E$16*2)*(1+$D$17)</f>
        <v>176925</v>
      </c>
      <c r="F61">
        <f>PhiInKM4M_BHR70(F60*$E$16*2)*(1+$D$17)</f>
        <v>267575</v>
      </c>
      <c r="G61">
        <f>PhiInKM4M_BHR70(G60*$E$16*2)*(1+$D$17)</f>
        <v>357000</v>
      </c>
      <c r="H61">
        <f>PhiInKM4M_BHR70(H60*$E$16*2)*(1+$D$17)</f>
        <v>446425</v>
      </c>
      <c r="I61">
        <f>PhiInKM4M_BHR70(I60*$E$16*2)*(1+$D$17)</f>
        <v>537075</v>
      </c>
    </row>
    <row r="62" spans="1:9" x14ac:dyDescent="0.25">
      <c r="C62" t="s">
        <v>333</v>
      </c>
      <c r="E62">
        <f>E60*$D$19*(1+$D$17)</f>
        <v>40810</v>
      </c>
      <c r="F62">
        <f t="shared" ref="F62:I62" si="21">F60*$D$19*(1+$D$17)</f>
        <v>81620</v>
      </c>
      <c r="G62">
        <f t="shared" si="21"/>
        <v>122430</v>
      </c>
      <c r="H62">
        <f t="shared" si="21"/>
        <v>163240</v>
      </c>
      <c r="I62">
        <f t="shared" si="21"/>
        <v>204050</v>
      </c>
    </row>
    <row r="63" spans="1:9" x14ac:dyDescent="0.25">
      <c r="C63" t="s">
        <v>310</v>
      </c>
      <c r="E63">
        <f>(PhiMayCanMang(E60*2,$C$15/100,$D$15/100) + PhiMangCan(E60*2,$C$15/100,$D$15/100,$D$21))*(1+$D$17)</f>
        <v>83552.746025</v>
      </c>
      <c r="F63">
        <f>(PhiMayCanMang(F60*2,$C$15/100,$D$15/100) + PhiMangCan(F60*2,$C$15/100,$D$15/100,$D$21))*(1+$D$17)</f>
        <v>102622.985325</v>
      </c>
      <c r="G63">
        <f>(PhiMayCanMang(G60*2,$C$15/100,$D$15/100) + PhiMangCan(G60*2,$C$15/100,$D$15/100,$D$21))*(1+$D$17)</f>
        <v>122462.00505000001</v>
      </c>
      <c r="H63">
        <f>(PhiMayCanMang(H60*2,$C$15/100,$D$15/100) + PhiMangCan(H60*2,$C$15/100,$D$15/100,$D$21))*(1+$D$17)</f>
        <v>141848.08557499998</v>
      </c>
      <c r="I63">
        <f>(PhiMayCanMang(I60*2,$C$15/100,$D$15/100) + PhiMangCan(I60*2,$C$15/100,$D$15/100,$D$21))*(1+$D$17)</f>
        <v>160918.32574999999</v>
      </c>
    </row>
    <row r="64" spans="1:9" x14ac:dyDescent="0.25">
      <c r="C64" t="s">
        <v>334</v>
      </c>
    </row>
    <row r="65" spans="1:9" x14ac:dyDescent="0.25">
      <c r="C65" t="s">
        <v>329</v>
      </c>
      <c r="E65" s="25">
        <f>LamChanHangNgan(E61+E62+E64)</f>
        <v>217000</v>
      </c>
      <c r="F65" s="25">
        <f t="shared" ref="F65:I65" si="22">LamChanHangNgan(F61+F62+F64)</f>
        <v>349000</v>
      </c>
      <c r="G65" s="25">
        <f t="shared" si="22"/>
        <v>479000</v>
      </c>
      <c r="H65" s="25">
        <f t="shared" si="22"/>
        <v>609000</v>
      </c>
      <c r="I65" s="25">
        <f t="shared" si="22"/>
        <v>741000</v>
      </c>
    </row>
    <row r="66" spans="1:9" x14ac:dyDescent="0.25">
      <c r="C66" t="s">
        <v>330</v>
      </c>
      <c r="E66" s="25">
        <f>LamChanHangNgan(E61+E62+E63+E64)</f>
        <v>301000</v>
      </c>
      <c r="F66" s="25">
        <f t="shared" ref="F66:I66" si="23">LamChanHangNgan(F61+F62+F63+F64)</f>
        <v>451000</v>
      </c>
      <c r="G66" s="25">
        <f t="shared" si="23"/>
        <v>601000</v>
      </c>
      <c r="H66" s="25">
        <f t="shared" si="23"/>
        <v>751000</v>
      </c>
      <c r="I66" s="25">
        <f t="shared" si="23"/>
        <v>902000</v>
      </c>
    </row>
    <row r="67" spans="1:9" x14ac:dyDescent="0.25">
      <c r="A67">
        <v>24</v>
      </c>
      <c r="B67">
        <f>$A67*E$24</f>
        <v>240</v>
      </c>
      <c r="C67" t="s">
        <v>332</v>
      </c>
      <c r="E67">
        <f>($A67*E$24/2)/$D$16</f>
        <v>20</v>
      </c>
      <c r="F67">
        <f t="shared" ref="F67:I67" si="24">($A67*F$24/2)/$D$16</f>
        <v>40</v>
      </c>
      <c r="G67">
        <f t="shared" si="24"/>
        <v>60</v>
      </c>
      <c r="H67">
        <f t="shared" si="24"/>
        <v>80</v>
      </c>
      <c r="I67">
        <f t="shared" si="24"/>
        <v>100</v>
      </c>
    </row>
    <row r="68" spans="1:9" x14ac:dyDescent="0.25">
      <c r="C68" t="s">
        <v>306</v>
      </c>
      <c r="E68">
        <f>PhiInKM4M_BHR70(E67*$E$16*2)*(1+$D$17)</f>
        <v>185500</v>
      </c>
      <c r="F68">
        <f>PhiInKM4M_BHR70(F67*$E$16*2)*(1+$D$17)</f>
        <v>283500</v>
      </c>
      <c r="G68">
        <f>PhiInKM4M_BHR70(G67*$E$16*2)*(1+$D$17)</f>
        <v>381500</v>
      </c>
      <c r="H68">
        <f>PhiInKM4M_BHR70(H67*$E$16*2)*(1+$D$17)</f>
        <v>479500</v>
      </c>
      <c r="I68">
        <f>PhiInKM4M_BHR70(I67*$E$16*2)*(1+$D$17)</f>
        <v>577500</v>
      </c>
    </row>
    <row r="69" spans="1:9" x14ac:dyDescent="0.25">
      <c r="C69" t="s">
        <v>333</v>
      </c>
      <c r="E69">
        <f>E67*$D$19*(1+$D$17)</f>
        <v>44520</v>
      </c>
      <c r="F69">
        <f t="shared" ref="F69:I69" si="25">F67*$D$19*(1+$D$17)</f>
        <v>89040</v>
      </c>
      <c r="G69">
        <f t="shared" si="25"/>
        <v>133560</v>
      </c>
      <c r="H69">
        <f t="shared" si="25"/>
        <v>178080</v>
      </c>
      <c r="I69">
        <f t="shared" si="25"/>
        <v>222600</v>
      </c>
    </row>
    <row r="70" spans="1:9" x14ac:dyDescent="0.25">
      <c r="C70" t="s">
        <v>310</v>
      </c>
      <c r="E70">
        <f>(PhiMayCanMang(E67*2,$C$15/100,$D$15/100) + PhiMangCan(E67*2,$C$15/100,$D$15/100,$D$21))*(1+$D$17)</f>
        <v>85406.148625000002</v>
      </c>
      <c r="F70">
        <f>(PhiMayCanMang(F67*2,$C$15/100,$D$15/100) + PhiMangCan(F67*2,$C$15/100,$D$15/100,$D$21))*(1+$D$17)</f>
        <v>106645.63035000001</v>
      </c>
      <c r="G70">
        <f>(PhiMayCanMang(G67*2,$C$15/100,$D$15/100) + PhiMangCan(G67*2,$C$15/100,$D$15/100,$D$21))*(1+$D$17)</f>
        <v>127432.17305000001</v>
      </c>
      <c r="H70">
        <f>(PhiMayCanMang(H67*2,$C$15/100,$D$15/100) + PhiMangCan(H67*2,$C$15/100,$D$15/100,$D$21))*(1+$D$17)</f>
        <v>148671.65302500001</v>
      </c>
      <c r="I70">
        <f>(PhiMayCanMang(I67*2,$C$15/100,$D$15/100) + PhiMangCan(I67*2,$C$15/100,$D$15/100,$D$21))*(1+$D$17)</f>
        <v>169911.137025</v>
      </c>
    </row>
    <row r="71" spans="1:9" x14ac:dyDescent="0.25">
      <c r="C71" t="s">
        <v>334</v>
      </c>
    </row>
    <row r="72" spans="1:9" x14ac:dyDescent="0.25">
      <c r="C72" t="s">
        <v>329</v>
      </c>
      <c r="E72" s="25">
        <f>LamChanHangNgan(E68+E69+E71)</f>
        <v>230000</v>
      </c>
      <c r="F72" s="25">
        <f t="shared" ref="F72:I72" si="26">LamChanHangNgan(F68+F69+F71)</f>
        <v>372000</v>
      </c>
      <c r="G72" s="25">
        <f t="shared" si="26"/>
        <v>515000</v>
      </c>
      <c r="H72" s="25">
        <f t="shared" si="26"/>
        <v>657000</v>
      </c>
      <c r="I72" s="25">
        <f t="shared" si="26"/>
        <v>800000</v>
      </c>
    </row>
    <row r="73" spans="1:9" x14ac:dyDescent="0.25">
      <c r="C73" t="s">
        <v>330</v>
      </c>
      <c r="E73" s="25">
        <f>LamChanHangNgan(E68+E69+E70+E71)</f>
        <v>315000</v>
      </c>
      <c r="F73" s="25">
        <f t="shared" ref="F73:I73" si="27">LamChanHangNgan(F68+F69+F70+F71)</f>
        <v>479000</v>
      </c>
      <c r="G73" s="25">
        <f t="shared" si="27"/>
        <v>642000</v>
      </c>
      <c r="H73" s="25">
        <f t="shared" si="27"/>
        <v>806000</v>
      </c>
      <c r="I73" s="25">
        <f t="shared" si="27"/>
        <v>970000</v>
      </c>
    </row>
  </sheetData>
  <dataValidations count="3">
    <dataValidation type="list" allowBlank="1" showInputMessage="1" showErrorMessage="1" errorTitle="Lỗi" error="Vui lòng chọn dữ liệu trong danh sách._x000d__x000a_(Add-in A-Tools Tác giả: Nguyễn Duy Tuân - http://bluesofts.net)" sqref="B19" xr:uid="{C15ADB8B-D963-4456-A3FC-1BE871552D7E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C7DA20C9-E8F0-49C0-BC31-3DE518684D2E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21" xr:uid="{AAE3BBCE-F9FB-4ED5-922A-4C095241C14E}">
      <formula1>OFFSET(GIA_MANG,1,0,,1)</formula1>
    </dataValidation>
  </dataValidation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A82D8-D6F7-4934-B112-8E2CE00527CB}">
  <sheetPr codeName="Trang_tính15"/>
  <dimension ref="A1:M29"/>
  <sheetViews>
    <sheetView workbookViewId="0">
      <selection activeCell="G19" sqref="G19"/>
    </sheetView>
  </sheetViews>
  <sheetFormatPr defaultRowHeight="15" x14ac:dyDescent="0.25"/>
  <cols>
    <col min="2" max="2" width="18.42578125" customWidth="1"/>
    <col min="4" max="4" width="17.28515625" customWidth="1"/>
    <col min="5" max="5" width="12.140625" bestFit="1" customWidth="1"/>
    <col min="6" max="7" width="13.28515625" bestFit="1" customWidth="1"/>
    <col min="8" max="8" width="16.28515625" customWidth="1"/>
    <col min="9" max="9" width="13.28515625" bestFit="1" customWidth="1"/>
  </cols>
  <sheetData>
    <row r="1" spans="1:13" x14ac:dyDescent="0.25">
      <c r="A1" t="s">
        <v>363</v>
      </c>
    </row>
    <row r="2" spans="1:13" x14ac:dyDescent="0.25">
      <c r="A2" t="s">
        <v>364</v>
      </c>
      <c r="D2" t="s">
        <v>365</v>
      </c>
    </row>
    <row r="3" spans="1:13" x14ac:dyDescent="0.25">
      <c r="A3" t="s">
        <v>366</v>
      </c>
    </row>
    <row r="9" spans="1:13" x14ac:dyDescent="0.25">
      <c r="A9" s="1" t="s">
        <v>287</v>
      </c>
      <c r="B9" t="s">
        <v>302</v>
      </c>
    </row>
    <row r="10" spans="1:13" x14ac:dyDescent="0.25">
      <c r="A10" t="s">
        <v>221</v>
      </c>
      <c r="B10" s="31">
        <v>43609</v>
      </c>
    </row>
    <row r="11" spans="1:13" x14ac:dyDescent="0.25">
      <c r="B11" t="s">
        <v>138</v>
      </c>
      <c r="C11" t="s">
        <v>139</v>
      </c>
      <c r="E11" t="s">
        <v>326</v>
      </c>
      <c r="F11" s="1" t="s">
        <v>327</v>
      </c>
      <c r="G11" s="1" t="s">
        <v>328</v>
      </c>
      <c r="H11" t="s">
        <v>342</v>
      </c>
    </row>
    <row r="12" spans="1:13" x14ac:dyDescent="0.25">
      <c r="A12" t="s">
        <v>339</v>
      </c>
      <c r="D12" t="s">
        <v>300</v>
      </c>
      <c r="I12" t="s">
        <v>340</v>
      </c>
      <c r="J12" t="s">
        <v>341</v>
      </c>
      <c r="L12" t="s">
        <v>355</v>
      </c>
      <c r="M12" t="e">
        <f ca="1">INDIRECT("GIA_DECAL_GIAY_VUONG")</f>
        <v>#REF!</v>
      </c>
    </row>
    <row r="13" spans="1:13" x14ac:dyDescent="0.25">
      <c r="A13" t="s">
        <v>325</v>
      </c>
      <c r="B13">
        <v>20</v>
      </c>
      <c r="C13">
        <v>28</v>
      </c>
      <c r="D13">
        <v>0.3</v>
      </c>
      <c r="E13">
        <v>2.5</v>
      </c>
      <c r="F13">
        <f>$B13+$E13+$D13*2</f>
        <v>23.1</v>
      </c>
      <c r="G13">
        <f>$C13+$D13*2</f>
        <v>28.6</v>
      </c>
      <c r="I13">
        <f>F$13+0.4+4</f>
        <v>27.5</v>
      </c>
      <c r="J13">
        <f>G$13+0.4*2</f>
        <v>29.400000000000002</v>
      </c>
    </row>
    <row r="15" spans="1:13" ht="45" x14ac:dyDescent="0.25">
      <c r="A15" t="s">
        <v>345</v>
      </c>
      <c r="B15" s="1" t="s">
        <v>79</v>
      </c>
      <c r="C15">
        <v>32</v>
      </c>
      <c r="D15">
        <v>47</v>
      </c>
      <c r="E15" s="2" t="s">
        <v>231</v>
      </c>
    </row>
    <row r="16" spans="1:13" x14ac:dyDescent="0.25">
      <c r="A16" t="s">
        <v>346</v>
      </c>
      <c r="D16" s="1">
        <v>1</v>
      </c>
      <c r="E16">
        <v>2</v>
      </c>
    </row>
    <row r="17" spans="1:9" x14ac:dyDescent="0.25">
      <c r="A17" t="s">
        <v>135</v>
      </c>
      <c r="D17" s="33">
        <v>0.75</v>
      </c>
      <c r="E17" s="34" t="s">
        <v>233</v>
      </c>
    </row>
    <row r="18" spans="1:9" x14ac:dyDescent="0.25">
      <c r="B18" t="s">
        <v>215</v>
      </c>
      <c r="C18" t="s">
        <v>216</v>
      </c>
      <c r="D18" t="s">
        <v>371</v>
      </c>
      <c r="E18" t="s">
        <v>217</v>
      </c>
    </row>
    <row r="19" spans="1:9" x14ac:dyDescent="0.25">
      <c r="A19" t="s">
        <v>368</v>
      </c>
      <c r="B19" t="s">
        <v>369</v>
      </c>
      <c r="C19" t="s">
        <v>370</v>
      </c>
      <c r="D19">
        <v>6000</v>
      </c>
      <c r="E19" s="7">
        <f>D19*(1+D17)</f>
        <v>10500</v>
      </c>
    </row>
    <row r="24" spans="1:9" x14ac:dyDescent="0.25">
      <c r="A24" t="s">
        <v>263</v>
      </c>
      <c r="B24" t="s">
        <v>262</v>
      </c>
      <c r="E24">
        <v>10</v>
      </c>
      <c r="F24">
        <v>20</v>
      </c>
      <c r="G24">
        <v>30</v>
      </c>
      <c r="H24">
        <v>40</v>
      </c>
      <c r="I24">
        <v>50</v>
      </c>
    </row>
    <row r="25" spans="1:9" x14ac:dyDescent="0.25">
      <c r="D25" t="s">
        <v>367</v>
      </c>
      <c r="E25" s="7">
        <f>PhiLDPT_XepDotVoCuonLX(E$24)</f>
        <v>20222.2228</v>
      </c>
      <c r="F25" s="7">
        <f t="shared" ref="F25:I25" si="0">PhiLDPT_XepDotVoCuonLX(F$24)</f>
        <v>23111.111700000001</v>
      </c>
      <c r="G25" s="7">
        <f t="shared" si="0"/>
        <v>26000.000700000001</v>
      </c>
      <c r="H25" s="7">
        <f t="shared" si="0"/>
        <v>28888.8897</v>
      </c>
      <c r="I25" s="7">
        <f t="shared" si="0"/>
        <v>31777.778699999999</v>
      </c>
    </row>
    <row r="26" spans="1:9" x14ac:dyDescent="0.25">
      <c r="D26" t="s">
        <v>372</v>
      </c>
      <c r="E26" s="7">
        <f>$D$19*0.3*E$24</f>
        <v>18000</v>
      </c>
      <c r="F26" s="7">
        <f t="shared" ref="F26:I26" si="1">$D$19*0.3*F$24</f>
        <v>36000</v>
      </c>
      <c r="G26" s="7">
        <f t="shared" si="1"/>
        <v>54000</v>
      </c>
      <c r="H26" s="7">
        <f t="shared" si="1"/>
        <v>72000</v>
      </c>
      <c r="I26" s="7">
        <f t="shared" si="1"/>
        <v>90000</v>
      </c>
    </row>
    <row r="27" spans="1:9" x14ac:dyDescent="0.25">
      <c r="D27" t="s">
        <v>317</v>
      </c>
      <c r="E27" s="7">
        <f>(E$25+E$26)*(1+$D$17)</f>
        <v>66888.889900000009</v>
      </c>
      <c r="F27" s="7">
        <f t="shared" ref="F27:I27" si="2">(F$25+F$26)*(1+$D$17)</f>
        <v>103444.445475</v>
      </c>
      <c r="G27" s="7">
        <f t="shared" si="2"/>
        <v>140000.00122500001</v>
      </c>
      <c r="H27" s="7">
        <f t="shared" si="2"/>
        <v>176555.55697500001</v>
      </c>
      <c r="I27" s="7">
        <f t="shared" si="2"/>
        <v>213111.11272499998</v>
      </c>
    </row>
    <row r="28" spans="1:9" x14ac:dyDescent="0.25">
      <c r="D28" t="s">
        <v>356</v>
      </c>
      <c r="E28" s="7">
        <f>E$27/E$24</f>
        <v>6688.8889900000013</v>
      </c>
      <c r="F28" s="7">
        <f t="shared" ref="F28:I28" si="3">F$27/F$24</f>
        <v>5172.2222737499997</v>
      </c>
      <c r="G28" s="7">
        <f t="shared" si="3"/>
        <v>4666.6667075000005</v>
      </c>
      <c r="H28" s="7">
        <f t="shared" si="3"/>
        <v>4413.888924375</v>
      </c>
      <c r="I28" s="7">
        <f t="shared" si="3"/>
        <v>4262.2222544999995</v>
      </c>
    </row>
    <row r="29" spans="1:9" x14ac:dyDescent="0.25">
      <c r="D29" t="s">
        <v>373</v>
      </c>
      <c r="E29">
        <v>7000</v>
      </c>
      <c r="F29">
        <v>5000</v>
      </c>
      <c r="G29">
        <v>5000</v>
      </c>
      <c r="H29">
        <v>4500</v>
      </c>
      <c r="I29">
        <v>4500</v>
      </c>
    </row>
  </sheetData>
  <dataValidations count="2">
    <dataValidation type="list" allowBlank="1" showInputMessage="1" showErrorMessage="1" errorTitle="Lỗi" error="Vui lòng chọn dữ liệu trong danh sách._x000d__x000a_(Add-in A-Tools Tác giả: Nguyễn Duy Tuân - http://bluesofts.net)" sqref="B19" xr:uid="{FC5355D7-D5EC-4D75-B2B2-2A42BD8870AC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30DBB26F-380C-43D5-A9B0-A2B923A091CB}">
      <formula1>OFFSET(KHO_CAT_SAN_PHAM,1,0,,1)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B1D87-A2DA-4881-AD2C-713C99050DC6}">
  <sheetPr codeName="Trang_tính17"/>
  <dimension ref="A1:I73"/>
  <sheetViews>
    <sheetView topLeftCell="A19" workbookViewId="0">
      <selection activeCell="K26" sqref="K26"/>
    </sheetView>
  </sheetViews>
  <sheetFormatPr defaultRowHeight="15" x14ac:dyDescent="0.25"/>
  <cols>
    <col min="1" max="1" width="20" bestFit="1" customWidth="1"/>
    <col min="2" max="2" width="18.5703125" customWidth="1"/>
    <col min="3" max="3" width="16.5703125" bestFit="1" customWidth="1"/>
    <col min="4" max="4" width="15.85546875" bestFit="1" customWidth="1"/>
    <col min="5" max="5" width="18.5703125" bestFit="1" customWidth="1"/>
    <col min="6" max="6" width="15" bestFit="1" customWidth="1"/>
    <col min="7" max="9" width="15.140625" bestFit="1" customWidth="1"/>
  </cols>
  <sheetData>
    <row r="1" spans="1:7" x14ac:dyDescent="0.25">
      <c r="A1" t="s">
        <v>362</v>
      </c>
    </row>
    <row r="2" spans="1:7" x14ac:dyDescent="0.25">
      <c r="A2" t="s">
        <v>285</v>
      </c>
      <c r="B2" t="s">
        <v>289</v>
      </c>
    </row>
    <row r="3" spans="1:7" x14ac:dyDescent="0.25">
      <c r="A3" t="s">
        <v>290</v>
      </c>
      <c r="B3" t="s">
        <v>80</v>
      </c>
    </row>
    <row r="4" spans="1:7" x14ac:dyDescent="0.25">
      <c r="A4" t="s">
        <v>214</v>
      </c>
      <c r="B4" t="s">
        <v>291</v>
      </c>
    </row>
    <row r="5" spans="1:7" x14ac:dyDescent="0.25">
      <c r="A5" t="s">
        <v>286</v>
      </c>
      <c r="B5" t="s">
        <v>292</v>
      </c>
    </row>
    <row r="6" spans="1:7" x14ac:dyDescent="0.25">
      <c r="A6" t="s">
        <v>293</v>
      </c>
      <c r="B6" t="s">
        <v>294</v>
      </c>
    </row>
    <row r="9" spans="1:7" x14ac:dyDescent="0.25">
      <c r="A9" s="1" t="s">
        <v>287</v>
      </c>
      <c r="B9" t="s">
        <v>302</v>
      </c>
    </row>
    <row r="10" spans="1:7" x14ac:dyDescent="0.25">
      <c r="A10" t="s">
        <v>221</v>
      </c>
      <c r="B10" s="31">
        <v>43609</v>
      </c>
    </row>
    <row r="11" spans="1:7" x14ac:dyDescent="0.25">
      <c r="B11" t="s">
        <v>138</v>
      </c>
      <c r="C11" t="s">
        <v>139</v>
      </c>
      <c r="E11" t="s">
        <v>326</v>
      </c>
      <c r="F11" s="1" t="s">
        <v>327</v>
      </c>
      <c r="G11" s="1" t="s">
        <v>328</v>
      </c>
    </row>
    <row r="12" spans="1:7" x14ac:dyDescent="0.25">
      <c r="A12" t="s">
        <v>208</v>
      </c>
      <c r="D12" t="s">
        <v>300</v>
      </c>
    </row>
    <row r="13" spans="1:7" x14ac:dyDescent="0.25">
      <c r="A13" t="s">
        <v>325</v>
      </c>
      <c r="B13">
        <v>15</v>
      </c>
      <c r="C13">
        <v>19</v>
      </c>
      <c r="D13">
        <v>0.3</v>
      </c>
      <c r="E13">
        <v>0</v>
      </c>
      <c r="F13">
        <f>$B13+$E13+$D13*2</f>
        <v>15.6</v>
      </c>
      <c r="G13">
        <f>$C13+$D13*2</f>
        <v>19.600000000000001</v>
      </c>
    </row>
    <row r="15" spans="1:7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7" x14ac:dyDescent="0.25">
      <c r="A16" t="s">
        <v>219</v>
      </c>
      <c r="D16" s="1">
        <f>SoConTrenToLon($C$15,$D$15,$F$13,$G$13)</f>
        <v>4</v>
      </c>
      <c r="E16">
        <v>2</v>
      </c>
    </row>
    <row r="17" spans="1:9" x14ac:dyDescent="0.25">
      <c r="A17" t="s">
        <v>135</v>
      </c>
      <c r="D17" s="33">
        <v>0.75</v>
      </c>
      <c r="E17" s="34" t="s">
        <v>233</v>
      </c>
    </row>
    <row r="18" spans="1:9" x14ac:dyDescent="0.25">
      <c r="B18" t="s">
        <v>215</v>
      </c>
      <c r="C18" t="s">
        <v>216</v>
      </c>
      <c r="D18" t="s">
        <v>218</v>
      </c>
      <c r="E18" t="s">
        <v>217</v>
      </c>
    </row>
    <row r="19" spans="1:9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1" spans="1:9" x14ac:dyDescent="0.25">
      <c r="A21" t="s">
        <v>331</v>
      </c>
      <c r="B21" t="s">
        <v>98</v>
      </c>
      <c r="C21" t="s">
        <v>99</v>
      </c>
      <c r="D21">
        <v>1200</v>
      </c>
    </row>
    <row r="23" spans="1:9" x14ac:dyDescent="0.25">
      <c r="A23" t="s">
        <v>305</v>
      </c>
    </row>
    <row r="24" spans="1:9" x14ac:dyDescent="0.25">
      <c r="A24" t="s">
        <v>263</v>
      </c>
      <c r="B24" t="s">
        <v>262</v>
      </c>
      <c r="E24">
        <v>10</v>
      </c>
      <c r="F24">
        <v>20</v>
      </c>
      <c r="G24">
        <v>30</v>
      </c>
      <c r="H24">
        <v>40</v>
      </c>
      <c r="I24">
        <v>50</v>
      </c>
    </row>
    <row r="25" spans="1:9" x14ac:dyDescent="0.25">
      <c r="A25">
        <v>12</v>
      </c>
      <c r="B25">
        <f>$A25*E$24</f>
        <v>120</v>
      </c>
      <c r="C25" t="s">
        <v>332</v>
      </c>
      <c r="E25">
        <f>($A25*E$24/2)/$D$16</f>
        <v>15</v>
      </c>
      <c r="F25">
        <f t="shared" ref="F25:I25" si="0">($A25*F$24/2)/$D$16</f>
        <v>30</v>
      </c>
      <c r="G25">
        <f t="shared" si="0"/>
        <v>45</v>
      </c>
      <c r="H25">
        <f t="shared" si="0"/>
        <v>60</v>
      </c>
      <c r="I25">
        <f t="shared" si="0"/>
        <v>75</v>
      </c>
    </row>
    <row r="26" spans="1:9" x14ac:dyDescent="0.25">
      <c r="C26" t="s">
        <v>306</v>
      </c>
      <c r="E26" s="7">
        <f>PhiInKM4M_BHR70(E$25*$E$16*2)*(1+$D$17)</f>
        <v>161000</v>
      </c>
      <c r="F26" s="7">
        <f>PhiInKM4M_BHR70(F$25*$E$16*2)*(1+$D$17)</f>
        <v>234500</v>
      </c>
      <c r="G26" s="7">
        <f>PhiInKM4M_BHR70(G$25*$E$16*2)*(1+$D$17)</f>
        <v>308000</v>
      </c>
      <c r="H26" s="7">
        <f>PhiInKM4M_BHR70(H$25*$E$16*2)*(1+$D$17)</f>
        <v>381500</v>
      </c>
      <c r="I26" s="7">
        <f>PhiInKM4M_BHR70(I$25*$E$16*2)*(1+$D$17)</f>
        <v>455000</v>
      </c>
    </row>
    <row r="27" spans="1:9" x14ac:dyDescent="0.25">
      <c r="C27" t="s">
        <v>333</v>
      </c>
      <c r="E27" s="7">
        <f>E$25*$D$19*(1+$D$17)</f>
        <v>33390</v>
      </c>
      <c r="F27" s="7">
        <f>F$25*$D$19*(1+$D$17)</f>
        <v>66780</v>
      </c>
      <c r="G27" s="7">
        <f t="shared" ref="G27:I27" si="1">G$25*$D$19*(1+$D$17)</f>
        <v>100170</v>
      </c>
      <c r="H27" s="7">
        <f t="shared" si="1"/>
        <v>133560</v>
      </c>
      <c r="I27" s="7">
        <f t="shared" si="1"/>
        <v>166950</v>
      </c>
    </row>
    <row r="28" spans="1:9" x14ac:dyDescent="0.25">
      <c r="C28" t="s">
        <v>310</v>
      </c>
      <c r="E28" s="7">
        <f>(PhiMayCanMang(E$25*2,$C$15/100,$D$15/100) + PhiMangCan(E$25*2,$C$15/100,$D$15/100,$D$21))*(1+$D$17)</f>
        <v>79983.043174999999</v>
      </c>
      <c r="F28" s="7">
        <f>(PhiMayCanMang(F$25*2,$C$15/100,$D$15/100) + PhiMangCan(F$25*2,$C$15/100,$D$15/100,$D$21))*(1+$D$17)</f>
        <v>95799.419800000003</v>
      </c>
      <c r="G28" s="7">
        <f>(PhiMayCanMang(G$25*2,$C$15/100,$D$15/100) + PhiMangCan(G$25*2,$C$15/100,$D$15/100,$D$21))*(1+$D$17)</f>
        <v>111615.79449999999</v>
      </c>
      <c r="H28" s="7">
        <f>(PhiMayCanMang(H$25*2,$C$15/100,$D$15/100) + PhiMangCan(H$25*2,$C$15/100,$D$15/100,$D$21))*(1+$D$17)</f>
        <v>127432.17305000001</v>
      </c>
      <c r="I28" s="7">
        <f>(PhiMayCanMang(I$25*2,$C$15/100,$D$15/100) + PhiMangCan(I$25*2,$C$15/100,$D$15/100,$D$21))*(1+$D$17)</f>
        <v>143248.54792499999</v>
      </c>
    </row>
    <row r="29" spans="1:9" x14ac:dyDescent="0.25">
      <c r="C29" t="s">
        <v>334</v>
      </c>
      <c r="E29" s="7"/>
      <c r="F29" s="7"/>
      <c r="G29" s="7"/>
      <c r="H29" s="7"/>
      <c r="I29" s="7"/>
    </row>
    <row r="30" spans="1:9" x14ac:dyDescent="0.25">
      <c r="C30" t="s">
        <v>329</v>
      </c>
      <c r="E30" s="25">
        <f>LamChanHangNgan(E$26+E$27+E$29)</f>
        <v>194000</v>
      </c>
      <c r="F30" s="25">
        <f t="shared" ref="F30:I30" si="2">LamChanHangNgan(F$26+F$27+F$29)</f>
        <v>301000</v>
      </c>
      <c r="G30" s="25">
        <f t="shared" si="2"/>
        <v>408000</v>
      </c>
      <c r="H30" s="25">
        <f t="shared" si="2"/>
        <v>515000</v>
      </c>
      <c r="I30" s="25">
        <f t="shared" si="2"/>
        <v>621000</v>
      </c>
    </row>
    <row r="31" spans="1:9" x14ac:dyDescent="0.25">
      <c r="C31" t="s">
        <v>330</v>
      </c>
      <c r="E31" s="25">
        <f>LamChanHangNgan(E$26+E$27+E$28+E$29)</f>
        <v>274000</v>
      </c>
      <c r="F31" s="25">
        <f t="shared" ref="F31:I31" si="3">LamChanHangNgan(F$26+F$27+F$28+F$29)</f>
        <v>397000</v>
      </c>
      <c r="G31" s="25">
        <f t="shared" si="3"/>
        <v>519000</v>
      </c>
      <c r="H31" s="25">
        <f t="shared" si="3"/>
        <v>642000</v>
      </c>
      <c r="I31" s="25">
        <f t="shared" si="3"/>
        <v>765000</v>
      </c>
    </row>
    <row r="32" spans="1:9" x14ac:dyDescent="0.25">
      <c r="A32">
        <v>14</v>
      </c>
      <c r="B32">
        <f>$A32*E$24</f>
        <v>140</v>
      </c>
      <c r="C32" t="s">
        <v>332</v>
      </c>
      <c r="E32">
        <f>($A32*E$24/2)/$D$16</f>
        <v>17.5</v>
      </c>
      <c r="F32">
        <f t="shared" ref="F32:I32" si="4">($A32*F$24/2)/$D$16</f>
        <v>35</v>
      </c>
      <c r="G32">
        <f t="shared" si="4"/>
        <v>52.5</v>
      </c>
      <c r="H32">
        <f t="shared" si="4"/>
        <v>70</v>
      </c>
      <c r="I32">
        <f t="shared" si="4"/>
        <v>87.5</v>
      </c>
    </row>
    <row r="33" spans="1:9" x14ac:dyDescent="0.25">
      <c r="C33" t="s">
        <v>306</v>
      </c>
      <c r="E33" s="26">
        <f>PhiInKM4M_BHR70(E32*$E$16*2)*(1+$D$17)</f>
        <v>173250</v>
      </c>
      <c r="F33" s="26">
        <f>PhiInKM4M_BHR70(F32*$E$16*2)*(1+$D$17)</f>
        <v>259000</v>
      </c>
      <c r="G33" s="26">
        <f>PhiInKM4M_BHR70(G32*$E$16*2)*(1+$D$17)</f>
        <v>344750</v>
      </c>
      <c r="H33" s="26">
        <f>PhiInKM4M_BHR70(H32*$E$16*2)*(1+$D$17)</f>
        <v>430500</v>
      </c>
      <c r="I33" s="26">
        <f>PhiInKM4M_BHR70(I32*$E$16*2)*(1+$D$17)</f>
        <v>516250</v>
      </c>
    </row>
    <row r="34" spans="1:9" x14ac:dyDescent="0.25">
      <c r="C34" t="s">
        <v>333</v>
      </c>
      <c r="E34" s="26">
        <f>E32*$D$19*(1+$D$17)</f>
        <v>38955</v>
      </c>
      <c r="F34" s="26">
        <f t="shared" ref="F34:I34" si="5">F32*$D$19*(1+$D$17)</f>
        <v>77910</v>
      </c>
      <c r="G34" s="26">
        <f t="shared" si="5"/>
        <v>116865</v>
      </c>
      <c r="H34" s="26">
        <f t="shared" si="5"/>
        <v>155820</v>
      </c>
      <c r="I34" s="26">
        <f t="shared" si="5"/>
        <v>194775</v>
      </c>
    </row>
    <row r="35" spans="1:9" x14ac:dyDescent="0.25">
      <c r="C35" t="s">
        <v>310</v>
      </c>
      <c r="E35" s="26">
        <f>(PhiMayCanMang(E32*2,$C$15/100,$D$15/100) + PhiMangCan(E32*2,$C$15/100,$D$15/100,$D$21))*(1+$D$17)</f>
        <v>82468.125249999997</v>
      </c>
      <c r="F35" s="26">
        <f>(PhiMayCanMang(F32*2,$C$15/100,$D$15/100) + PhiMangCan(F32*2,$C$15/100,$D$15/100,$D$21))*(1+$D$17)</f>
        <v>101222.52525000001</v>
      </c>
      <c r="G35" s="26">
        <f>(PhiMayCanMang(G32*2,$C$15/100,$D$15/100) + PhiMangCan(G32*2,$C$15/100,$D$15/100,$D$21))*(1+$D$17)</f>
        <v>119523.98377500002</v>
      </c>
      <c r="H35" s="26">
        <f>(PhiMayCanMang(H32*2,$C$15/100,$D$15/100) + PhiMangCan(H32*2,$C$15/100,$D$15/100,$D$21))*(1+$D$17)</f>
        <v>138278.3836</v>
      </c>
      <c r="I35" s="26">
        <f>(PhiMayCanMang(I32*2,$C$15/100,$D$15/100) + PhiMangCan(I32*2,$C$15/100,$D$15/100,$D$21))*(1+$D$17)</f>
        <v>156579.84230000002</v>
      </c>
    </row>
    <row r="36" spans="1:9" x14ac:dyDescent="0.25">
      <c r="C36" t="s">
        <v>334</v>
      </c>
      <c r="E36" s="26"/>
      <c r="F36" s="26"/>
      <c r="G36" s="26"/>
      <c r="H36" s="26"/>
      <c r="I36" s="26"/>
    </row>
    <row r="37" spans="1:9" x14ac:dyDescent="0.25">
      <c r="C37" t="s">
        <v>329</v>
      </c>
      <c r="E37" s="42">
        <f>LamChanHangNgan(E33+E34+E36)</f>
        <v>212000</v>
      </c>
      <c r="F37" s="42">
        <f t="shared" ref="F37:I37" si="6">LamChanHangNgan(F33+F34+F36)</f>
        <v>336000</v>
      </c>
      <c r="G37" s="42">
        <f t="shared" si="6"/>
        <v>461000</v>
      </c>
      <c r="H37" s="42">
        <f t="shared" si="6"/>
        <v>586000</v>
      </c>
      <c r="I37" s="42">
        <f t="shared" si="6"/>
        <v>711000</v>
      </c>
    </row>
    <row r="38" spans="1:9" x14ac:dyDescent="0.25">
      <c r="C38" t="s">
        <v>330</v>
      </c>
      <c r="E38" s="42">
        <f>LamChanHangNgan(E33+E34+E35+E36)</f>
        <v>294000</v>
      </c>
      <c r="F38" s="42">
        <f t="shared" ref="F38:I38" si="7">LamChanHangNgan(F33+F34+F35+F36)</f>
        <v>438000</v>
      </c>
      <c r="G38" s="42">
        <f t="shared" si="7"/>
        <v>581000</v>
      </c>
      <c r="H38" s="42">
        <f t="shared" si="7"/>
        <v>724000</v>
      </c>
      <c r="I38" s="42">
        <f t="shared" si="7"/>
        <v>867000</v>
      </c>
    </row>
    <row r="39" spans="1:9" x14ac:dyDescent="0.25">
      <c r="A39">
        <v>16</v>
      </c>
      <c r="B39">
        <f>$A39*E$24</f>
        <v>160</v>
      </c>
      <c r="C39" t="s">
        <v>332</v>
      </c>
      <c r="E39">
        <f>($A39*E$24/2)/$D$16</f>
        <v>20</v>
      </c>
      <c r="F39">
        <f t="shared" ref="F39:I39" si="8">($A39*F$24/2)/$D$16</f>
        <v>40</v>
      </c>
      <c r="G39">
        <f t="shared" si="8"/>
        <v>60</v>
      </c>
      <c r="H39">
        <f t="shared" si="8"/>
        <v>80</v>
      </c>
      <c r="I39">
        <f t="shared" si="8"/>
        <v>100</v>
      </c>
    </row>
    <row r="40" spans="1:9" x14ac:dyDescent="0.25">
      <c r="C40" t="s">
        <v>306</v>
      </c>
      <c r="E40">
        <f>PhiInKM4M_BHR70(E39*$E$16*2)*(1+$D$17)</f>
        <v>185500</v>
      </c>
      <c r="F40">
        <f>PhiInKM4M_BHR70(F39*$E$16*2)*(1+$D$17)</f>
        <v>283500</v>
      </c>
      <c r="G40">
        <f>PhiInKM4M_BHR70(G39*$E$16*2)*(1+$D$17)</f>
        <v>381500</v>
      </c>
      <c r="H40">
        <f>PhiInKM4M_BHR70(H39*$E$16*2)*(1+$D$17)</f>
        <v>479500</v>
      </c>
      <c r="I40">
        <f>PhiInKM4M_BHR70(I39*$E$16*2)*(1+$D$17)</f>
        <v>577500</v>
      </c>
    </row>
    <row r="41" spans="1:9" x14ac:dyDescent="0.25">
      <c r="C41" t="s">
        <v>333</v>
      </c>
      <c r="E41">
        <f>E39*$D$19*(1+$D$17)</f>
        <v>44520</v>
      </c>
      <c r="F41">
        <f t="shared" ref="F41:I41" si="9">F39*$D$19*(1+$D$17)</f>
        <v>89040</v>
      </c>
      <c r="G41">
        <f t="shared" si="9"/>
        <v>133560</v>
      </c>
      <c r="H41">
        <f t="shared" si="9"/>
        <v>178080</v>
      </c>
      <c r="I41">
        <f t="shared" si="9"/>
        <v>222600</v>
      </c>
    </row>
    <row r="42" spans="1:9" x14ac:dyDescent="0.25">
      <c r="C42" t="s">
        <v>310</v>
      </c>
      <c r="E42">
        <f>(PhiMayCanMang(E39*2,$C$15/100,$D$15/100) + PhiMangCan(E39*2,$C$15/100,$D$15/100,$D$21))*(1+$D$17)</f>
        <v>85406.148625000002</v>
      </c>
      <c r="F42">
        <f>(PhiMayCanMang(F39*2,$C$15/100,$D$15/100) + PhiMangCan(F39*2,$C$15/100,$D$15/100,$D$21))*(1+$D$17)</f>
        <v>106645.63035000001</v>
      </c>
      <c r="G42">
        <f>(PhiMayCanMang(G39*2,$C$15/100,$D$15/100) + PhiMangCan(G39*2,$C$15/100,$D$15/100,$D$21))*(1+$D$17)</f>
        <v>127432.17305000001</v>
      </c>
      <c r="H42">
        <f>(PhiMayCanMang(H39*2,$C$15/100,$D$15/100) + PhiMangCan(H39*2,$C$15/100,$D$15/100,$D$21))*(1+$D$17)</f>
        <v>148671.65302500001</v>
      </c>
      <c r="I42">
        <f>(PhiMayCanMang(I39*2,$C$15/100,$D$15/100) + PhiMangCan(I39*2,$C$15/100,$D$15/100,$D$21))*(1+$D$17)</f>
        <v>169911.137025</v>
      </c>
    </row>
    <row r="43" spans="1:9" x14ac:dyDescent="0.25">
      <c r="C43" t="s">
        <v>334</v>
      </c>
    </row>
    <row r="44" spans="1:9" x14ac:dyDescent="0.25">
      <c r="C44" t="s">
        <v>329</v>
      </c>
      <c r="E44" s="25">
        <f>LamChanHangNgan(E40+E41+E43)</f>
        <v>230000</v>
      </c>
      <c r="F44" s="25">
        <f t="shared" ref="F44:I44" si="10">LamChanHangNgan(F40+F41+F43)</f>
        <v>372000</v>
      </c>
      <c r="G44" s="25">
        <f t="shared" si="10"/>
        <v>515000</v>
      </c>
      <c r="H44" s="25">
        <f t="shared" si="10"/>
        <v>657000</v>
      </c>
      <c r="I44" s="25">
        <f t="shared" si="10"/>
        <v>800000</v>
      </c>
    </row>
    <row r="45" spans="1:9" x14ac:dyDescent="0.25">
      <c r="C45" t="s">
        <v>330</v>
      </c>
      <c r="E45" s="25">
        <f>LamChanHangNgan(E40+E41+E42+E43)</f>
        <v>315000</v>
      </c>
      <c r="F45" s="25">
        <f t="shared" ref="F45:I45" si="11">LamChanHangNgan(F40+F41+F42+F43)</f>
        <v>479000</v>
      </c>
      <c r="G45" s="25">
        <f t="shared" si="11"/>
        <v>642000</v>
      </c>
      <c r="H45" s="25">
        <f t="shared" si="11"/>
        <v>806000</v>
      </c>
      <c r="I45" s="25">
        <f t="shared" si="11"/>
        <v>970000</v>
      </c>
    </row>
    <row r="46" spans="1:9" x14ac:dyDescent="0.25">
      <c r="A46">
        <v>18</v>
      </c>
      <c r="B46">
        <f>$A46*E$24</f>
        <v>180</v>
      </c>
      <c r="C46" t="s">
        <v>332</v>
      </c>
      <c r="E46">
        <f>($A46*E$24/2)/$D$16</f>
        <v>22.5</v>
      </c>
      <c r="F46">
        <f t="shared" ref="F46:I46" si="12">($A46*F$24/2)/$D$16</f>
        <v>45</v>
      </c>
      <c r="G46">
        <f t="shared" si="12"/>
        <v>67.5</v>
      </c>
      <c r="H46">
        <f t="shared" si="12"/>
        <v>90</v>
      </c>
      <c r="I46">
        <f t="shared" si="12"/>
        <v>112.5</v>
      </c>
    </row>
    <row r="47" spans="1:9" x14ac:dyDescent="0.25">
      <c r="C47" t="s">
        <v>306</v>
      </c>
      <c r="E47">
        <f>PhiInKM4M_BHR70(E46*$E$16*2)*(1+$D$17)</f>
        <v>197750</v>
      </c>
      <c r="F47">
        <f>PhiInKM4M_BHR70(F46*$E$16*2)*(1+$D$17)</f>
        <v>308000</v>
      </c>
      <c r="G47">
        <f>PhiInKM4M_BHR70(G46*$E$16*2)*(1+$D$17)</f>
        <v>418250</v>
      </c>
      <c r="H47">
        <f>PhiInKM4M_BHR70(H46*$E$16*2)*(1+$D$17)</f>
        <v>528500</v>
      </c>
      <c r="I47">
        <f>PhiInKM4M_BHR70(I46*$E$16*2)*(1+$D$17)</f>
        <v>638750</v>
      </c>
    </row>
    <row r="48" spans="1:9" x14ac:dyDescent="0.25">
      <c r="C48" t="s">
        <v>333</v>
      </c>
      <c r="E48">
        <f>E46*$D$19*(1+$D$17)</f>
        <v>50085</v>
      </c>
      <c r="F48">
        <f t="shared" ref="F48:I48" si="13">F46*$D$19*(1+$D$17)</f>
        <v>100170</v>
      </c>
      <c r="G48">
        <f t="shared" si="13"/>
        <v>150255</v>
      </c>
      <c r="H48">
        <f t="shared" si="13"/>
        <v>200340</v>
      </c>
      <c r="I48">
        <f t="shared" si="13"/>
        <v>250425</v>
      </c>
    </row>
    <row r="49" spans="1:9" x14ac:dyDescent="0.25">
      <c r="C49" t="s">
        <v>310</v>
      </c>
      <c r="E49">
        <f>(PhiMayCanMang(E46*2,$C$15/100,$D$15/100) + PhiMangCan(E46*2,$C$15/100,$D$15/100,$D$21))*(1+$D$17)</f>
        <v>87891.230525000006</v>
      </c>
      <c r="F49">
        <f>(PhiMayCanMang(F46*2,$C$15/100,$D$15/100) + PhiMangCan(F46*2,$C$15/100,$D$15/100,$D$21))*(1+$D$17)</f>
        <v>111615.79449999999</v>
      </c>
      <c r="G49">
        <f>(PhiMayCanMang(G46*2,$C$15/100,$D$15/100) + PhiMangCan(G46*2,$C$15/100,$D$15/100,$D$21))*(1+$D$17)</f>
        <v>135340.35847499999</v>
      </c>
      <c r="H49">
        <f>(PhiMayCanMang(H46*2,$C$15/100,$D$15/100) + PhiMangCan(H46*2,$C$15/100,$D$15/100,$D$21))*(1+$D$17)</f>
        <v>159517.863575</v>
      </c>
      <c r="I49">
        <f>(PhiMayCanMang(I46*2,$C$15/100,$D$15/100) + PhiMangCan(I46*2,$C$15/100,$D$15/100,$D$21))*(1+$D$17)</f>
        <v>183242.431575</v>
      </c>
    </row>
    <row r="50" spans="1:9" x14ac:dyDescent="0.25">
      <c r="C50" t="s">
        <v>334</v>
      </c>
    </row>
    <row r="51" spans="1:9" x14ac:dyDescent="0.25">
      <c r="C51" t="s">
        <v>329</v>
      </c>
      <c r="E51" s="25">
        <f>LamChanHangNgan(E47+E48+E50)</f>
        <v>247000</v>
      </c>
      <c r="F51" s="25">
        <f t="shared" ref="F51:I51" si="14">LamChanHangNgan(F47+F48+F50)</f>
        <v>408000</v>
      </c>
      <c r="G51" s="25">
        <f t="shared" si="14"/>
        <v>568000</v>
      </c>
      <c r="H51" s="25">
        <f t="shared" si="14"/>
        <v>728000</v>
      </c>
      <c r="I51" s="25">
        <f t="shared" si="14"/>
        <v>889000</v>
      </c>
    </row>
    <row r="52" spans="1:9" x14ac:dyDescent="0.25">
      <c r="C52" t="s">
        <v>330</v>
      </c>
      <c r="E52" s="25">
        <f>LamChanHangNgan(E47+E48+E49+E50)</f>
        <v>335000</v>
      </c>
      <c r="F52" s="25">
        <f t="shared" ref="F52:I52" si="15">LamChanHangNgan(F47+F48+F49+F50)</f>
        <v>519000</v>
      </c>
      <c r="G52" s="25">
        <f t="shared" si="15"/>
        <v>703000</v>
      </c>
      <c r="H52" s="25">
        <f t="shared" si="15"/>
        <v>888000</v>
      </c>
      <c r="I52" s="25">
        <f t="shared" si="15"/>
        <v>1072000</v>
      </c>
    </row>
    <row r="53" spans="1:9" x14ac:dyDescent="0.25">
      <c r="A53">
        <v>20</v>
      </c>
      <c r="B53">
        <f>$A53*E$24</f>
        <v>200</v>
      </c>
      <c r="C53" t="s">
        <v>332</v>
      </c>
      <c r="E53">
        <f>($A53*E$24/2)/$D$16</f>
        <v>25</v>
      </c>
      <c r="F53">
        <f t="shared" ref="F53:I53" si="16">($A53*F$24/2)/$D$16</f>
        <v>50</v>
      </c>
      <c r="G53">
        <f t="shared" si="16"/>
        <v>75</v>
      </c>
      <c r="H53">
        <f t="shared" si="16"/>
        <v>100</v>
      </c>
      <c r="I53">
        <f t="shared" si="16"/>
        <v>125</v>
      </c>
    </row>
    <row r="54" spans="1:9" x14ac:dyDescent="0.25">
      <c r="C54" t="s">
        <v>306</v>
      </c>
      <c r="E54">
        <f>PhiInKM4M_BHR70(E53*$E$16*2)*(1+$D$17)</f>
        <v>210000</v>
      </c>
      <c r="F54">
        <f>PhiInKM4M_BHR70(F53*$E$16*2)*(1+$D$17)</f>
        <v>332500</v>
      </c>
      <c r="G54">
        <f>PhiInKM4M_BHR70(G53*$E$16*2)*(1+$D$17)</f>
        <v>455000</v>
      </c>
      <c r="H54">
        <f>PhiInKM4M_BHR70(H53*$E$16*2)*(1+$D$17)</f>
        <v>577500</v>
      </c>
      <c r="I54">
        <f>PhiInKM4M_BHR70(I53*$E$16*2)*(1+$D$17)</f>
        <v>700000</v>
      </c>
    </row>
    <row r="55" spans="1:9" x14ac:dyDescent="0.25">
      <c r="C55" t="s">
        <v>333</v>
      </c>
      <c r="E55">
        <f>E53*$D$19*(1+$D$17)</f>
        <v>55650</v>
      </c>
      <c r="F55">
        <f t="shared" ref="F55:I55" si="17">F53*$D$19*(1+$D$17)</f>
        <v>111300</v>
      </c>
      <c r="G55">
        <f t="shared" si="17"/>
        <v>166950</v>
      </c>
      <c r="H55">
        <f t="shared" si="17"/>
        <v>222600</v>
      </c>
      <c r="I55">
        <f t="shared" si="17"/>
        <v>278250</v>
      </c>
    </row>
    <row r="56" spans="1:9" x14ac:dyDescent="0.25">
      <c r="C56" t="s">
        <v>310</v>
      </c>
      <c r="E56">
        <f>(PhiMayCanMang(E53*2,$C$15/100,$D$15/100) + PhiMangCan(E53*2,$C$15/100,$D$15/100,$D$21))*(1+$D$17)</f>
        <v>90376.313649999996</v>
      </c>
      <c r="F56">
        <f>(PhiMayCanMang(F53*2,$C$15/100,$D$15/100) + PhiMangCan(F53*2,$C$15/100,$D$15/100,$D$21))*(1+$D$17)</f>
        <v>117038.901875</v>
      </c>
      <c r="G56">
        <f>(PhiMayCanMang(G53*2,$C$15/100,$D$15/100) + PhiMangCan(G53*2,$C$15/100,$D$15/100,$D$21))*(1+$D$17)</f>
        <v>143248.54792499999</v>
      </c>
      <c r="H56">
        <f>(PhiMayCanMang(H53*2,$C$15/100,$D$15/100) + PhiMangCan(H53*2,$C$15/100,$D$15/100,$D$21))*(1+$D$17)</f>
        <v>169911.137025</v>
      </c>
      <c r="I56">
        <f>(PhiMayCanMang(I53*2,$C$15/100,$D$15/100) + PhiMangCan(I53*2,$C$15/100,$D$15/100,$D$21))*(1+$D$17)</f>
        <v>196120.780975</v>
      </c>
    </row>
    <row r="57" spans="1:9" x14ac:dyDescent="0.25">
      <c r="C57" t="s">
        <v>334</v>
      </c>
    </row>
    <row r="58" spans="1:9" x14ac:dyDescent="0.25">
      <c r="C58" t="s">
        <v>329</v>
      </c>
      <c r="E58" s="25">
        <f>LamChanHangNgan(E54+E55+E57)</f>
        <v>265000</v>
      </c>
      <c r="F58" s="25">
        <f t="shared" ref="F58:I58" si="18">LamChanHangNgan(F54+F55+F57)</f>
        <v>443000</v>
      </c>
      <c r="G58" s="25">
        <f t="shared" si="18"/>
        <v>621000</v>
      </c>
      <c r="H58" s="25">
        <f t="shared" si="18"/>
        <v>800000</v>
      </c>
      <c r="I58" s="25">
        <f t="shared" si="18"/>
        <v>978000</v>
      </c>
    </row>
    <row r="59" spans="1:9" ht="14.25" customHeight="1" x14ac:dyDescent="0.25">
      <c r="C59" t="s">
        <v>330</v>
      </c>
      <c r="E59" s="25">
        <f>LamChanHangNgan(E54+E55+E56+E57)</f>
        <v>356000</v>
      </c>
      <c r="F59" s="25">
        <f t="shared" ref="F59:I59" si="19">LamChanHangNgan(F54+F55+F56+F57)</f>
        <v>560000</v>
      </c>
      <c r="G59" s="25">
        <f t="shared" si="19"/>
        <v>765000</v>
      </c>
      <c r="H59" s="25">
        <f t="shared" si="19"/>
        <v>970000</v>
      </c>
      <c r="I59" s="25">
        <f t="shared" si="19"/>
        <v>1174000</v>
      </c>
    </row>
    <row r="60" spans="1:9" x14ac:dyDescent="0.25">
      <c r="A60">
        <v>22</v>
      </c>
      <c r="B60">
        <f>$A60*E$24</f>
        <v>220</v>
      </c>
      <c r="C60" t="s">
        <v>332</v>
      </c>
      <c r="E60">
        <f>($A60*E$24/2)/$D$16</f>
        <v>27.5</v>
      </c>
      <c r="F60">
        <f t="shared" ref="F60:I60" si="20">($A60*F$24/2)/$D$16</f>
        <v>55</v>
      </c>
      <c r="G60">
        <f t="shared" si="20"/>
        <v>82.5</v>
      </c>
      <c r="H60">
        <f t="shared" si="20"/>
        <v>110</v>
      </c>
      <c r="I60">
        <f t="shared" si="20"/>
        <v>137.5</v>
      </c>
    </row>
    <row r="61" spans="1:9" x14ac:dyDescent="0.25">
      <c r="C61" t="s">
        <v>306</v>
      </c>
      <c r="E61">
        <f>PhiInKM4M_BHR70(E60*$E$16*2)*(1+$D$17)</f>
        <v>222250</v>
      </c>
      <c r="F61">
        <f>PhiInKM4M_BHR70(F60*$E$16*2)*(1+$D$17)</f>
        <v>357000</v>
      </c>
      <c r="G61">
        <f>PhiInKM4M_BHR70(G60*$E$16*2)*(1+$D$17)</f>
        <v>491750</v>
      </c>
      <c r="H61">
        <f>PhiInKM4M_BHR70(H60*$E$16*2)*(1+$D$17)</f>
        <v>626500</v>
      </c>
      <c r="I61">
        <f>PhiInKM4M_BHR70(I60*$E$16*2)*(1+$D$17)</f>
        <v>761250</v>
      </c>
    </row>
    <row r="62" spans="1:9" x14ac:dyDescent="0.25">
      <c r="C62" t="s">
        <v>333</v>
      </c>
      <c r="E62">
        <f>E60*$D$19*(1+$D$17)</f>
        <v>61215</v>
      </c>
      <c r="F62">
        <f t="shared" ref="F62:I62" si="21">F60*$D$19*(1+$D$17)</f>
        <v>122430</v>
      </c>
      <c r="G62">
        <f t="shared" si="21"/>
        <v>183645</v>
      </c>
      <c r="H62">
        <f t="shared" si="21"/>
        <v>244860</v>
      </c>
      <c r="I62">
        <f t="shared" si="21"/>
        <v>306075</v>
      </c>
    </row>
    <row r="63" spans="1:9" x14ac:dyDescent="0.25">
      <c r="C63" t="s">
        <v>310</v>
      </c>
      <c r="E63">
        <f>(PhiMayCanMang(E60*2,$C$15/100,$D$15/100) + PhiMangCan(E60*2,$C$15/100,$D$15/100,$D$21))*(1+$D$17)</f>
        <v>93314.335800000001</v>
      </c>
      <c r="F63">
        <f>(PhiMayCanMang(F60*2,$C$15/100,$D$15/100) + PhiMangCan(F60*2,$C$15/100,$D$15/100,$D$21))*(1+$D$17)</f>
        <v>122462.00505000001</v>
      </c>
      <c r="G63">
        <f>(PhiMayCanMang(G60*2,$C$15/100,$D$15/100) + PhiMangCan(G60*2,$C$15/100,$D$15/100,$D$21))*(1+$D$17)</f>
        <v>151609.67832499999</v>
      </c>
      <c r="H63">
        <f>(PhiMayCanMang(H60*2,$C$15/100,$D$15/100) + PhiMangCan(H60*2,$C$15/100,$D$15/100,$D$21))*(1+$D$17)</f>
        <v>180304.40224999998</v>
      </c>
      <c r="I63">
        <f>(PhiMayCanMang(I60*2,$C$15/100,$D$15/100) + PhiMangCan(I60*2,$C$15/100,$D$15/100,$D$21))*(1+$D$17)</f>
        <v>209452.07954999999</v>
      </c>
    </row>
    <row r="64" spans="1:9" x14ac:dyDescent="0.25">
      <c r="C64" t="s">
        <v>334</v>
      </c>
    </row>
    <row r="65" spans="1:9" x14ac:dyDescent="0.25">
      <c r="C65" t="s">
        <v>329</v>
      </c>
      <c r="E65" s="25">
        <f>LamChanHangNgan(E61+E62+E64)</f>
        <v>283000</v>
      </c>
      <c r="F65" s="25">
        <f t="shared" ref="F65:I65" si="22">LamChanHangNgan(F61+F62+F64)</f>
        <v>479000</v>
      </c>
      <c r="G65" s="25">
        <f t="shared" si="22"/>
        <v>675000</v>
      </c>
      <c r="H65" s="25">
        <f t="shared" si="22"/>
        <v>871000</v>
      </c>
      <c r="I65" s="25">
        <f t="shared" si="22"/>
        <v>1067000</v>
      </c>
    </row>
    <row r="66" spans="1:9" x14ac:dyDescent="0.25">
      <c r="C66" t="s">
        <v>330</v>
      </c>
      <c r="E66" s="25">
        <f>LamChanHangNgan(E61+E62+E63+E64)</f>
        <v>376000</v>
      </c>
      <c r="F66" s="25">
        <f t="shared" ref="F66:I66" si="23">LamChanHangNgan(F61+F62+F63+F64)</f>
        <v>601000</v>
      </c>
      <c r="G66" s="25">
        <f t="shared" si="23"/>
        <v>827000</v>
      </c>
      <c r="H66" s="25">
        <f t="shared" si="23"/>
        <v>1051000</v>
      </c>
      <c r="I66" s="25">
        <f t="shared" si="23"/>
        <v>1276000</v>
      </c>
    </row>
    <row r="67" spans="1:9" x14ac:dyDescent="0.25">
      <c r="A67">
        <v>24</v>
      </c>
      <c r="B67">
        <f>$A67*E$24</f>
        <v>240</v>
      </c>
      <c r="C67" t="s">
        <v>332</v>
      </c>
      <c r="E67">
        <f>($A67*E$24/2)/$D$16</f>
        <v>30</v>
      </c>
      <c r="F67">
        <f t="shared" ref="F67:I67" si="24">($A67*F$24/2)/$D$16</f>
        <v>60</v>
      </c>
      <c r="G67">
        <f t="shared" si="24"/>
        <v>90</v>
      </c>
      <c r="H67">
        <f t="shared" si="24"/>
        <v>120</v>
      </c>
      <c r="I67">
        <f t="shared" si="24"/>
        <v>150</v>
      </c>
    </row>
    <row r="68" spans="1:9" x14ac:dyDescent="0.25">
      <c r="C68" t="s">
        <v>306</v>
      </c>
      <c r="E68">
        <f>PhiInKM4M_BHR70(E67*$E$16*2)*(1+$D$17)</f>
        <v>234500</v>
      </c>
      <c r="F68">
        <f>PhiInKM4M_BHR70(F67*$E$16*2)*(1+$D$17)</f>
        <v>381500</v>
      </c>
      <c r="G68">
        <f>PhiInKM4M_BHR70(G67*$E$16*2)*(1+$D$17)</f>
        <v>528500</v>
      </c>
      <c r="H68">
        <f>PhiInKM4M_BHR70(H67*$E$16*2)*(1+$D$17)</f>
        <v>675500</v>
      </c>
      <c r="I68">
        <f>PhiInKM4M_BHR70(I67*$E$16*2)*(1+$D$17)</f>
        <v>822500</v>
      </c>
    </row>
    <row r="69" spans="1:9" x14ac:dyDescent="0.25">
      <c r="C69" t="s">
        <v>333</v>
      </c>
      <c r="E69">
        <f>E67*$D$19*(1+$D$17)</f>
        <v>66780</v>
      </c>
      <c r="F69">
        <f t="shared" ref="F69:I69" si="25">F67*$D$19*(1+$D$17)</f>
        <v>133560</v>
      </c>
      <c r="G69">
        <f t="shared" si="25"/>
        <v>200340</v>
      </c>
      <c r="H69">
        <f t="shared" si="25"/>
        <v>267120</v>
      </c>
      <c r="I69">
        <f t="shared" si="25"/>
        <v>333900</v>
      </c>
    </row>
    <row r="70" spans="1:9" x14ac:dyDescent="0.25">
      <c r="C70" t="s">
        <v>310</v>
      </c>
      <c r="E70">
        <f>(PhiMayCanMang(E67*2,$C$15/100,$D$15/100) + PhiMangCan(E67*2,$C$15/100,$D$15/100,$D$21))*(1+$D$17)</f>
        <v>95799.419800000003</v>
      </c>
      <c r="F70">
        <f>(PhiMayCanMang(F67*2,$C$15/100,$D$15/100) + PhiMangCan(F67*2,$C$15/100,$D$15/100,$D$21))*(1+$D$17)</f>
        <v>127432.17305000001</v>
      </c>
      <c r="G70">
        <f>(PhiMayCanMang(G67*2,$C$15/100,$D$15/100) + PhiMangCan(G67*2,$C$15/100,$D$15/100,$D$21))*(1+$D$17)</f>
        <v>159517.863575</v>
      </c>
      <c r="H70">
        <f>(PhiMayCanMang(H67*2,$C$15/100,$D$15/100) + PhiMangCan(H67*2,$C$15/100,$D$15/100,$D$21))*(1+$D$17)</f>
        <v>191150.62084999998</v>
      </c>
      <c r="I70">
        <f>(PhiMayCanMang(I67*2,$C$15/100,$D$15/100) + PhiMangCan(I67*2,$C$15/100,$D$15/100,$D$21))*(1+$D$17)</f>
        <v>222783.37007499998</v>
      </c>
    </row>
    <row r="71" spans="1:9" x14ac:dyDescent="0.25">
      <c r="C71" t="s">
        <v>334</v>
      </c>
    </row>
    <row r="72" spans="1:9" x14ac:dyDescent="0.25">
      <c r="C72" t="s">
        <v>329</v>
      </c>
      <c r="E72" s="25">
        <f>LamChanHangNgan(E68+E69+E71)</f>
        <v>301000</v>
      </c>
      <c r="F72" s="25">
        <f t="shared" ref="F72:I72" si="26">LamChanHangNgan(F68+F69+F71)</f>
        <v>515000</v>
      </c>
      <c r="G72" s="25">
        <f t="shared" si="26"/>
        <v>728000</v>
      </c>
      <c r="H72" s="25">
        <f t="shared" si="26"/>
        <v>942000</v>
      </c>
      <c r="I72" s="25">
        <f t="shared" si="26"/>
        <v>1156000</v>
      </c>
    </row>
    <row r="73" spans="1:9" x14ac:dyDescent="0.25">
      <c r="C73" t="s">
        <v>330</v>
      </c>
      <c r="E73" s="25">
        <f>LamChanHangNgan(E68+E69+E70+E71)</f>
        <v>397000</v>
      </c>
      <c r="F73" s="25">
        <f t="shared" ref="F73:I73" si="27">LamChanHangNgan(F68+F69+F70+F71)</f>
        <v>642000</v>
      </c>
      <c r="G73" s="25">
        <f t="shared" si="27"/>
        <v>888000</v>
      </c>
      <c r="H73" s="25">
        <f t="shared" si="27"/>
        <v>1133000</v>
      </c>
      <c r="I73" s="25">
        <f t="shared" si="27"/>
        <v>1379000</v>
      </c>
    </row>
  </sheetData>
  <dataValidations disablePrompts="1" count="3">
    <dataValidation type="list" allowBlank="1" showInputMessage="1" showErrorMessage="1" errorTitle="Lỗi" error="Vui lòng chọn dữ liệu trong danh sách._x000d__x000a_(Add-in A-Tools Tác giả: Nguyễn Duy Tuân - http://bluesofts.net)" sqref="B21" xr:uid="{676ACABF-ABC4-4E34-84C4-770BA55DA6DF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59B54508-4DDF-445C-B6FE-85FF79F2FBC0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9" xr:uid="{4E7E932A-1E9F-4872-8EB4-564B061591AC}">
      <formula1>OFFSET(GIA_GIAY_CO_BAN,1,0,,1)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422E8-40C3-44C4-9650-8FCA3418DEC1}">
  <sheetPr codeName="Trang_tính18"/>
  <dimension ref="A1:I73"/>
  <sheetViews>
    <sheetView topLeftCell="A15" workbookViewId="0">
      <selection activeCell="D29" sqref="D29"/>
    </sheetView>
  </sheetViews>
  <sheetFormatPr defaultRowHeight="15" x14ac:dyDescent="0.25"/>
  <cols>
    <col min="1" max="1" width="20" bestFit="1" customWidth="1"/>
    <col min="2" max="2" width="18.5703125" customWidth="1"/>
    <col min="3" max="3" width="16.5703125" bestFit="1" customWidth="1"/>
    <col min="4" max="4" width="15.85546875" bestFit="1" customWidth="1"/>
    <col min="5" max="5" width="18.5703125" bestFit="1" customWidth="1"/>
    <col min="6" max="6" width="15" bestFit="1" customWidth="1"/>
    <col min="7" max="9" width="15.140625" bestFit="1" customWidth="1"/>
  </cols>
  <sheetData>
    <row r="1" spans="1:7" x14ac:dyDescent="0.25">
      <c r="A1" t="s">
        <v>362</v>
      </c>
    </row>
    <row r="2" spans="1:7" x14ac:dyDescent="0.25">
      <c r="A2" t="s">
        <v>285</v>
      </c>
      <c r="B2" t="s">
        <v>289</v>
      </c>
    </row>
    <row r="3" spans="1:7" x14ac:dyDescent="0.25">
      <c r="A3" t="s">
        <v>290</v>
      </c>
      <c r="B3" t="s">
        <v>80</v>
      </c>
    </row>
    <row r="4" spans="1:7" x14ac:dyDescent="0.25">
      <c r="A4" t="s">
        <v>214</v>
      </c>
      <c r="B4" t="s">
        <v>291</v>
      </c>
    </row>
    <row r="5" spans="1:7" x14ac:dyDescent="0.25">
      <c r="A5" t="s">
        <v>286</v>
      </c>
      <c r="B5" t="s">
        <v>292</v>
      </c>
    </row>
    <row r="6" spans="1:7" x14ac:dyDescent="0.25">
      <c r="A6" t="s">
        <v>293</v>
      </c>
      <c r="B6" t="s">
        <v>294</v>
      </c>
    </row>
    <row r="9" spans="1:7" x14ac:dyDescent="0.25">
      <c r="A9" s="1" t="s">
        <v>287</v>
      </c>
      <c r="B9" t="s">
        <v>302</v>
      </c>
    </row>
    <row r="10" spans="1:7" x14ac:dyDescent="0.25">
      <c r="A10" t="s">
        <v>221</v>
      </c>
      <c r="B10" s="31">
        <v>43609</v>
      </c>
    </row>
    <row r="11" spans="1:7" x14ac:dyDescent="0.25">
      <c r="B11" t="s">
        <v>138</v>
      </c>
      <c r="C11" t="s">
        <v>139</v>
      </c>
      <c r="E11" t="s">
        <v>326</v>
      </c>
      <c r="F11" s="1" t="s">
        <v>327</v>
      </c>
      <c r="G11" s="1" t="s">
        <v>328</v>
      </c>
    </row>
    <row r="12" spans="1:7" x14ac:dyDescent="0.25">
      <c r="A12" t="s">
        <v>208</v>
      </c>
      <c r="D12" t="s">
        <v>300</v>
      </c>
    </row>
    <row r="13" spans="1:7" x14ac:dyDescent="0.25">
      <c r="A13" t="s">
        <v>325</v>
      </c>
      <c r="B13">
        <v>19</v>
      </c>
      <c r="C13">
        <v>30</v>
      </c>
      <c r="D13">
        <v>0.3</v>
      </c>
      <c r="E13">
        <v>0</v>
      </c>
      <c r="F13">
        <f>$B13+$E13+$D13*2</f>
        <v>19.600000000000001</v>
      </c>
      <c r="G13">
        <f>$C13+$D13*2</f>
        <v>30.6</v>
      </c>
    </row>
    <row r="15" spans="1:7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7" x14ac:dyDescent="0.25">
      <c r="A16" t="s">
        <v>219</v>
      </c>
      <c r="D16" s="1">
        <f>SoConTrenToLon($C$15,$D$15,$F$13,$G$13)</f>
        <v>2</v>
      </c>
      <c r="E16">
        <v>2</v>
      </c>
    </row>
    <row r="17" spans="1:9" x14ac:dyDescent="0.25">
      <c r="A17" t="s">
        <v>135</v>
      </c>
      <c r="D17" s="33">
        <v>0.75</v>
      </c>
      <c r="E17" s="34" t="s">
        <v>233</v>
      </c>
    </row>
    <row r="18" spans="1:9" x14ac:dyDescent="0.25">
      <c r="B18" t="s">
        <v>215</v>
      </c>
      <c r="C18" t="s">
        <v>216</v>
      </c>
      <c r="D18" t="s">
        <v>218</v>
      </c>
      <c r="E18" t="s">
        <v>217</v>
      </c>
    </row>
    <row r="19" spans="1:9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1" spans="1:9" x14ac:dyDescent="0.25">
      <c r="A21" t="s">
        <v>331</v>
      </c>
      <c r="B21" t="s">
        <v>98</v>
      </c>
      <c r="C21" t="s">
        <v>99</v>
      </c>
      <c r="D21">
        <v>1200</v>
      </c>
    </row>
    <row r="23" spans="1:9" x14ac:dyDescent="0.25">
      <c r="A23" t="s">
        <v>305</v>
      </c>
    </row>
    <row r="24" spans="1:9" x14ac:dyDescent="0.25">
      <c r="A24" t="s">
        <v>263</v>
      </c>
      <c r="B24" t="s">
        <v>262</v>
      </c>
      <c r="E24">
        <v>10</v>
      </c>
      <c r="F24">
        <v>20</v>
      </c>
      <c r="G24">
        <v>30</v>
      </c>
      <c r="H24">
        <v>40</v>
      </c>
      <c r="I24">
        <v>50</v>
      </c>
    </row>
    <row r="25" spans="1:9" x14ac:dyDescent="0.25">
      <c r="A25">
        <v>12</v>
      </c>
      <c r="B25">
        <f>$A25*E$24</f>
        <v>120</v>
      </c>
      <c r="C25" t="s">
        <v>332</v>
      </c>
      <c r="E25">
        <f>($A25*E$24/2)/$D$16</f>
        <v>30</v>
      </c>
      <c r="F25">
        <f t="shared" ref="F25:I25" si="0">($A25*F$24/2)/$D$16</f>
        <v>60</v>
      </c>
      <c r="G25">
        <f t="shared" si="0"/>
        <v>90</v>
      </c>
      <c r="H25">
        <f t="shared" si="0"/>
        <v>120</v>
      </c>
      <c r="I25">
        <f t="shared" si="0"/>
        <v>150</v>
      </c>
    </row>
    <row r="26" spans="1:9" x14ac:dyDescent="0.25">
      <c r="C26" t="s">
        <v>306</v>
      </c>
      <c r="E26" s="7">
        <f>PhiInKM4M_BHR70(E$25*$E$16*2)*(1+$D$17)</f>
        <v>234500</v>
      </c>
      <c r="F26" s="7">
        <f>PhiInKM4M_BHR70(F$25*$E$16*2)*(1+$D$17)</f>
        <v>381500</v>
      </c>
      <c r="G26" s="7">
        <f>PhiInKM4M_BHR70(G$25*$E$16*2)*(1+$D$17)</f>
        <v>528500</v>
      </c>
      <c r="H26" s="7">
        <f>PhiInKM4M_BHR70(H$25*$E$16*2)*(1+$D$17)</f>
        <v>675500</v>
      </c>
      <c r="I26" s="7">
        <f>PhiInKM4M_BHR70(I$25*$E$16*2)*(1+$D$17)</f>
        <v>822500</v>
      </c>
    </row>
    <row r="27" spans="1:9" x14ac:dyDescent="0.25">
      <c r="C27" t="s">
        <v>333</v>
      </c>
      <c r="E27" s="7">
        <f>E$25*$D$19*(1+$D$17)</f>
        <v>66780</v>
      </c>
      <c r="F27" s="7">
        <f>F$25*$D$19*(1+$D$17)</f>
        <v>133560</v>
      </c>
      <c r="G27" s="7">
        <f t="shared" ref="G27:I27" si="1">G$25*$D$19*(1+$D$17)</f>
        <v>200340</v>
      </c>
      <c r="H27" s="7">
        <f t="shared" si="1"/>
        <v>267120</v>
      </c>
      <c r="I27" s="7">
        <f t="shared" si="1"/>
        <v>333900</v>
      </c>
    </row>
    <row r="28" spans="1:9" x14ac:dyDescent="0.25">
      <c r="C28" t="s">
        <v>310</v>
      </c>
      <c r="E28" s="7">
        <f>(PhiMayCanMang(E$25*2,$C$15/100,$D$15/100) + PhiMangCan(E$25*2,$C$15/100,$D$15/100,$D$21))*(1+$D$17)</f>
        <v>95799.419800000003</v>
      </c>
      <c r="F28" s="7">
        <f>(PhiMayCanMang(F$25*2,$C$15/100,$D$15/100) + PhiMangCan(F$25*2,$C$15/100,$D$15/100,$D$21))*(1+$D$17)</f>
        <v>127432.17305000001</v>
      </c>
      <c r="G28" s="7">
        <f>(PhiMayCanMang(G$25*2,$C$15/100,$D$15/100) + PhiMangCan(G$25*2,$C$15/100,$D$15/100,$D$21))*(1+$D$17)</f>
        <v>159517.863575</v>
      </c>
      <c r="H28" s="7">
        <f>(PhiMayCanMang(H$25*2,$C$15/100,$D$15/100) + PhiMangCan(H$25*2,$C$15/100,$D$15/100,$D$21))*(1+$D$17)</f>
        <v>191150.62084999998</v>
      </c>
      <c r="I28" s="7">
        <f>(PhiMayCanMang(I$25*2,$C$15/100,$D$15/100) + PhiMangCan(I$25*2,$C$15/100,$D$15/100,$D$21))*(1+$D$17)</f>
        <v>222783.37007499998</v>
      </c>
    </row>
    <row r="29" spans="1:9" x14ac:dyDescent="0.25">
      <c r="C29" t="s">
        <v>334</v>
      </c>
      <c r="E29" s="7"/>
      <c r="F29" s="7"/>
      <c r="G29" s="7"/>
      <c r="H29" s="7"/>
      <c r="I29" s="7"/>
    </row>
    <row r="30" spans="1:9" x14ac:dyDescent="0.25">
      <c r="C30" t="s">
        <v>329</v>
      </c>
      <c r="E30" s="25">
        <f>LamChanHangNgan(E$26+E$27+E$29)</f>
        <v>301000</v>
      </c>
      <c r="F30" s="25">
        <f t="shared" ref="F30:I30" si="2">LamChanHangNgan(F$26+F$27+F$29)</f>
        <v>515000</v>
      </c>
      <c r="G30" s="25">
        <f t="shared" si="2"/>
        <v>728000</v>
      </c>
      <c r="H30" s="25">
        <f t="shared" si="2"/>
        <v>942000</v>
      </c>
      <c r="I30" s="25">
        <f t="shared" si="2"/>
        <v>1156000</v>
      </c>
    </row>
    <row r="31" spans="1:9" x14ac:dyDescent="0.25">
      <c r="C31" t="s">
        <v>330</v>
      </c>
      <c r="E31" s="25">
        <f>LamChanHangNgan(E$26+E$27+E$28+E$29)</f>
        <v>397000</v>
      </c>
      <c r="F31" s="25">
        <f t="shared" ref="F31:I31" si="3">LamChanHangNgan(F$26+F$27+F$28+F$29)</f>
        <v>642000</v>
      </c>
      <c r="G31" s="25">
        <f t="shared" si="3"/>
        <v>888000</v>
      </c>
      <c r="H31" s="25">
        <f t="shared" si="3"/>
        <v>1133000</v>
      </c>
      <c r="I31" s="25">
        <f t="shared" si="3"/>
        <v>1379000</v>
      </c>
    </row>
    <row r="32" spans="1:9" x14ac:dyDescent="0.25">
      <c r="A32">
        <v>14</v>
      </c>
      <c r="B32">
        <f>$A32*E$24</f>
        <v>140</v>
      </c>
      <c r="C32" t="s">
        <v>332</v>
      </c>
      <c r="E32">
        <f>($A32*E$24/2)/$D$16</f>
        <v>35</v>
      </c>
      <c r="F32">
        <f t="shared" ref="F32:I32" si="4">($A32*F$24/2)/$D$16</f>
        <v>70</v>
      </c>
      <c r="G32">
        <f t="shared" si="4"/>
        <v>105</v>
      </c>
      <c r="H32">
        <f t="shared" si="4"/>
        <v>140</v>
      </c>
      <c r="I32">
        <f t="shared" si="4"/>
        <v>175</v>
      </c>
    </row>
    <row r="33" spans="1:9" x14ac:dyDescent="0.25">
      <c r="C33" t="s">
        <v>306</v>
      </c>
      <c r="E33" s="26">
        <f>PhiInKM4M_BHR70(E32*$E$16*2)*(1+$D$17)</f>
        <v>259000</v>
      </c>
      <c r="F33" s="26">
        <f>PhiInKM4M_BHR70(F32*$E$16*2)*(1+$D$17)</f>
        <v>430500</v>
      </c>
      <c r="G33" s="26">
        <f>PhiInKM4M_BHR70(G32*$E$16*2)*(1+$D$17)</f>
        <v>602000</v>
      </c>
      <c r="H33" s="26">
        <f>PhiInKM4M_BHR70(H32*$E$16*2)*(1+$D$17)</f>
        <v>773500</v>
      </c>
      <c r="I33" s="26">
        <f>PhiInKM4M_BHR70(I32*$E$16*2)*(1+$D$17)</f>
        <v>945000</v>
      </c>
    </row>
    <row r="34" spans="1:9" x14ac:dyDescent="0.25">
      <c r="C34" t="s">
        <v>333</v>
      </c>
      <c r="E34" s="26">
        <f>E32*$D$19*(1+$D$17)</f>
        <v>77910</v>
      </c>
      <c r="F34" s="26">
        <f t="shared" ref="F34:I34" si="5">F32*$D$19*(1+$D$17)</f>
        <v>155820</v>
      </c>
      <c r="G34" s="26">
        <f t="shared" si="5"/>
        <v>233730</v>
      </c>
      <c r="H34" s="26">
        <f t="shared" si="5"/>
        <v>311640</v>
      </c>
      <c r="I34" s="26">
        <f t="shared" si="5"/>
        <v>389550</v>
      </c>
    </row>
    <row r="35" spans="1:9" x14ac:dyDescent="0.25">
      <c r="C35" t="s">
        <v>310</v>
      </c>
      <c r="E35" s="26">
        <f>(PhiMayCanMang(E32*2,$C$15/100,$D$15/100) + PhiMangCan(E32*2,$C$15/100,$D$15/100,$D$21))*(1+$D$17)</f>
        <v>101222.52525000001</v>
      </c>
      <c r="F35" s="26">
        <f>(PhiMayCanMang(F32*2,$C$15/100,$D$15/100) + PhiMangCan(F32*2,$C$15/100,$D$15/100,$D$21))*(1+$D$17)</f>
        <v>138278.3836</v>
      </c>
      <c r="G35" s="26">
        <f>(PhiMayCanMang(G32*2,$C$15/100,$D$15/100) + PhiMangCan(G32*2,$C$15/100,$D$15/100,$D$21))*(1+$D$17)</f>
        <v>175334.24229999998</v>
      </c>
      <c r="H35" s="26">
        <f>(PhiMayCanMang(H32*2,$C$15/100,$D$15/100) + PhiMangCan(H32*2,$C$15/100,$D$15/100,$D$21))*(1+$D$17)</f>
        <v>212390.10082499997</v>
      </c>
      <c r="I35" s="26">
        <f>(PhiMayCanMang(I32*2,$C$15/100,$D$15/100) + PhiMangCan(I32*2,$C$15/100,$D$15/100,$D$21))*(1+$D$17)</f>
        <v>248993.01822499998</v>
      </c>
    </row>
    <row r="36" spans="1:9" x14ac:dyDescent="0.25">
      <c r="C36" t="s">
        <v>334</v>
      </c>
      <c r="E36" s="26"/>
      <c r="F36" s="26"/>
      <c r="G36" s="26"/>
      <c r="H36" s="26"/>
      <c r="I36" s="26"/>
    </row>
    <row r="37" spans="1:9" x14ac:dyDescent="0.25">
      <c r="C37" t="s">
        <v>329</v>
      </c>
      <c r="E37" s="42">
        <f>LamChanHangNgan(E33+E34+E36)</f>
        <v>336000</v>
      </c>
      <c r="F37" s="42">
        <f t="shared" ref="F37:I37" si="6">LamChanHangNgan(F33+F34+F36)</f>
        <v>586000</v>
      </c>
      <c r="G37" s="42">
        <f t="shared" si="6"/>
        <v>835000</v>
      </c>
      <c r="H37" s="42">
        <f t="shared" si="6"/>
        <v>1085000</v>
      </c>
      <c r="I37" s="42">
        <f t="shared" si="6"/>
        <v>1334000</v>
      </c>
    </row>
    <row r="38" spans="1:9" x14ac:dyDescent="0.25">
      <c r="C38" t="s">
        <v>330</v>
      </c>
      <c r="E38" s="42">
        <f>LamChanHangNgan(E33+E34+E35+E36)</f>
        <v>438000</v>
      </c>
      <c r="F38" s="42">
        <f t="shared" ref="F38:I38" si="7">LamChanHangNgan(F33+F34+F35+F36)</f>
        <v>724000</v>
      </c>
      <c r="G38" s="42">
        <f t="shared" si="7"/>
        <v>1011000</v>
      </c>
      <c r="H38" s="42">
        <f t="shared" si="7"/>
        <v>1297000</v>
      </c>
      <c r="I38" s="42">
        <f t="shared" si="7"/>
        <v>1583000</v>
      </c>
    </row>
    <row r="39" spans="1:9" x14ac:dyDescent="0.25">
      <c r="A39">
        <v>16</v>
      </c>
      <c r="B39">
        <f>$A39*E$24</f>
        <v>160</v>
      </c>
      <c r="C39" t="s">
        <v>332</v>
      </c>
      <c r="E39">
        <f>($A39*E$24/2)/$D$16</f>
        <v>40</v>
      </c>
      <c r="F39">
        <f t="shared" ref="F39:I39" si="8">($A39*F$24/2)/$D$16</f>
        <v>80</v>
      </c>
      <c r="G39">
        <f t="shared" si="8"/>
        <v>120</v>
      </c>
      <c r="H39">
        <f t="shared" si="8"/>
        <v>160</v>
      </c>
      <c r="I39">
        <f t="shared" si="8"/>
        <v>200</v>
      </c>
    </row>
    <row r="40" spans="1:9" x14ac:dyDescent="0.25">
      <c r="C40" t="s">
        <v>306</v>
      </c>
      <c r="E40">
        <f>PhiInKM4M_BHR70(E39*$E$16*2)*(1+$D$17)</f>
        <v>283500</v>
      </c>
      <c r="F40">
        <f>PhiInKM4M_BHR70(F39*$E$16*2)*(1+$D$17)</f>
        <v>479500</v>
      </c>
      <c r="G40">
        <f>PhiInKM4M_BHR70(G39*$E$16*2)*(1+$D$17)</f>
        <v>675500</v>
      </c>
      <c r="H40">
        <f>PhiInKM4M_BHR70(H39*$E$16*2)*(1+$D$17)</f>
        <v>871500</v>
      </c>
      <c r="I40">
        <f>PhiInKM4M_BHR70(I39*$E$16*2)*(1+$D$17)</f>
        <v>1067500</v>
      </c>
    </row>
    <row r="41" spans="1:9" x14ac:dyDescent="0.25">
      <c r="C41" t="s">
        <v>333</v>
      </c>
      <c r="E41">
        <f>E39*$D$19*(1+$D$17)</f>
        <v>89040</v>
      </c>
      <c r="F41">
        <f t="shared" ref="F41:I41" si="9">F39*$D$19*(1+$D$17)</f>
        <v>178080</v>
      </c>
      <c r="G41">
        <f t="shared" si="9"/>
        <v>267120</v>
      </c>
      <c r="H41">
        <f t="shared" si="9"/>
        <v>356160</v>
      </c>
      <c r="I41">
        <f t="shared" si="9"/>
        <v>445200</v>
      </c>
    </row>
    <row r="42" spans="1:9" x14ac:dyDescent="0.25">
      <c r="C42" t="s">
        <v>310</v>
      </c>
      <c r="E42">
        <f>(PhiMayCanMang(E39*2,$C$15/100,$D$15/100) + PhiMangCan(E39*2,$C$15/100,$D$15/100,$D$21))*(1+$D$17)</f>
        <v>106645.63035000001</v>
      </c>
      <c r="F42">
        <f>(PhiMayCanMang(F39*2,$C$15/100,$D$15/100) + PhiMangCan(F39*2,$C$15/100,$D$15/100,$D$21))*(1+$D$17)</f>
        <v>148671.65302500001</v>
      </c>
      <c r="G42">
        <f>(PhiMayCanMang(G39*2,$C$15/100,$D$15/100) + PhiMangCan(G39*2,$C$15/100,$D$15/100,$D$21))*(1+$D$17)</f>
        <v>191150.62084999998</v>
      </c>
      <c r="H42">
        <f>(PhiMayCanMang(H39*2,$C$15/100,$D$15/100) + PhiMangCan(H39*2,$C$15/100,$D$15/100,$D$21))*(1+$D$17)</f>
        <v>233176.63949999999</v>
      </c>
      <c r="I42">
        <f>(PhiMayCanMang(I39*2,$C$15/100,$D$15/100) + PhiMangCan(I39*2,$C$15/100,$D$15/100,$D$21))*(1+$D$17)</f>
        <v>275655.60732499999</v>
      </c>
    </row>
    <row r="43" spans="1:9" x14ac:dyDescent="0.25">
      <c r="C43" t="s">
        <v>334</v>
      </c>
    </row>
    <row r="44" spans="1:9" x14ac:dyDescent="0.25">
      <c r="C44" t="s">
        <v>329</v>
      </c>
      <c r="E44" s="25">
        <f>LamChanHangNgan(E40+E41+E43)</f>
        <v>372000</v>
      </c>
      <c r="F44" s="25">
        <f t="shared" ref="F44:I44" si="10">LamChanHangNgan(F40+F41+F43)</f>
        <v>657000</v>
      </c>
      <c r="G44" s="25">
        <f t="shared" si="10"/>
        <v>942000</v>
      </c>
      <c r="H44" s="25">
        <f t="shared" si="10"/>
        <v>1227000</v>
      </c>
      <c r="I44" s="25">
        <f t="shared" si="10"/>
        <v>1512000</v>
      </c>
    </row>
    <row r="45" spans="1:9" x14ac:dyDescent="0.25">
      <c r="C45" t="s">
        <v>330</v>
      </c>
      <c r="E45" s="25">
        <f>LamChanHangNgan(E40+E41+E42+E43)</f>
        <v>479000</v>
      </c>
      <c r="F45" s="25">
        <f t="shared" ref="F45:I45" si="11">LamChanHangNgan(F40+F41+F42+F43)</f>
        <v>806000</v>
      </c>
      <c r="G45" s="25">
        <f t="shared" si="11"/>
        <v>1133000</v>
      </c>
      <c r="H45" s="25">
        <f t="shared" si="11"/>
        <v>1460000</v>
      </c>
      <c r="I45" s="25">
        <f t="shared" si="11"/>
        <v>1788000</v>
      </c>
    </row>
    <row r="46" spans="1:9" x14ac:dyDescent="0.25">
      <c r="A46">
        <v>18</v>
      </c>
      <c r="B46">
        <f>$A46*E$24</f>
        <v>180</v>
      </c>
      <c r="C46" t="s">
        <v>332</v>
      </c>
      <c r="E46">
        <f>($A46*E$24/2)/$D$16</f>
        <v>45</v>
      </c>
      <c r="F46">
        <f t="shared" ref="F46:I46" si="12">($A46*F$24/2)/$D$16</f>
        <v>90</v>
      </c>
      <c r="G46">
        <f t="shared" si="12"/>
        <v>135</v>
      </c>
      <c r="H46">
        <f t="shared" si="12"/>
        <v>180</v>
      </c>
      <c r="I46">
        <f t="shared" si="12"/>
        <v>225</v>
      </c>
    </row>
    <row r="47" spans="1:9" x14ac:dyDescent="0.25">
      <c r="C47" t="s">
        <v>306</v>
      </c>
      <c r="E47">
        <f>PhiInKM4M_BHR70(E46*$E$16*2)*(1+$D$17)</f>
        <v>308000</v>
      </c>
      <c r="F47">
        <f>PhiInKM4M_BHR70(F46*$E$16*2)*(1+$D$17)</f>
        <v>528500</v>
      </c>
      <c r="G47">
        <f>PhiInKM4M_BHR70(G46*$E$16*2)*(1+$D$17)</f>
        <v>749000</v>
      </c>
      <c r="H47">
        <f>PhiInKM4M_BHR70(H46*$E$16*2)*(1+$D$17)</f>
        <v>969500</v>
      </c>
      <c r="I47">
        <f>PhiInKM4M_BHR70(I46*$E$16*2)*(1+$D$17)</f>
        <v>1190000</v>
      </c>
    </row>
    <row r="48" spans="1:9" x14ac:dyDescent="0.25">
      <c r="C48" t="s">
        <v>333</v>
      </c>
      <c r="E48">
        <f>E46*$D$19*(1+$D$17)</f>
        <v>100170</v>
      </c>
      <c r="F48">
        <f t="shared" ref="F48:I48" si="13">F46*$D$19*(1+$D$17)</f>
        <v>200340</v>
      </c>
      <c r="G48">
        <f t="shared" si="13"/>
        <v>300510</v>
      </c>
      <c r="H48">
        <f t="shared" si="13"/>
        <v>400680</v>
      </c>
      <c r="I48">
        <f t="shared" si="13"/>
        <v>500850</v>
      </c>
    </row>
    <row r="49" spans="1:9" x14ac:dyDescent="0.25">
      <c r="C49" t="s">
        <v>310</v>
      </c>
      <c r="E49">
        <f>(PhiMayCanMang(E46*2,$C$15/100,$D$15/100) + PhiMangCan(E46*2,$C$15/100,$D$15/100,$D$21))*(1+$D$17)</f>
        <v>111615.79449999999</v>
      </c>
      <c r="F49">
        <f>(PhiMayCanMang(F46*2,$C$15/100,$D$15/100) + PhiMangCan(F46*2,$C$15/100,$D$15/100,$D$21))*(1+$D$17)</f>
        <v>159517.863575</v>
      </c>
      <c r="G49">
        <f>(PhiMayCanMang(G46*2,$C$15/100,$D$15/100) + PhiMangCan(G46*2,$C$15/100,$D$15/100,$D$21))*(1+$D$17)</f>
        <v>206966.99152499999</v>
      </c>
      <c r="H49">
        <f>(PhiMayCanMang(H46*2,$C$15/100,$D$15/100) + PhiMangCan(H46*2,$C$15/100,$D$15/100,$D$21))*(1+$D$17)</f>
        <v>254416.11947500001</v>
      </c>
      <c r="I49">
        <f>(PhiMayCanMang(I46*2,$C$15/100,$D$15/100) + PhiMangCan(I46*2,$C$15/100,$D$15/100,$D$21))*(1+$D$17)</f>
        <v>301865.25547500001</v>
      </c>
    </row>
    <row r="50" spans="1:9" x14ac:dyDescent="0.25">
      <c r="C50" t="s">
        <v>334</v>
      </c>
    </row>
    <row r="51" spans="1:9" x14ac:dyDescent="0.25">
      <c r="C51" t="s">
        <v>329</v>
      </c>
      <c r="E51" s="25">
        <f>LamChanHangNgan(E47+E48+E50)</f>
        <v>408000</v>
      </c>
      <c r="F51" s="25">
        <f t="shared" ref="F51:I51" si="14">LamChanHangNgan(F47+F48+F50)</f>
        <v>728000</v>
      </c>
      <c r="G51" s="25">
        <f t="shared" si="14"/>
        <v>1049000</v>
      </c>
      <c r="H51" s="25">
        <f t="shared" si="14"/>
        <v>1370000</v>
      </c>
      <c r="I51" s="25">
        <f t="shared" si="14"/>
        <v>1690000</v>
      </c>
    </row>
    <row r="52" spans="1:9" x14ac:dyDescent="0.25">
      <c r="C52" t="s">
        <v>330</v>
      </c>
      <c r="E52" s="25">
        <f>LamChanHangNgan(E47+E48+E49+E50)</f>
        <v>519000</v>
      </c>
      <c r="F52" s="25">
        <f t="shared" ref="F52:I52" si="15">LamChanHangNgan(F47+F48+F49+F50)</f>
        <v>888000</v>
      </c>
      <c r="G52" s="25">
        <f t="shared" si="15"/>
        <v>1256000</v>
      </c>
      <c r="H52" s="25">
        <f t="shared" si="15"/>
        <v>1624000</v>
      </c>
      <c r="I52" s="25">
        <f t="shared" si="15"/>
        <v>1992000</v>
      </c>
    </row>
    <row r="53" spans="1:9" x14ac:dyDescent="0.25">
      <c r="A53">
        <v>20</v>
      </c>
      <c r="B53">
        <f>$A53*E$24</f>
        <v>200</v>
      </c>
      <c r="C53" t="s">
        <v>332</v>
      </c>
      <c r="E53">
        <f>($A53*E$24/2)/$D$16</f>
        <v>50</v>
      </c>
      <c r="F53">
        <f t="shared" ref="F53:I53" si="16">($A53*F$24/2)/$D$16</f>
        <v>100</v>
      </c>
      <c r="G53">
        <f t="shared" si="16"/>
        <v>150</v>
      </c>
      <c r="H53">
        <f t="shared" si="16"/>
        <v>200</v>
      </c>
      <c r="I53">
        <f t="shared" si="16"/>
        <v>250</v>
      </c>
    </row>
    <row r="54" spans="1:9" x14ac:dyDescent="0.25">
      <c r="C54" t="s">
        <v>306</v>
      </c>
      <c r="E54">
        <f>PhiInKM4M_BHR70(E53*$E$16*2)*(1+$D$17)</f>
        <v>332500</v>
      </c>
      <c r="F54">
        <f>PhiInKM4M_BHR70(F53*$E$16*2)*(1+$D$17)</f>
        <v>577500</v>
      </c>
      <c r="G54">
        <f>PhiInKM4M_BHR70(G53*$E$16*2)*(1+$D$17)</f>
        <v>822500</v>
      </c>
      <c r="H54">
        <f>PhiInKM4M_BHR70(H53*$E$16*2)*(1+$D$17)</f>
        <v>1067500</v>
      </c>
      <c r="I54">
        <f>PhiInKM4M_BHR70(I53*$E$16*2)*(1+$D$17)</f>
        <v>1312500</v>
      </c>
    </row>
    <row r="55" spans="1:9" x14ac:dyDescent="0.25">
      <c r="C55" t="s">
        <v>333</v>
      </c>
      <c r="E55">
        <f>E53*$D$19*(1+$D$17)</f>
        <v>111300</v>
      </c>
      <c r="F55">
        <f t="shared" ref="F55:I55" si="17">F53*$D$19*(1+$D$17)</f>
        <v>222600</v>
      </c>
      <c r="G55">
        <f t="shared" si="17"/>
        <v>333900</v>
      </c>
      <c r="H55">
        <f t="shared" si="17"/>
        <v>445200</v>
      </c>
      <c r="I55">
        <f t="shared" si="17"/>
        <v>556500</v>
      </c>
    </row>
    <row r="56" spans="1:9" x14ac:dyDescent="0.25">
      <c r="C56" t="s">
        <v>310</v>
      </c>
      <c r="E56">
        <f>(PhiMayCanMang(E53*2,$C$15/100,$D$15/100) + PhiMangCan(E53*2,$C$15/100,$D$15/100,$D$21))*(1+$D$17)</f>
        <v>117038.901875</v>
      </c>
      <c r="F56">
        <f>(PhiMayCanMang(F53*2,$C$15/100,$D$15/100) + PhiMangCan(F53*2,$C$15/100,$D$15/100,$D$21))*(1+$D$17)</f>
        <v>169911.137025</v>
      </c>
      <c r="G56">
        <f>(PhiMayCanMang(G53*2,$C$15/100,$D$15/100) + PhiMangCan(G53*2,$C$15/100,$D$15/100,$D$21))*(1+$D$17)</f>
        <v>222783.37007499998</v>
      </c>
      <c r="H56">
        <f>(PhiMayCanMang(H53*2,$C$15/100,$D$15/100) + PhiMangCan(H53*2,$C$15/100,$D$15/100,$D$21))*(1+$D$17)</f>
        <v>275655.60732499999</v>
      </c>
      <c r="I56">
        <f>(PhiMayCanMang(I53*2,$C$15/100,$D$15/100) + PhiMangCan(I53*2,$C$15/100,$D$15/100,$D$21))*(1+$D$17)</f>
        <v>328527.83652499999</v>
      </c>
    </row>
    <row r="57" spans="1:9" x14ac:dyDescent="0.25">
      <c r="C57" t="s">
        <v>334</v>
      </c>
    </row>
    <row r="58" spans="1:9" x14ac:dyDescent="0.25">
      <c r="C58" t="s">
        <v>329</v>
      </c>
      <c r="E58" s="25">
        <f>LamChanHangNgan(E54+E55+E57)</f>
        <v>443000</v>
      </c>
      <c r="F58" s="25">
        <f t="shared" ref="F58:I58" si="18">LamChanHangNgan(F54+F55+F57)</f>
        <v>800000</v>
      </c>
      <c r="G58" s="25">
        <f t="shared" si="18"/>
        <v>1156000</v>
      </c>
      <c r="H58" s="25">
        <f t="shared" si="18"/>
        <v>1512000</v>
      </c>
      <c r="I58" s="25">
        <f t="shared" si="18"/>
        <v>1869000</v>
      </c>
    </row>
    <row r="59" spans="1:9" ht="14.25" customHeight="1" x14ac:dyDescent="0.25">
      <c r="C59" t="s">
        <v>330</v>
      </c>
      <c r="E59" s="25">
        <f>LamChanHangNgan(E54+E55+E56+E57)</f>
        <v>560000</v>
      </c>
      <c r="F59" s="25">
        <f t="shared" ref="F59:I59" si="19">LamChanHangNgan(F54+F55+F56+F57)</f>
        <v>970000</v>
      </c>
      <c r="G59" s="25">
        <f t="shared" si="19"/>
        <v>1379000</v>
      </c>
      <c r="H59" s="25">
        <f t="shared" si="19"/>
        <v>1788000</v>
      </c>
      <c r="I59" s="25">
        <f t="shared" si="19"/>
        <v>2197000</v>
      </c>
    </row>
    <row r="60" spans="1:9" x14ac:dyDescent="0.25">
      <c r="A60">
        <v>22</v>
      </c>
      <c r="B60">
        <f>$A60*E$24</f>
        <v>220</v>
      </c>
      <c r="C60" t="s">
        <v>332</v>
      </c>
      <c r="E60">
        <f>($A60*E$24/2)/$D$16</f>
        <v>55</v>
      </c>
      <c r="F60">
        <f t="shared" ref="F60:I60" si="20">($A60*F$24/2)/$D$16</f>
        <v>110</v>
      </c>
      <c r="G60">
        <f t="shared" si="20"/>
        <v>165</v>
      </c>
      <c r="H60">
        <f t="shared" si="20"/>
        <v>220</v>
      </c>
      <c r="I60">
        <f t="shared" si="20"/>
        <v>275</v>
      </c>
    </row>
    <row r="61" spans="1:9" x14ac:dyDescent="0.25">
      <c r="C61" t="s">
        <v>306</v>
      </c>
      <c r="E61">
        <f>PhiInKM4M_BHR70(E60*$E$16*2)*(1+$D$17)</f>
        <v>357000</v>
      </c>
      <c r="F61">
        <f>PhiInKM4M_BHR70(F60*$E$16*2)*(1+$D$17)</f>
        <v>626500</v>
      </c>
      <c r="G61">
        <f>PhiInKM4M_BHR70(G60*$E$16*2)*(1+$D$17)</f>
        <v>896000</v>
      </c>
      <c r="H61">
        <f>PhiInKM4M_BHR70(H60*$E$16*2)*(1+$D$17)</f>
        <v>1165500</v>
      </c>
      <c r="I61">
        <f>PhiInKM4M_BHR70(I60*$E$16*2)*(1+$D$17)</f>
        <v>1435000</v>
      </c>
    </row>
    <row r="62" spans="1:9" x14ac:dyDescent="0.25">
      <c r="C62" t="s">
        <v>333</v>
      </c>
      <c r="E62">
        <f>E60*$D$19*(1+$D$17)</f>
        <v>122430</v>
      </c>
      <c r="F62">
        <f t="shared" ref="F62:I62" si="21">F60*$D$19*(1+$D$17)</f>
        <v>244860</v>
      </c>
      <c r="G62">
        <f t="shared" si="21"/>
        <v>367290</v>
      </c>
      <c r="H62">
        <f t="shared" si="21"/>
        <v>489720</v>
      </c>
      <c r="I62">
        <f t="shared" si="21"/>
        <v>612150</v>
      </c>
    </row>
    <row r="63" spans="1:9" x14ac:dyDescent="0.25">
      <c r="C63" t="s">
        <v>310</v>
      </c>
      <c r="E63">
        <f>(PhiMayCanMang(E60*2,$C$15/100,$D$15/100) + PhiMangCan(E60*2,$C$15/100,$D$15/100,$D$21))*(1+$D$17)</f>
        <v>122462.00505000001</v>
      </c>
      <c r="F63">
        <f>(PhiMayCanMang(F60*2,$C$15/100,$D$15/100) + PhiMangCan(F60*2,$C$15/100,$D$15/100,$D$21))*(1+$D$17)</f>
        <v>180304.40224999998</v>
      </c>
      <c r="G63">
        <f>(PhiMayCanMang(G60*2,$C$15/100,$D$15/100) + PhiMangCan(G60*2,$C$15/100,$D$15/100,$D$21))*(1+$D$17)</f>
        <v>238599.74897499999</v>
      </c>
      <c r="H63">
        <f>(PhiMayCanMang(H60*2,$C$15/100,$D$15/100) + PhiMangCan(H60*2,$C$15/100,$D$15/100,$D$21))*(1+$D$17)</f>
        <v>296895.07925000001</v>
      </c>
      <c r="I63">
        <f>(PhiMayCanMang(I60*2,$C$15/100,$D$15/100) + PhiMangCan(I60*2,$C$15/100,$D$15/100,$D$21))*(1+$D$17)</f>
        <v>354737.49272500002</v>
      </c>
    </row>
    <row r="64" spans="1:9" x14ac:dyDescent="0.25">
      <c r="C64" t="s">
        <v>334</v>
      </c>
    </row>
    <row r="65" spans="1:9" x14ac:dyDescent="0.25">
      <c r="C65" t="s">
        <v>329</v>
      </c>
      <c r="E65" s="25">
        <f>LamChanHangNgan(E61+E62+E64)</f>
        <v>479000</v>
      </c>
      <c r="F65" s="25">
        <f t="shared" ref="F65:I65" si="22">LamChanHangNgan(F61+F62+F64)</f>
        <v>871000</v>
      </c>
      <c r="G65" s="25">
        <f t="shared" si="22"/>
        <v>1263000</v>
      </c>
      <c r="H65" s="25">
        <f t="shared" si="22"/>
        <v>1655000</v>
      </c>
      <c r="I65" s="25">
        <f t="shared" si="22"/>
        <v>2047000</v>
      </c>
    </row>
    <row r="66" spans="1:9" x14ac:dyDescent="0.25">
      <c r="C66" t="s">
        <v>330</v>
      </c>
      <c r="E66" s="25">
        <f>LamChanHangNgan(E61+E62+E63+E64)</f>
        <v>601000</v>
      </c>
      <c r="F66" s="25">
        <f t="shared" ref="F66:I66" si="23">LamChanHangNgan(F61+F62+F63+F64)</f>
        <v>1051000</v>
      </c>
      <c r="G66" s="25">
        <f t="shared" si="23"/>
        <v>1501000</v>
      </c>
      <c r="H66" s="25">
        <f t="shared" si="23"/>
        <v>1952000</v>
      </c>
      <c r="I66" s="25">
        <f t="shared" si="23"/>
        <v>2401000</v>
      </c>
    </row>
    <row r="67" spans="1:9" x14ac:dyDescent="0.25">
      <c r="A67">
        <v>24</v>
      </c>
      <c r="B67">
        <f>$A67*E$24</f>
        <v>240</v>
      </c>
      <c r="C67" t="s">
        <v>332</v>
      </c>
      <c r="E67">
        <f>($A67*E$24/2)/$D$16</f>
        <v>60</v>
      </c>
      <c r="F67">
        <f t="shared" ref="F67:I67" si="24">($A67*F$24/2)/$D$16</f>
        <v>120</v>
      </c>
      <c r="G67">
        <f t="shared" si="24"/>
        <v>180</v>
      </c>
      <c r="H67">
        <f t="shared" si="24"/>
        <v>240</v>
      </c>
      <c r="I67">
        <f t="shared" si="24"/>
        <v>300</v>
      </c>
    </row>
    <row r="68" spans="1:9" x14ac:dyDescent="0.25">
      <c r="C68" t="s">
        <v>306</v>
      </c>
      <c r="E68">
        <f>PhiInKM4M_BHR70(E67*$E$16*2)*(1+$D$17)</f>
        <v>381500</v>
      </c>
      <c r="F68">
        <f>PhiInKM4M_BHR70(F67*$E$16*2)*(1+$D$17)</f>
        <v>675500</v>
      </c>
      <c r="G68">
        <f>PhiInKM4M_BHR70(G67*$E$16*2)*(1+$D$17)</f>
        <v>969500</v>
      </c>
      <c r="H68">
        <f>PhiInKM4M_BHR70(H67*$E$16*2)*(1+$D$17)</f>
        <v>1263500</v>
      </c>
      <c r="I68">
        <f>PhiInKM4M_BHR70(I67*$E$16*2)*(1+$D$17)</f>
        <v>1557500</v>
      </c>
    </row>
    <row r="69" spans="1:9" x14ac:dyDescent="0.25">
      <c r="C69" t="s">
        <v>333</v>
      </c>
      <c r="E69">
        <f>E67*$D$19*(1+$D$17)</f>
        <v>133560</v>
      </c>
      <c r="F69">
        <f t="shared" ref="F69:I69" si="25">F67*$D$19*(1+$D$17)</f>
        <v>267120</v>
      </c>
      <c r="G69">
        <f t="shared" si="25"/>
        <v>400680</v>
      </c>
      <c r="H69">
        <f t="shared" si="25"/>
        <v>534240</v>
      </c>
      <c r="I69">
        <f t="shared" si="25"/>
        <v>667800</v>
      </c>
    </row>
    <row r="70" spans="1:9" x14ac:dyDescent="0.25">
      <c r="C70" t="s">
        <v>310</v>
      </c>
      <c r="E70">
        <f>(PhiMayCanMang(E67*2,$C$15/100,$D$15/100) + PhiMangCan(E67*2,$C$15/100,$D$15/100,$D$21))*(1+$D$17)</f>
        <v>127432.17305000001</v>
      </c>
      <c r="F70">
        <f>(PhiMayCanMang(F67*2,$C$15/100,$D$15/100) + PhiMangCan(F67*2,$C$15/100,$D$15/100,$D$21))*(1+$D$17)</f>
        <v>191150.62084999998</v>
      </c>
      <c r="G70">
        <f>(PhiMayCanMang(G67*2,$C$15/100,$D$15/100) + PhiMangCan(G67*2,$C$15/100,$D$15/100,$D$21))*(1+$D$17)</f>
        <v>254416.11947500001</v>
      </c>
      <c r="H70">
        <f>(PhiMayCanMang(H67*2,$C$15/100,$D$15/100) + PhiMangCan(H67*2,$C$15/100,$D$15/100,$D$21))*(1+$D$17)</f>
        <v>318134.57514999993</v>
      </c>
      <c r="I70">
        <f>(PhiMayCanMang(I67*2,$C$15/100,$D$15/100) + PhiMangCan(I67*2,$C$15/100,$D$15/100,$D$21))*(1+$D$17)</f>
        <v>381400.073775</v>
      </c>
    </row>
    <row r="71" spans="1:9" x14ac:dyDescent="0.25">
      <c r="C71" t="s">
        <v>334</v>
      </c>
    </row>
    <row r="72" spans="1:9" x14ac:dyDescent="0.25">
      <c r="C72" t="s">
        <v>329</v>
      </c>
      <c r="E72" s="25">
        <f>LamChanHangNgan(E68+E69+E71)</f>
        <v>515000</v>
      </c>
      <c r="F72" s="25">
        <f t="shared" ref="F72:I72" si="26">LamChanHangNgan(F68+F69+F71)</f>
        <v>942000</v>
      </c>
      <c r="G72" s="25">
        <f t="shared" si="26"/>
        <v>1370000</v>
      </c>
      <c r="H72" s="25">
        <f t="shared" si="26"/>
        <v>1797000</v>
      </c>
      <c r="I72" s="25">
        <f t="shared" si="26"/>
        <v>2225000</v>
      </c>
    </row>
    <row r="73" spans="1:9" x14ac:dyDescent="0.25">
      <c r="C73" t="s">
        <v>330</v>
      </c>
      <c r="E73" s="25">
        <f>LamChanHangNgan(E68+E69+E70+E71)</f>
        <v>642000</v>
      </c>
      <c r="F73" s="25">
        <f t="shared" ref="F73:I73" si="27">LamChanHangNgan(F68+F69+F70+F71)</f>
        <v>1133000</v>
      </c>
      <c r="G73" s="25">
        <f t="shared" si="27"/>
        <v>1624000</v>
      </c>
      <c r="H73" s="25">
        <f t="shared" si="27"/>
        <v>2115000</v>
      </c>
      <c r="I73" s="25">
        <f t="shared" si="27"/>
        <v>2606000</v>
      </c>
    </row>
  </sheetData>
  <dataValidations count="3">
    <dataValidation type="list" allowBlank="1" showInputMessage="1" showErrorMessage="1" errorTitle="Lỗi" error="Vui lòng chọn dữ liệu trong danh sách._x000d__x000a_(Add-in A-Tools Tác giả: Nguyễn Duy Tuân - http://bluesofts.net)" sqref="B19" xr:uid="{D8C85FF1-6DE8-4757-9E06-02778266D71F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ADA04A0E-DB65-4750-B475-6480E8C57816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21" xr:uid="{E087B56D-980B-463B-882F-8480F67EC0A3}">
      <formula1>OFFSET(GIA_MANG,1,0,,1)</formula1>
    </dataValidation>
  </dataValidation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C15A7C-0847-46E7-8F94-E73B31AC4E8A}">
  <sheetPr codeName="Trang_tính19"/>
  <dimension ref="A1:I73"/>
  <sheetViews>
    <sheetView topLeftCell="A7" workbookViewId="0">
      <selection activeCell="F35" sqref="F35"/>
    </sheetView>
  </sheetViews>
  <sheetFormatPr defaultRowHeight="15" x14ac:dyDescent="0.25"/>
  <cols>
    <col min="1" max="1" width="20" bestFit="1" customWidth="1"/>
    <col min="2" max="2" width="18.5703125" customWidth="1"/>
    <col min="3" max="3" width="16.5703125" bestFit="1" customWidth="1"/>
    <col min="4" max="4" width="15.85546875" bestFit="1" customWidth="1"/>
    <col min="5" max="5" width="18.5703125" bestFit="1" customWidth="1"/>
    <col min="6" max="6" width="15" bestFit="1" customWidth="1"/>
    <col min="7" max="9" width="15.140625" bestFit="1" customWidth="1"/>
  </cols>
  <sheetData>
    <row r="1" spans="1:7" x14ac:dyDescent="0.25">
      <c r="A1" t="s">
        <v>362</v>
      </c>
    </row>
    <row r="2" spans="1:7" x14ac:dyDescent="0.25">
      <c r="A2" t="s">
        <v>285</v>
      </c>
      <c r="B2" t="s">
        <v>289</v>
      </c>
    </row>
    <row r="3" spans="1:7" x14ac:dyDescent="0.25">
      <c r="A3" t="s">
        <v>290</v>
      </c>
      <c r="B3" t="s">
        <v>80</v>
      </c>
    </row>
    <row r="4" spans="1:7" x14ac:dyDescent="0.25">
      <c r="A4" t="s">
        <v>214</v>
      </c>
      <c r="B4" t="s">
        <v>291</v>
      </c>
    </row>
    <row r="5" spans="1:7" x14ac:dyDescent="0.25">
      <c r="A5" t="s">
        <v>286</v>
      </c>
      <c r="B5" t="s">
        <v>292</v>
      </c>
    </row>
    <row r="6" spans="1:7" x14ac:dyDescent="0.25">
      <c r="A6" t="s">
        <v>293</v>
      </c>
      <c r="B6" t="s">
        <v>294</v>
      </c>
    </row>
    <row r="9" spans="1:7" x14ac:dyDescent="0.25">
      <c r="A9" s="1" t="s">
        <v>287</v>
      </c>
      <c r="B9" t="s">
        <v>302</v>
      </c>
    </row>
    <row r="10" spans="1:7" x14ac:dyDescent="0.25">
      <c r="A10" t="s">
        <v>221</v>
      </c>
      <c r="B10" s="31">
        <v>43609</v>
      </c>
    </row>
    <row r="11" spans="1:7" x14ac:dyDescent="0.25">
      <c r="B11" t="s">
        <v>138</v>
      </c>
      <c r="C11" t="s">
        <v>139</v>
      </c>
      <c r="E11" t="s">
        <v>326</v>
      </c>
      <c r="F11" s="1" t="s">
        <v>327</v>
      </c>
      <c r="G11" s="1" t="s">
        <v>328</v>
      </c>
    </row>
    <row r="12" spans="1:7" x14ac:dyDescent="0.25">
      <c r="A12" t="s">
        <v>208</v>
      </c>
      <c r="D12" t="s">
        <v>300</v>
      </c>
    </row>
    <row r="13" spans="1:7" x14ac:dyDescent="0.25">
      <c r="A13" t="s">
        <v>325</v>
      </c>
      <c r="B13">
        <v>15</v>
      </c>
      <c r="C13">
        <v>34</v>
      </c>
      <c r="D13">
        <v>0.3</v>
      </c>
      <c r="E13">
        <v>0</v>
      </c>
      <c r="F13">
        <f>$B13+$E13+$D13*2</f>
        <v>15.6</v>
      </c>
      <c r="G13">
        <f>$C13+$D13*2</f>
        <v>34.6</v>
      </c>
    </row>
    <row r="15" spans="1:7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7" x14ac:dyDescent="0.25">
      <c r="A16" t="s">
        <v>219</v>
      </c>
      <c r="D16" s="1">
        <f>SoConTrenToLon($C$15,$D$15,$F$13,$G$13)</f>
        <v>2</v>
      </c>
      <c r="E16">
        <v>2</v>
      </c>
    </row>
    <row r="17" spans="1:9" x14ac:dyDescent="0.25">
      <c r="A17" t="s">
        <v>135</v>
      </c>
      <c r="D17" s="33">
        <v>0.75</v>
      </c>
      <c r="E17" s="34" t="s">
        <v>233</v>
      </c>
    </row>
    <row r="18" spans="1:9" x14ac:dyDescent="0.25">
      <c r="B18" t="s">
        <v>215</v>
      </c>
      <c r="C18" t="s">
        <v>216</v>
      </c>
      <c r="D18" t="s">
        <v>218</v>
      </c>
      <c r="E18" t="s">
        <v>217</v>
      </c>
    </row>
    <row r="19" spans="1:9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1" spans="1:9" x14ac:dyDescent="0.25">
      <c r="A21" t="s">
        <v>331</v>
      </c>
      <c r="B21" t="s">
        <v>98</v>
      </c>
      <c r="C21" t="s">
        <v>99</v>
      </c>
      <c r="D21">
        <v>1200</v>
      </c>
    </row>
    <row r="23" spans="1:9" x14ac:dyDescent="0.25">
      <c r="A23" t="s">
        <v>305</v>
      </c>
    </row>
    <row r="24" spans="1:9" x14ac:dyDescent="0.25">
      <c r="A24" t="s">
        <v>263</v>
      </c>
      <c r="B24" t="s">
        <v>262</v>
      </c>
      <c r="E24">
        <v>10</v>
      </c>
      <c r="F24">
        <v>20</v>
      </c>
      <c r="G24">
        <v>30</v>
      </c>
      <c r="H24">
        <v>40</v>
      </c>
      <c r="I24">
        <v>50</v>
      </c>
    </row>
    <row r="25" spans="1:9" x14ac:dyDescent="0.25">
      <c r="A25">
        <v>12</v>
      </c>
      <c r="B25">
        <f>$A25*E$24</f>
        <v>120</v>
      </c>
      <c r="C25" t="s">
        <v>332</v>
      </c>
      <c r="E25">
        <f>($A25*E$24/2)/$D$16</f>
        <v>30</v>
      </c>
      <c r="F25">
        <f t="shared" ref="F25:I25" si="0">($A25*F$24/2)/$D$16</f>
        <v>60</v>
      </c>
      <c r="G25">
        <f t="shared" si="0"/>
        <v>90</v>
      </c>
      <c r="H25">
        <f t="shared" si="0"/>
        <v>120</v>
      </c>
      <c r="I25">
        <f t="shared" si="0"/>
        <v>150</v>
      </c>
    </row>
    <row r="26" spans="1:9" x14ac:dyDescent="0.25">
      <c r="C26" t="s">
        <v>306</v>
      </c>
      <c r="E26" s="7">
        <f>PhiInKM4M_BHR70(E$25*$E$16*2)*(1+$D$17)</f>
        <v>234500</v>
      </c>
      <c r="F26" s="7">
        <f>PhiInKM4M_BHR70(F$25*$E$16*2)*(1+$D$17)</f>
        <v>381500</v>
      </c>
      <c r="G26" s="7">
        <f>PhiInKM4M_BHR70(G$25*$E$16*2)*(1+$D$17)</f>
        <v>528500</v>
      </c>
      <c r="H26" s="7">
        <f>PhiInKM4M_BHR70(H$25*$E$16*2)*(1+$D$17)</f>
        <v>675500</v>
      </c>
      <c r="I26" s="7">
        <f>PhiInKM4M_BHR70(I$25*$E$16*2)*(1+$D$17)</f>
        <v>822500</v>
      </c>
    </row>
    <row r="27" spans="1:9" x14ac:dyDescent="0.25">
      <c r="C27" t="s">
        <v>333</v>
      </c>
      <c r="E27" s="7">
        <f>E$25*$D$19*(1+$D$17)</f>
        <v>66780</v>
      </c>
      <c r="F27" s="7">
        <f>F$25*$D$19*(1+$D$17)</f>
        <v>133560</v>
      </c>
      <c r="G27" s="7">
        <f t="shared" ref="G27:I27" si="1">G$25*$D$19*(1+$D$17)</f>
        <v>200340</v>
      </c>
      <c r="H27" s="7">
        <f t="shared" si="1"/>
        <v>267120</v>
      </c>
      <c r="I27" s="7">
        <f t="shared" si="1"/>
        <v>333900</v>
      </c>
    </row>
    <row r="28" spans="1:9" x14ac:dyDescent="0.25">
      <c r="C28" t="s">
        <v>310</v>
      </c>
      <c r="E28" s="7">
        <f>(PhiMayCanMang(E$25*2,$C$15/100,$D$15/100) + PhiMangCan(E$25*2,$C$15/100,$D$15/100,$D$21))*(1+$D$17)</f>
        <v>95799.419800000003</v>
      </c>
      <c r="F28" s="7">
        <f>(PhiMayCanMang(F$25*2,$C$15/100,$D$15/100) + PhiMangCan(F$25*2,$C$15/100,$D$15/100,$D$21))*(1+$D$17)</f>
        <v>127432.17305000001</v>
      </c>
      <c r="G28" s="7">
        <f>(PhiMayCanMang(G$25*2,$C$15/100,$D$15/100) + PhiMangCan(G$25*2,$C$15/100,$D$15/100,$D$21))*(1+$D$17)</f>
        <v>159517.863575</v>
      </c>
      <c r="H28" s="7">
        <f>(PhiMayCanMang(H$25*2,$C$15/100,$D$15/100) + PhiMangCan(H$25*2,$C$15/100,$D$15/100,$D$21))*(1+$D$17)</f>
        <v>191150.62084999998</v>
      </c>
      <c r="I28" s="7">
        <f>(PhiMayCanMang(I$25*2,$C$15/100,$D$15/100) + PhiMangCan(I$25*2,$C$15/100,$D$15/100,$D$21))*(1+$D$17)</f>
        <v>222783.37007499998</v>
      </c>
    </row>
    <row r="29" spans="1:9" x14ac:dyDescent="0.25">
      <c r="C29" t="s">
        <v>334</v>
      </c>
      <c r="E29" s="7"/>
      <c r="F29" s="7"/>
      <c r="G29" s="7"/>
      <c r="H29" s="7"/>
      <c r="I29" s="7"/>
    </row>
    <row r="30" spans="1:9" x14ac:dyDescent="0.25">
      <c r="C30" t="s">
        <v>329</v>
      </c>
      <c r="E30" s="25">
        <f>LamChanHangNgan(E$26+E$27+E$29)</f>
        <v>301000</v>
      </c>
      <c r="F30" s="25">
        <f t="shared" ref="F30:I30" si="2">LamChanHangNgan(F$26+F$27+F$29)</f>
        <v>515000</v>
      </c>
      <c r="G30" s="25">
        <f t="shared" si="2"/>
        <v>728000</v>
      </c>
      <c r="H30" s="25">
        <f t="shared" si="2"/>
        <v>942000</v>
      </c>
      <c r="I30" s="25">
        <f t="shared" si="2"/>
        <v>1156000</v>
      </c>
    </row>
    <row r="31" spans="1:9" x14ac:dyDescent="0.25">
      <c r="C31" t="s">
        <v>330</v>
      </c>
      <c r="E31" s="25">
        <f>LamChanHangNgan(E$26+E$27+E$28+E$29)</f>
        <v>397000</v>
      </c>
      <c r="F31" s="25">
        <f t="shared" ref="F31:I31" si="3">LamChanHangNgan(F$26+F$27+F$28+F$29)</f>
        <v>642000</v>
      </c>
      <c r="G31" s="25">
        <f t="shared" si="3"/>
        <v>888000</v>
      </c>
      <c r="H31" s="25">
        <f t="shared" si="3"/>
        <v>1133000</v>
      </c>
      <c r="I31" s="25">
        <f t="shared" si="3"/>
        <v>1379000</v>
      </c>
    </row>
    <row r="32" spans="1:9" x14ac:dyDescent="0.25">
      <c r="A32">
        <v>14</v>
      </c>
      <c r="B32">
        <f>$A32*E$24</f>
        <v>140</v>
      </c>
      <c r="C32" t="s">
        <v>332</v>
      </c>
      <c r="E32">
        <f>($A32*E$24/2)/$D$16</f>
        <v>35</v>
      </c>
      <c r="F32">
        <f t="shared" ref="F32:I32" si="4">($A32*F$24/2)/$D$16</f>
        <v>70</v>
      </c>
      <c r="G32">
        <f t="shared" si="4"/>
        <v>105</v>
      </c>
      <c r="H32">
        <f t="shared" si="4"/>
        <v>140</v>
      </c>
      <c r="I32">
        <f t="shared" si="4"/>
        <v>175</v>
      </c>
    </row>
    <row r="33" spans="1:9" x14ac:dyDescent="0.25">
      <c r="C33" t="s">
        <v>306</v>
      </c>
      <c r="E33" s="26">
        <f>PhiInKM4M_BHR70(E32*$E$16*2)*(1+$D$17)</f>
        <v>259000</v>
      </c>
      <c r="F33" s="26">
        <f>PhiInKM4M_BHR70(F32*$E$16*2)*(1+$D$17)</f>
        <v>430500</v>
      </c>
      <c r="G33" s="26">
        <f>PhiInKM4M_BHR70(G32*$E$16*2)*(1+$D$17)</f>
        <v>602000</v>
      </c>
      <c r="H33" s="26">
        <f>PhiInKM4M_BHR70(H32*$E$16*2)*(1+$D$17)</f>
        <v>773500</v>
      </c>
      <c r="I33" s="26">
        <f>PhiInKM4M_BHR70(I32*$E$16*2)*(1+$D$17)</f>
        <v>945000</v>
      </c>
    </row>
    <row r="34" spans="1:9" x14ac:dyDescent="0.25">
      <c r="C34" t="s">
        <v>333</v>
      </c>
      <c r="E34" s="26">
        <f>E32*$D$19*(1+$D$17)</f>
        <v>77910</v>
      </c>
      <c r="F34" s="26">
        <f t="shared" ref="F34:I34" si="5">F32*$D$19*(1+$D$17)</f>
        <v>155820</v>
      </c>
      <c r="G34" s="26">
        <f t="shared" si="5"/>
        <v>233730</v>
      </c>
      <c r="H34" s="26">
        <f t="shared" si="5"/>
        <v>311640</v>
      </c>
      <c r="I34" s="26">
        <f t="shared" si="5"/>
        <v>389550</v>
      </c>
    </row>
    <row r="35" spans="1:9" x14ac:dyDescent="0.25">
      <c r="C35" t="s">
        <v>310</v>
      </c>
      <c r="E35" s="26">
        <f>(PhiMayCanMang(E32*2,$C$15/100,$D$15/100) + PhiMangCan(E32*2,$C$15/100,$D$15/100,$D$21))*(1+$D$17)</f>
        <v>101222.52525000001</v>
      </c>
      <c r="F35" s="26">
        <f>(PhiMayCanMang(F32*2,$C$15/100,$D$15/100) + PhiMangCan(F32*2,$C$15/100,$D$15/100,$D$21))*(1+$D$17)</f>
        <v>138278.3836</v>
      </c>
      <c r="G35" s="26">
        <f>(PhiMayCanMang(G32*2,$C$15/100,$D$15/100) + PhiMangCan(G32*2,$C$15/100,$D$15/100,$D$21))*(1+$D$17)</f>
        <v>175334.24229999998</v>
      </c>
      <c r="H35" s="26">
        <f>(PhiMayCanMang(H32*2,$C$15/100,$D$15/100) + PhiMangCan(H32*2,$C$15/100,$D$15/100,$D$21))*(1+$D$17)</f>
        <v>212390.10082499997</v>
      </c>
      <c r="I35" s="26">
        <f>(PhiMayCanMang(I32*2,$C$15/100,$D$15/100) + PhiMangCan(I32*2,$C$15/100,$D$15/100,$D$21))*(1+$D$17)</f>
        <v>248993.01822499998</v>
      </c>
    </row>
    <row r="36" spans="1:9" x14ac:dyDescent="0.25">
      <c r="C36" t="s">
        <v>334</v>
      </c>
      <c r="E36" s="26"/>
      <c r="F36" s="26"/>
      <c r="G36" s="26"/>
      <c r="H36" s="26"/>
      <c r="I36" s="26"/>
    </row>
    <row r="37" spans="1:9" x14ac:dyDescent="0.25">
      <c r="C37" t="s">
        <v>329</v>
      </c>
      <c r="E37" s="42">
        <f>LamChanHangNgan(E33+E34+E36)</f>
        <v>336000</v>
      </c>
      <c r="F37" s="42">
        <f t="shared" ref="F37:I37" si="6">LamChanHangNgan(F33+F34+F36)</f>
        <v>586000</v>
      </c>
      <c r="G37" s="42">
        <f t="shared" si="6"/>
        <v>835000</v>
      </c>
      <c r="H37" s="42">
        <f t="shared" si="6"/>
        <v>1085000</v>
      </c>
      <c r="I37" s="42">
        <f t="shared" si="6"/>
        <v>1334000</v>
      </c>
    </row>
    <row r="38" spans="1:9" x14ac:dyDescent="0.25">
      <c r="C38" t="s">
        <v>330</v>
      </c>
      <c r="E38" s="42">
        <f>LamChanHangNgan(E33+E34+E35+E36)</f>
        <v>438000</v>
      </c>
      <c r="F38" s="42">
        <f t="shared" ref="F38:I38" si="7">LamChanHangNgan(F33+F34+F35+F36)</f>
        <v>724000</v>
      </c>
      <c r="G38" s="42">
        <f t="shared" si="7"/>
        <v>1011000</v>
      </c>
      <c r="H38" s="42">
        <f t="shared" si="7"/>
        <v>1297000</v>
      </c>
      <c r="I38" s="42">
        <f t="shared" si="7"/>
        <v>1583000</v>
      </c>
    </row>
    <row r="39" spans="1:9" x14ac:dyDescent="0.25">
      <c r="A39">
        <v>16</v>
      </c>
      <c r="B39">
        <f>$A39*E$24</f>
        <v>160</v>
      </c>
      <c r="C39" t="s">
        <v>332</v>
      </c>
      <c r="E39">
        <f>($A39*E$24/2)/$D$16</f>
        <v>40</v>
      </c>
      <c r="F39">
        <f t="shared" ref="F39:I39" si="8">($A39*F$24/2)/$D$16</f>
        <v>80</v>
      </c>
      <c r="G39">
        <f t="shared" si="8"/>
        <v>120</v>
      </c>
      <c r="H39">
        <f t="shared" si="8"/>
        <v>160</v>
      </c>
      <c r="I39">
        <f t="shared" si="8"/>
        <v>200</v>
      </c>
    </row>
    <row r="40" spans="1:9" x14ac:dyDescent="0.25">
      <c r="C40" t="s">
        <v>306</v>
      </c>
      <c r="E40">
        <f>PhiInKM4M_BHR70(E39*$E$16*2)*(1+$D$17)</f>
        <v>283500</v>
      </c>
      <c r="F40">
        <f>PhiInKM4M_BHR70(F39*$E$16*2)*(1+$D$17)</f>
        <v>479500</v>
      </c>
      <c r="G40">
        <f>PhiInKM4M_BHR70(G39*$E$16*2)*(1+$D$17)</f>
        <v>675500</v>
      </c>
      <c r="H40">
        <f>PhiInKM4M_BHR70(H39*$E$16*2)*(1+$D$17)</f>
        <v>871500</v>
      </c>
      <c r="I40">
        <f>PhiInKM4M_BHR70(I39*$E$16*2)*(1+$D$17)</f>
        <v>1067500</v>
      </c>
    </row>
    <row r="41" spans="1:9" x14ac:dyDescent="0.25">
      <c r="C41" t="s">
        <v>333</v>
      </c>
      <c r="E41">
        <f>E39*$D$19*(1+$D$17)</f>
        <v>89040</v>
      </c>
      <c r="F41">
        <f t="shared" ref="F41:I41" si="9">F39*$D$19*(1+$D$17)</f>
        <v>178080</v>
      </c>
      <c r="G41">
        <f t="shared" si="9"/>
        <v>267120</v>
      </c>
      <c r="H41">
        <f t="shared" si="9"/>
        <v>356160</v>
      </c>
      <c r="I41">
        <f t="shared" si="9"/>
        <v>445200</v>
      </c>
    </row>
    <row r="42" spans="1:9" x14ac:dyDescent="0.25">
      <c r="C42" t="s">
        <v>310</v>
      </c>
      <c r="E42">
        <f>(PhiMayCanMang(E39*2,$C$15/100,$D$15/100) + PhiMangCan(E39*2,$C$15/100,$D$15/100,$D$21))*(1+$D$17)</f>
        <v>106645.63035000001</v>
      </c>
      <c r="F42">
        <f>(PhiMayCanMang(F39*2,$C$15/100,$D$15/100) + PhiMangCan(F39*2,$C$15/100,$D$15/100,$D$21))*(1+$D$17)</f>
        <v>148671.65302500001</v>
      </c>
      <c r="G42">
        <f>(PhiMayCanMang(G39*2,$C$15/100,$D$15/100) + PhiMangCan(G39*2,$C$15/100,$D$15/100,$D$21))*(1+$D$17)</f>
        <v>191150.62084999998</v>
      </c>
      <c r="H42">
        <f>(PhiMayCanMang(H39*2,$C$15/100,$D$15/100) + PhiMangCan(H39*2,$C$15/100,$D$15/100,$D$21))*(1+$D$17)</f>
        <v>233176.63949999999</v>
      </c>
      <c r="I42">
        <f>(PhiMayCanMang(I39*2,$C$15/100,$D$15/100) + PhiMangCan(I39*2,$C$15/100,$D$15/100,$D$21))*(1+$D$17)</f>
        <v>275655.60732499999</v>
      </c>
    </row>
    <row r="43" spans="1:9" x14ac:dyDescent="0.25">
      <c r="C43" t="s">
        <v>334</v>
      </c>
    </row>
    <row r="44" spans="1:9" x14ac:dyDescent="0.25">
      <c r="C44" t="s">
        <v>329</v>
      </c>
      <c r="E44" s="25">
        <f>LamChanHangNgan(E40+E41+E43)</f>
        <v>372000</v>
      </c>
      <c r="F44" s="25">
        <f t="shared" ref="F44:I44" si="10">LamChanHangNgan(F40+F41+F43)</f>
        <v>657000</v>
      </c>
      <c r="G44" s="25">
        <f t="shared" si="10"/>
        <v>942000</v>
      </c>
      <c r="H44" s="25">
        <f t="shared" si="10"/>
        <v>1227000</v>
      </c>
      <c r="I44" s="25">
        <f t="shared" si="10"/>
        <v>1512000</v>
      </c>
    </row>
    <row r="45" spans="1:9" x14ac:dyDescent="0.25">
      <c r="C45" t="s">
        <v>330</v>
      </c>
      <c r="E45" s="25">
        <f>LamChanHangNgan(E40+E41+E42+E43)</f>
        <v>479000</v>
      </c>
      <c r="F45" s="25">
        <f t="shared" ref="F45:I45" si="11">LamChanHangNgan(F40+F41+F42+F43)</f>
        <v>806000</v>
      </c>
      <c r="G45" s="25">
        <f t="shared" si="11"/>
        <v>1133000</v>
      </c>
      <c r="H45" s="25">
        <f t="shared" si="11"/>
        <v>1460000</v>
      </c>
      <c r="I45" s="25">
        <f t="shared" si="11"/>
        <v>1788000</v>
      </c>
    </row>
    <row r="46" spans="1:9" x14ac:dyDescent="0.25">
      <c r="A46">
        <v>18</v>
      </c>
      <c r="B46">
        <f>$A46*E$24</f>
        <v>180</v>
      </c>
      <c r="C46" t="s">
        <v>332</v>
      </c>
      <c r="E46">
        <f>($A46*E$24/2)/$D$16</f>
        <v>45</v>
      </c>
      <c r="F46">
        <f t="shared" ref="F46:I46" si="12">($A46*F$24/2)/$D$16</f>
        <v>90</v>
      </c>
      <c r="G46">
        <f t="shared" si="12"/>
        <v>135</v>
      </c>
      <c r="H46">
        <f t="shared" si="12"/>
        <v>180</v>
      </c>
      <c r="I46">
        <f t="shared" si="12"/>
        <v>225</v>
      </c>
    </row>
    <row r="47" spans="1:9" x14ac:dyDescent="0.25">
      <c r="C47" t="s">
        <v>306</v>
      </c>
      <c r="E47">
        <f>PhiInKM4M_BHR70(E46*$E$16*2)*(1+$D$17)</f>
        <v>308000</v>
      </c>
      <c r="F47">
        <f>PhiInKM4M_BHR70(F46*$E$16*2)*(1+$D$17)</f>
        <v>528500</v>
      </c>
      <c r="G47">
        <f>PhiInKM4M_BHR70(G46*$E$16*2)*(1+$D$17)</f>
        <v>749000</v>
      </c>
      <c r="H47">
        <f>PhiInKM4M_BHR70(H46*$E$16*2)*(1+$D$17)</f>
        <v>969500</v>
      </c>
      <c r="I47">
        <f>PhiInKM4M_BHR70(I46*$E$16*2)*(1+$D$17)</f>
        <v>1190000</v>
      </c>
    </row>
    <row r="48" spans="1:9" x14ac:dyDescent="0.25">
      <c r="C48" t="s">
        <v>333</v>
      </c>
      <c r="E48">
        <f>E46*$D$19*(1+$D$17)</f>
        <v>100170</v>
      </c>
      <c r="F48">
        <f t="shared" ref="F48:I48" si="13">F46*$D$19*(1+$D$17)</f>
        <v>200340</v>
      </c>
      <c r="G48">
        <f t="shared" si="13"/>
        <v>300510</v>
      </c>
      <c r="H48">
        <f t="shared" si="13"/>
        <v>400680</v>
      </c>
      <c r="I48">
        <f t="shared" si="13"/>
        <v>500850</v>
      </c>
    </row>
    <row r="49" spans="1:9" x14ac:dyDescent="0.25">
      <c r="C49" t="s">
        <v>310</v>
      </c>
      <c r="E49">
        <f>(PhiMayCanMang(E46*2,$C$15/100,$D$15/100) + PhiMangCan(E46*2,$C$15/100,$D$15/100,$D$21))*(1+$D$17)</f>
        <v>111615.79449999999</v>
      </c>
      <c r="F49">
        <f>(PhiMayCanMang(F46*2,$C$15/100,$D$15/100) + PhiMangCan(F46*2,$C$15/100,$D$15/100,$D$21))*(1+$D$17)</f>
        <v>159517.863575</v>
      </c>
      <c r="G49">
        <f>(PhiMayCanMang(G46*2,$C$15/100,$D$15/100) + PhiMangCan(G46*2,$C$15/100,$D$15/100,$D$21))*(1+$D$17)</f>
        <v>206966.99152499999</v>
      </c>
      <c r="H49">
        <f>(PhiMayCanMang(H46*2,$C$15/100,$D$15/100) + PhiMangCan(H46*2,$C$15/100,$D$15/100,$D$21))*(1+$D$17)</f>
        <v>254416.11947500001</v>
      </c>
      <c r="I49">
        <f>(PhiMayCanMang(I46*2,$C$15/100,$D$15/100) + PhiMangCan(I46*2,$C$15/100,$D$15/100,$D$21))*(1+$D$17)</f>
        <v>301865.25547500001</v>
      </c>
    </row>
    <row r="50" spans="1:9" x14ac:dyDescent="0.25">
      <c r="C50" t="s">
        <v>334</v>
      </c>
    </row>
    <row r="51" spans="1:9" x14ac:dyDescent="0.25">
      <c r="C51" t="s">
        <v>329</v>
      </c>
      <c r="E51" s="25">
        <f>LamChanHangNgan(E47+E48+E50)</f>
        <v>408000</v>
      </c>
      <c r="F51" s="25">
        <f t="shared" ref="F51:I51" si="14">LamChanHangNgan(F47+F48+F50)</f>
        <v>728000</v>
      </c>
      <c r="G51" s="25">
        <f t="shared" si="14"/>
        <v>1049000</v>
      </c>
      <c r="H51" s="25">
        <f t="shared" si="14"/>
        <v>1370000</v>
      </c>
      <c r="I51" s="25">
        <f t="shared" si="14"/>
        <v>1690000</v>
      </c>
    </row>
    <row r="52" spans="1:9" x14ac:dyDescent="0.25">
      <c r="C52" t="s">
        <v>330</v>
      </c>
      <c r="E52" s="25">
        <f>LamChanHangNgan(E47+E48+E49+E50)</f>
        <v>519000</v>
      </c>
      <c r="F52" s="25">
        <f t="shared" ref="F52:I52" si="15">LamChanHangNgan(F47+F48+F49+F50)</f>
        <v>888000</v>
      </c>
      <c r="G52" s="25">
        <f t="shared" si="15"/>
        <v>1256000</v>
      </c>
      <c r="H52" s="25">
        <f t="shared" si="15"/>
        <v>1624000</v>
      </c>
      <c r="I52" s="25">
        <f t="shared" si="15"/>
        <v>1992000</v>
      </c>
    </row>
    <row r="53" spans="1:9" x14ac:dyDescent="0.25">
      <c r="A53">
        <v>20</v>
      </c>
      <c r="B53">
        <f>$A53*E$24</f>
        <v>200</v>
      </c>
      <c r="C53" t="s">
        <v>332</v>
      </c>
      <c r="E53">
        <f>($A53*E$24/2)/$D$16</f>
        <v>50</v>
      </c>
      <c r="F53">
        <f t="shared" ref="F53:I53" si="16">($A53*F$24/2)/$D$16</f>
        <v>100</v>
      </c>
      <c r="G53">
        <f t="shared" si="16"/>
        <v>150</v>
      </c>
      <c r="H53">
        <f t="shared" si="16"/>
        <v>200</v>
      </c>
      <c r="I53">
        <f t="shared" si="16"/>
        <v>250</v>
      </c>
    </row>
    <row r="54" spans="1:9" x14ac:dyDescent="0.25">
      <c r="C54" t="s">
        <v>306</v>
      </c>
      <c r="E54">
        <f>PhiInKM4M_BHR70(E53*$E$16*2)*(1+$D$17)</f>
        <v>332500</v>
      </c>
      <c r="F54">
        <f>PhiInKM4M_BHR70(F53*$E$16*2)*(1+$D$17)</f>
        <v>577500</v>
      </c>
      <c r="G54">
        <f>PhiInKM4M_BHR70(G53*$E$16*2)*(1+$D$17)</f>
        <v>822500</v>
      </c>
      <c r="H54">
        <f>PhiInKM4M_BHR70(H53*$E$16*2)*(1+$D$17)</f>
        <v>1067500</v>
      </c>
      <c r="I54">
        <f>PhiInKM4M_BHR70(I53*$E$16*2)*(1+$D$17)</f>
        <v>1312500</v>
      </c>
    </row>
    <row r="55" spans="1:9" x14ac:dyDescent="0.25">
      <c r="C55" t="s">
        <v>333</v>
      </c>
      <c r="E55">
        <f>E53*$D$19*(1+$D$17)</f>
        <v>111300</v>
      </c>
      <c r="F55">
        <f t="shared" ref="F55:I55" si="17">F53*$D$19*(1+$D$17)</f>
        <v>222600</v>
      </c>
      <c r="G55">
        <f t="shared" si="17"/>
        <v>333900</v>
      </c>
      <c r="H55">
        <f t="shared" si="17"/>
        <v>445200</v>
      </c>
      <c r="I55">
        <f t="shared" si="17"/>
        <v>556500</v>
      </c>
    </row>
    <row r="56" spans="1:9" x14ac:dyDescent="0.25">
      <c r="C56" t="s">
        <v>310</v>
      </c>
      <c r="E56">
        <f>(PhiMayCanMang(E53*2,$C$15/100,$D$15/100) + PhiMangCan(E53*2,$C$15/100,$D$15/100,$D$21))*(1+$D$17)</f>
        <v>117038.901875</v>
      </c>
      <c r="F56">
        <f>(PhiMayCanMang(F53*2,$C$15/100,$D$15/100) + PhiMangCan(F53*2,$C$15/100,$D$15/100,$D$21))*(1+$D$17)</f>
        <v>169911.137025</v>
      </c>
      <c r="G56">
        <f>(PhiMayCanMang(G53*2,$C$15/100,$D$15/100) + PhiMangCan(G53*2,$C$15/100,$D$15/100,$D$21))*(1+$D$17)</f>
        <v>222783.37007499998</v>
      </c>
      <c r="H56">
        <f>(PhiMayCanMang(H53*2,$C$15/100,$D$15/100) + PhiMangCan(H53*2,$C$15/100,$D$15/100,$D$21))*(1+$D$17)</f>
        <v>275655.60732499999</v>
      </c>
      <c r="I56">
        <f>(PhiMayCanMang(I53*2,$C$15/100,$D$15/100) + PhiMangCan(I53*2,$C$15/100,$D$15/100,$D$21))*(1+$D$17)</f>
        <v>328527.83652499999</v>
      </c>
    </row>
    <row r="57" spans="1:9" x14ac:dyDescent="0.25">
      <c r="C57" t="s">
        <v>334</v>
      </c>
    </row>
    <row r="58" spans="1:9" x14ac:dyDescent="0.25">
      <c r="C58" t="s">
        <v>329</v>
      </c>
      <c r="E58" s="25">
        <f>LamChanHangNgan(E54+E55+E57)</f>
        <v>443000</v>
      </c>
      <c r="F58" s="25">
        <f t="shared" ref="F58:I58" si="18">LamChanHangNgan(F54+F55+F57)</f>
        <v>800000</v>
      </c>
      <c r="G58" s="25">
        <f t="shared" si="18"/>
        <v>1156000</v>
      </c>
      <c r="H58" s="25">
        <f t="shared" si="18"/>
        <v>1512000</v>
      </c>
      <c r="I58" s="25">
        <f t="shared" si="18"/>
        <v>1869000</v>
      </c>
    </row>
    <row r="59" spans="1:9" ht="14.25" customHeight="1" x14ac:dyDescent="0.25">
      <c r="C59" t="s">
        <v>330</v>
      </c>
      <c r="E59" s="25">
        <f>LamChanHangNgan(E54+E55+E56+E57)</f>
        <v>560000</v>
      </c>
      <c r="F59" s="25">
        <f t="shared" ref="F59:I59" si="19">LamChanHangNgan(F54+F55+F56+F57)</f>
        <v>970000</v>
      </c>
      <c r="G59" s="25">
        <f t="shared" si="19"/>
        <v>1379000</v>
      </c>
      <c r="H59" s="25">
        <f t="shared" si="19"/>
        <v>1788000</v>
      </c>
      <c r="I59" s="25">
        <f t="shared" si="19"/>
        <v>2197000</v>
      </c>
    </row>
    <row r="60" spans="1:9" x14ac:dyDescent="0.25">
      <c r="A60">
        <v>22</v>
      </c>
      <c r="B60">
        <f>$A60*E$24</f>
        <v>220</v>
      </c>
      <c r="C60" t="s">
        <v>332</v>
      </c>
      <c r="E60">
        <f>($A60*E$24/2)/$D$16</f>
        <v>55</v>
      </c>
      <c r="F60">
        <f t="shared" ref="F60:I60" si="20">($A60*F$24/2)/$D$16</f>
        <v>110</v>
      </c>
      <c r="G60">
        <f t="shared" si="20"/>
        <v>165</v>
      </c>
      <c r="H60">
        <f t="shared" si="20"/>
        <v>220</v>
      </c>
      <c r="I60">
        <f t="shared" si="20"/>
        <v>275</v>
      </c>
    </row>
    <row r="61" spans="1:9" x14ac:dyDescent="0.25">
      <c r="C61" t="s">
        <v>306</v>
      </c>
      <c r="E61">
        <f>PhiInKM4M_BHR70(E60*$E$16*2)*(1+$D$17)</f>
        <v>357000</v>
      </c>
      <c r="F61">
        <f>PhiInKM4M_BHR70(F60*$E$16*2)*(1+$D$17)</f>
        <v>626500</v>
      </c>
      <c r="G61">
        <f>PhiInKM4M_BHR70(G60*$E$16*2)*(1+$D$17)</f>
        <v>896000</v>
      </c>
      <c r="H61">
        <f>PhiInKM4M_BHR70(H60*$E$16*2)*(1+$D$17)</f>
        <v>1165500</v>
      </c>
      <c r="I61">
        <f>PhiInKM4M_BHR70(I60*$E$16*2)*(1+$D$17)</f>
        <v>1435000</v>
      </c>
    </row>
    <row r="62" spans="1:9" x14ac:dyDescent="0.25">
      <c r="C62" t="s">
        <v>333</v>
      </c>
      <c r="E62">
        <f>E60*$D$19*(1+$D$17)</f>
        <v>122430</v>
      </c>
      <c r="F62">
        <f t="shared" ref="F62:I62" si="21">F60*$D$19*(1+$D$17)</f>
        <v>244860</v>
      </c>
      <c r="G62">
        <f t="shared" si="21"/>
        <v>367290</v>
      </c>
      <c r="H62">
        <f t="shared" si="21"/>
        <v>489720</v>
      </c>
      <c r="I62">
        <f t="shared" si="21"/>
        <v>612150</v>
      </c>
    </row>
    <row r="63" spans="1:9" x14ac:dyDescent="0.25">
      <c r="C63" t="s">
        <v>310</v>
      </c>
      <c r="E63">
        <f>(PhiMayCanMang(E60*2,$C$15/100,$D$15/100) + PhiMangCan(E60*2,$C$15/100,$D$15/100,$D$21))*(1+$D$17)</f>
        <v>122462.00505000001</v>
      </c>
      <c r="F63">
        <f>(PhiMayCanMang(F60*2,$C$15/100,$D$15/100) + PhiMangCan(F60*2,$C$15/100,$D$15/100,$D$21))*(1+$D$17)</f>
        <v>180304.40224999998</v>
      </c>
      <c r="G63">
        <f>(PhiMayCanMang(G60*2,$C$15/100,$D$15/100) + PhiMangCan(G60*2,$C$15/100,$D$15/100,$D$21))*(1+$D$17)</f>
        <v>238599.74897499999</v>
      </c>
      <c r="H63">
        <f>(PhiMayCanMang(H60*2,$C$15/100,$D$15/100) + PhiMangCan(H60*2,$C$15/100,$D$15/100,$D$21))*(1+$D$17)</f>
        <v>296895.07925000001</v>
      </c>
      <c r="I63">
        <f>(PhiMayCanMang(I60*2,$C$15/100,$D$15/100) + PhiMangCan(I60*2,$C$15/100,$D$15/100,$D$21))*(1+$D$17)</f>
        <v>354737.49272500002</v>
      </c>
    </row>
    <row r="64" spans="1:9" x14ac:dyDescent="0.25">
      <c r="C64" t="s">
        <v>334</v>
      </c>
    </row>
    <row r="65" spans="1:9" x14ac:dyDescent="0.25">
      <c r="C65" t="s">
        <v>329</v>
      </c>
      <c r="E65" s="25">
        <f>LamChanHangNgan(E61+E62+E64)</f>
        <v>479000</v>
      </c>
      <c r="F65" s="25">
        <f t="shared" ref="F65:I65" si="22">LamChanHangNgan(F61+F62+F64)</f>
        <v>871000</v>
      </c>
      <c r="G65" s="25">
        <f t="shared" si="22"/>
        <v>1263000</v>
      </c>
      <c r="H65" s="25">
        <f t="shared" si="22"/>
        <v>1655000</v>
      </c>
      <c r="I65" s="25">
        <f t="shared" si="22"/>
        <v>2047000</v>
      </c>
    </row>
    <row r="66" spans="1:9" x14ac:dyDescent="0.25">
      <c r="C66" t="s">
        <v>330</v>
      </c>
      <c r="E66" s="25">
        <f>LamChanHangNgan(E61+E62+E63+E64)</f>
        <v>601000</v>
      </c>
      <c r="F66" s="25">
        <f t="shared" ref="F66:I66" si="23">LamChanHangNgan(F61+F62+F63+F64)</f>
        <v>1051000</v>
      </c>
      <c r="G66" s="25">
        <f t="shared" si="23"/>
        <v>1501000</v>
      </c>
      <c r="H66" s="25">
        <f t="shared" si="23"/>
        <v>1952000</v>
      </c>
      <c r="I66" s="25">
        <f t="shared" si="23"/>
        <v>2401000</v>
      </c>
    </row>
    <row r="67" spans="1:9" x14ac:dyDescent="0.25">
      <c r="A67">
        <v>24</v>
      </c>
      <c r="B67">
        <f>$A67*E$24</f>
        <v>240</v>
      </c>
      <c r="C67" t="s">
        <v>332</v>
      </c>
      <c r="E67">
        <f>($A67*E$24/2)/$D$16</f>
        <v>60</v>
      </c>
      <c r="F67">
        <f t="shared" ref="F67:I67" si="24">($A67*F$24/2)/$D$16</f>
        <v>120</v>
      </c>
      <c r="G67">
        <f t="shared" si="24"/>
        <v>180</v>
      </c>
      <c r="H67">
        <f t="shared" si="24"/>
        <v>240</v>
      </c>
      <c r="I67">
        <f t="shared" si="24"/>
        <v>300</v>
      </c>
    </row>
    <row r="68" spans="1:9" x14ac:dyDescent="0.25">
      <c r="C68" t="s">
        <v>306</v>
      </c>
      <c r="E68">
        <f>PhiInKM4M_BHR70(E67*$E$16*2)*(1+$D$17)</f>
        <v>381500</v>
      </c>
      <c r="F68">
        <f>PhiInKM4M_BHR70(F67*$E$16*2)*(1+$D$17)</f>
        <v>675500</v>
      </c>
      <c r="G68">
        <f>PhiInKM4M_BHR70(G67*$E$16*2)*(1+$D$17)</f>
        <v>969500</v>
      </c>
      <c r="H68">
        <f>PhiInKM4M_BHR70(H67*$E$16*2)*(1+$D$17)</f>
        <v>1263500</v>
      </c>
      <c r="I68">
        <f>PhiInKM4M_BHR70(I67*$E$16*2)*(1+$D$17)</f>
        <v>1557500</v>
      </c>
    </row>
    <row r="69" spans="1:9" x14ac:dyDescent="0.25">
      <c r="C69" t="s">
        <v>333</v>
      </c>
      <c r="E69">
        <f>E67*$D$19*(1+$D$17)</f>
        <v>133560</v>
      </c>
      <c r="F69">
        <f t="shared" ref="F69:I69" si="25">F67*$D$19*(1+$D$17)</f>
        <v>267120</v>
      </c>
      <c r="G69">
        <f t="shared" si="25"/>
        <v>400680</v>
      </c>
      <c r="H69">
        <f t="shared" si="25"/>
        <v>534240</v>
      </c>
      <c r="I69">
        <f t="shared" si="25"/>
        <v>667800</v>
      </c>
    </row>
    <row r="70" spans="1:9" x14ac:dyDescent="0.25">
      <c r="C70" t="s">
        <v>310</v>
      </c>
      <c r="E70">
        <f>(PhiMayCanMang(E67*2,$C$15/100,$D$15/100) + PhiMangCan(E67*2,$C$15/100,$D$15/100,$D$21))*(1+$D$17)</f>
        <v>127432.17305000001</v>
      </c>
      <c r="F70">
        <f>(PhiMayCanMang(F67*2,$C$15/100,$D$15/100) + PhiMangCan(F67*2,$C$15/100,$D$15/100,$D$21))*(1+$D$17)</f>
        <v>191150.62084999998</v>
      </c>
      <c r="G70">
        <f>(PhiMayCanMang(G67*2,$C$15/100,$D$15/100) + PhiMangCan(G67*2,$C$15/100,$D$15/100,$D$21))*(1+$D$17)</f>
        <v>254416.11947500001</v>
      </c>
      <c r="H70">
        <f>(PhiMayCanMang(H67*2,$C$15/100,$D$15/100) + PhiMangCan(H67*2,$C$15/100,$D$15/100,$D$21))*(1+$D$17)</f>
        <v>318134.57514999993</v>
      </c>
      <c r="I70">
        <f>(PhiMayCanMang(I67*2,$C$15/100,$D$15/100) + PhiMangCan(I67*2,$C$15/100,$D$15/100,$D$21))*(1+$D$17)</f>
        <v>381400.073775</v>
      </c>
    </row>
    <row r="71" spans="1:9" x14ac:dyDescent="0.25">
      <c r="C71" t="s">
        <v>334</v>
      </c>
    </row>
    <row r="72" spans="1:9" x14ac:dyDescent="0.25">
      <c r="C72" t="s">
        <v>329</v>
      </c>
      <c r="E72" s="25">
        <f>LamChanHangNgan(E68+E69+E71)</f>
        <v>515000</v>
      </c>
      <c r="F72" s="25">
        <f t="shared" ref="F72:I72" si="26">LamChanHangNgan(F68+F69+F71)</f>
        <v>942000</v>
      </c>
      <c r="G72" s="25">
        <f t="shared" si="26"/>
        <v>1370000</v>
      </c>
      <c r="H72" s="25">
        <f t="shared" si="26"/>
        <v>1797000</v>
      </c>
      <c r="I72" s="25">
        <f t="shared" si="26"/>
        <v>2225000</v>
      </c>
    </row>
    <row r="73" spans="1:9" x14ac:dyDescent="0.25">
      <c r="C73" t="s">
        <v>330</v>
      </c>
      <c r="E73" s="25">
        <f>LamChanHangNgan(E68+E69+E70+E71)</f>
        <v>642000</v>
      </c>
      <c r="F73" s="25">
        <f t="shared" ref="F73:I73" si="27">LamChanHangNgan(F68+F69+F70+F71)</f>
        <v>1133000</v>
      </c>
      <c r="G73" s="25">
        <f t="shared" si="27"/>
        <v>1624000</v>
      </c>
      <c r="H73" s="25">
        <f t="shared" si="27"/>
        <v>2115000</v>
      </c>
      <c r="I73" s="25">
        <f t="shared" si="27"/>
        <v>2606000</v>
      </c>
    </row>
  </sheetData>
  <dataValidations count="3">
    <dataValidation type="list" allowBlank="1" showInputMessage="1" showErrorMessage="1" errorTitle="Lỗi" error="Vui lòng chọn dữ liệu trong danh sách._x000d__x000a_(Add-in A-Tools Tác giả: Nguyễn Duy Tuân - http://bluesofts.net)" sqref="B21" xr:uid="{F0288B32-910E-469F-9E8B-46CB21B2C4AC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63C2DB1F-4C53-4178-9E0D-8BF3D7169D80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9" xr:uid="{E3FA2C8F-EE3C-4472-A8FB-FDE14F09FF39}">
      <formula1>OFFSET(GIA_GIAY_CO_BAN,1,0,,1)</formula1>
    </dataValidation>
  </dataValidation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1EB56-9FD3-4579-9283-29F5BE6E6695}">
  <sheetPr codeName="Trang_tính6"/>
  <dimension ref="A1:I73"/>
  <sheetViews>
    <sheetView topLeftCell="A49" workbookViewId="0">
      <selection activeCell="J16" sqref="J16"/>
    </sheetView>
  </sheetViews>
  <sheetFormatPr defaultRowHeight="15" x14ac:dyDescent="0.25"/>
  <cols>
    <col min="1" max="1" width="20" bestFit="1" customWidth="1"/>
    <col min="2" max="2" width="18.5703125" customWidth="1"/>
    <col min="3" max="3" width="16.5703125" bestFit="1" customWidth="1"/>
    <col min="4" max="4" width="15.85546875" bestFit="1" customWidth="1"/>
    <col min="5" max="5" width="18.5703125" bestFit="1" customWidth="1"/>
    <col min="6" max="6" width="15" bestFit="1" customWidth="1"/>
    <col min="7" max="9" width="15.140625" bestFit="1" customWidth="1"/>
  </cols>
  <sheetData>
    <row r="1" spans="1:7" x14ac:dyDescent="0.25">
      <c r="A1" t="s">
        <v>324</v>
      </c>
    </row>
    <row r="2" spans="1:7" x14ac:dyDescent="0.25">
      <c r="A2" t="s">
        <v>285</v>
      </c>
      <c r="B2" t="s">
        <v>289</v>
      </c>
    </row>
    <row r="3" spans="1:7" x14ac:dyDescent="0.25">
      <c r="A3" t="s">
        <v>290</v>
      </c>
      <c r="B3" t="s">
        <v>80</v>
      </c>
    </row>
    <row r="4" spans="1:7" x14ac:dyDescent="0.25">
      <c r="A4" t="s">
        <v>214</v>
      </c>
      <c r="B4" t="s">
        <v>291</v>
      </c>
    </row>
    <row r="5" spans="1:7" x14ac:dyDescent="0.25">
      <c r="A5" t="s">
        <v>286</v>
      </c>
      <c r="B5" t="s">
        <v>292</v>
      </c>
    </row>
    <row r="6" spans="1:7" x14ac:dyDescent="0.25">
      <c r="A6" t="s">
        <v>293</v>
      </c>
      <c r="B6" t="s">
        <v>294</v>
      </c>
    </row>
    <row r="9" spans="1:7" x14ac:dyDescent="0.25">
      <c r="A9" s="1" t="s">
        <v>287</v>
      </c>
      <c r="B9" t="s">
        <v>302</v>
      </c>
    </row>
    <row r="10" spans="1:7" x14ac:dyDescent="0.25">
      <c r="A10" t="s">
        <v>221</v>
      </c>
      <c r="B10" s="31">
        <v>43609</v>
      </c>
    </row>
    <row r="11" spans="1:7" x14ac:dyDescent="0.25">
      <c r="B11" t="s">
        <v>138</v>
      </c>
      <c r="C11" t="s">
        <v>139</v>
      </c>
      <c r="E11" t="s">
        <v>326</v>
      </c>
      <c r="F11" s="1" t="s">
        <v>327</v>
      </c>
      <c r="G11" s="1" t="s">
        <v>328</v>
      </c>
    </row>
    <row r="12" spans="1:7" x14ac:dyDescent="0.25">
      <c r="A12" t="s">
        <v>208</v>
      </c>
      <c r="D12" t="s">
        <v>300</v>
      </c>
    </row>
    <row r="13" spans="1:7" x14ac:dyDescent="0.25">
      <c r="A13" t="s">
        <v>325</v>
      </c>
      <c r="B13">
        <v>20</v>
      </c>
      <c r="C13">
        <v>28</v>
      </c>
      <c r="D13">
        <v>0.3</v>
      </c>
      <c r="E13">
        <v>2.5</v>
      </c>
      <c r="F13">
        <f>$B13+$E13+$D13*2</f>
        <v>23.1</v>
      </c>
      <c r="G13">
        <f>$C13+$D13*2</f>
        <v>28.6</v>
      </c>
    </row>
    <row r="15" spans="1:7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7" x14ac:dyDescent="0.25">
      <c r="A16" t="s">
        <v>219</v>
      </c>
      <c r="D16" s="1">
        <f>SoConTrenToLon($C$15,$D$15,$B$13+$D$13,$C$13+$D$13)</f>
        <v>2</v>
      </c>
      <c r="E16">
        <v>2</v>
      </c>
    </row>
    <row r="17" spans="1:9" x14ac:dyDescent="0.25">
      <c r="A17" t="s">
        <v>135</v>
      </c>
      <c r="D17" s="33">
        <v>0.75</v>
      </c>
      <c r="E17" s="34" t="s">
        <v>233</v>
      </c>
    </row>
    <row r="18" spans="1:9" x14ac:dyDescent="0.25">
      <c r="B18" t="s">
        <v>215</v>
      </c>
      <c r="C18" t="s">
        <v>216</v>
      </c>
      <c r="D18" t="s">
        <v>218</v>
      </c>
      <c r="E18" t="s">
        <v>217</v>
      </c>
    </row>
    <row r="19" spans="1:9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1" spans="1:9" x14ac:dyDescent="0.25">
      <c r="A21" t="s">
        <v>331</v>
      </c>
      <c r="B21" t="s">
        <v>98</v>
      </c>
      <c r="C21" t="s">
        <v>99</v>
      </c>
      <c r="D21">
        <v>1200</v>
      </c>
    </row>
    <row r="23" spans="1:9" x14ac:dyDescent="0.25">
      <c r="A23" t="s">
        <v>305</v>
      </c>
    </row>
    <row r="24" spans="1:9" x14ac:dyDescent="0.25">
      <c r="A24" t="s">
        <v>263</v>
      </c>
      <c r="B24" t="s">
        <v>262</v>
      </c>
      <c r="E24">
        <v>10</v>
      </c>
      <c r="F24">
        <v>20</v>
      </c>
      <c r="G24">
        <v>30</v>
      </c>
      <c r="H24">
        <v>40</v>
      </c>
      <c r="I24">
        <v>50</v>
      </c>
    </row>
    <row r="25" spans="1:9" x14ac:dyDescent="0.25">
      <c r="A25">
        <v>12</v>
      </c>
      <c r="B25">
        <f>$A25*E$24</f>
        <v>120</v>
      </c>
      <c r="C25" t="s">
        <v>332</v>
      </c>
      <c r="E25">
        <f>($A25*E$24/2)/$D$16</f>
        <v>30</v>
      </c>
      <c r="F25">
        <f t="shared" ref="F25:I25" si="0">($A25*F$24/2)/$D$16</f>
        <v>60</v>
      </c>
      <c r="G25">
        <f t="shared" si="0"/>
        <v>90</v>
      </c>
      <c r="H25">
        <f t="shared" si="0"/>
        <v>120</v>
      </c>
      <c r="I25">
        <f t="shared" si="0"/>
        <v>150</v>
      </c>
    </row>
    <row r="26" spans="1:9" x14ac:dyDescent="0.25">
      <c r="C26" t="s">
        <v>306</v>
      </c>
      <c r="E26" s="7">
        <f>PhiInKM4M_BHR70(E$25*$E$16*2)*(1+$D$17)</f>
        <v>234500</v>
      </c>
      <c r="F26" s="7">
        <f>PhiInKM4M_BHR70(F$25*$E$16*2)*(1+$D$17)</f>
        <v>381500</v>
      </c>
      <c r="G26" s="7">
        <f>PhiInKM4M_BHR70(G$25*$E$16*2)*(1+$D$17)</f>
        <v>528500</v>
      </c>
      <c r="H26" s="7">
        <f>PhiInKM4M_BHR70(H$25*$E$16*2)*(1+$D$17)</f>
        <v>675500</v>
      </c>
      <c r="I26" s="7">
        <f>PhiInKM4M_BHR70(I$25*$E$16*2)*(1+$D$17)</f>
        <v>822500</v>
      </c>
    </row>
    <row r="27" spans="1:9" x14ac:dyDescent="0.25">
      <c r="C27" t="s">
        <v>333</v>
      </c>
      <c r="E27" s="7">
        <f>E$25*$D$19*(1+$D$17)</f>
        <v>66780</v>
      </c>
      <c r="F27" s="7">
        <f>F$25*$D$19*(1+$D$17)</f>
        <v>133560</v>
      </c>
      <c r="G27" s="7">
        <f t="shared" ref="G27:I27" si="1">G$25*$D$19*(1+$D$17)</f>
        <v>200340</v>
      </c>
      <c r="H27" s="7">
        <f t="shared" si="1"/>
        <v>267120</v>
      </c>
      <c r="I27" s="7">
        <f t="shared" si="1"/>
        <v>333900</v>
      </c>
    </row>
    <row r="28" spans="1:9" x14ac:dyDescent="0.25">
      <c r="C28" t="s">
        <v>310</v>
      </c>
      <c r="E28" s="7">
        <f>(PhiMayCanMang(E$25*2,$C$15/100,$D$15/100) + PhiMangCan(E$25*2,$C$15/100,$D$15/100,$D$21))*(1+$D$17)</f>
        <v>95799.419800000003</v>
      </c>
      <c r="F28" s="7">
        <f>(PhiMayCanMang(F$25*2,$C$15/100,$D$15/100) + PhiMangCan(F$25*2,$C$15/100,$D$15/100,$D$21))*(1+$D$17)</f>
        <v>127432.17305000001</v>
      </c>
      <c r="G28" s="7">
        <f>(PhiMayCanMang(G$25*2,$C$15/100,$D$15/100) + PhiMangCan(G$25*2,$C$15/100,$D$15/100,$D$21))*(1+$D$17)</f>
        <v>159517.863575</v>
      </c>
      <c r="H28" s="7">
        <f>(PhiMayCanMang(H$25*2,$C$15/100,$D$15/100) + PhiMangCan(H$25*2,$C$15/100,$D$15/100,$D$21))*(1+$D$17)</f>
        <v>191150.62084999998</v>
      </c>
      <c r="I28" s="7">
        <f>(PhiMayCanMang(I$25*2,$C$15/100,$D$15/100) + PhiMangCan(I$25*2,$C$15/100,$D$15/100,$D$21))*(1+$D$17)</f>
        <v>222783.37007499998</v>
      </c>
    </row>
    <row r="29" spans="1:9" x14ac:dyDescent="0.25">
      <c r="C29" t="s">
        <v>334</v>
      </c>
      <c r="E29" s="7">
        <f>PhiMayCanGap(E$25*$D$16)*(1+$D$17)</f>
        <v>114479.166725</v>
      </c>
      <c r="F29" s="7">
        <f t="shared" ref="F29:I29" si="2">PhiMayCanGap(F$25*$D$16)*(1+$D$17)</f>
        <v>121041.666725</v>
      </c>
      <c r="G29" s="7">
        <f t="shared" si="2"/>
        <v>127604.166725</v>
      </c>
      <c r="H29" s="7">
        <f t="shared" si="2"/>
        <v>134166.66672500002</v>
      </c>
      <c r="I29" s="7">
        <f t="shared" si="2"/>
        <v>140729.16672500002</v>
      </c>
    </row>
    <row r="30" spans="1:9" x14ac:dyDescent="0.25">
      <c r="C30" t="s">
        <v>329</v>
      </c>
      <c r="E30" s="25">
        <f>LamChanHangNgan(E$26+E$27+E$29)</f>
        <v>415000</v>
      </c>
      <c r="F30" s="25">
        <f t="shared" ref="F30:I30" si="3">LamChanHangNgan(F$26+F$27+F$29)</f>
        <v>636000</v>
      </c>
      <c r="G30" s="25">
        <f t="shared" si="3"/>
        <v>856000</v>
      </c>
      <c r="H30" s="25">
        <f t="shared" si="3"/>
        <v>1076000</v>
      </c>
      <c r="I30" s="25">
        <f t="shared" si="3"/>
        <v>1297000</v>
      </c>
    </row>
    <row r="31" spans="1:9" x14ac:dyDescent="0.25">
      <c r="C31" t="s">
        <v>330</v>
      </c>
      <c r="E31" s="25">
        <f>LamChanHangNgan(E$26+E$27+E$28+E$29)</f>
        <v>511000</v>
      </c>
      <c r="F31" s="25">
        <f t="shared" ref="F31:I31" si="4">LamChanHangNgan(F$26+F$27+F$28+F$29)</f>
        <v>763000</v>
      </c>
      <c r="G31" s="25">
        <f t="shared" si="4"/>
        <v>1015000</v>
      </c>
      <c r="H31" s="25">
        <f t="shared" si="4"/>
        <v>1267000</v>
      </c>
      <c r="I31" s="25">
        <f t="shared" si="4"/>
        <v>1519000</v>
      </c>
    </row>
    <row r="32" spans="1:9" x14ac:dyDescent="0.25">
      <c r="A32">
        <v>14</v>
      </c>
      <c r="B32">
        <f>$A32*E$24</f>
        <v>140</v>
      </c>
      <c r="C32" t="s">
        <v>332</v>
      </c>
      <c r="E32">
        <f>($A32*E$24/2)/$D$16</f>
        <v>35</v>
      </c>
      <c r="F32">
        <f t="shared" ref="F32:I32" si="5">($A32*F$24/2)/$D$16</f>
        <v>70</v>
      </c>
      <c r="G32">
        <f t="shared" si="5"/>
        <v>105</v>
      </c>
      <c r="H32">
        <f t="shared" si="5"/>
        <v>140</v>
      </c>
      <c r="I32">
        <f t="shared" si="5"/>
        <v>175</v>
      </c>
    </row>
    <row r="33" spans="1:9" x14ac:dyDescent="0.25">
      <c r="C33" t="s">
        <v>306</v>
      </c>
      <c r="E33" s="26">
        <f>PhiInKM4M_BHR70(E32*$E$16*2)*(1+$D$17)</f>
        <v>259000</v>
      </c>
      <c r="F33" s="26">
        <f>PhiInKM4M_BHR70(F32*$E$16*2)*(1+$D$17)</f>
        <v>430500</v>
      </c>
      <c r="G33" s="26">
        <f>PhiInKM4M_BHR70(G32*$E$16*2)*(1+$D$17)</f>
        <v>602000</v>
      </c>
      <c r="H33" s="26">
        <f>PhiInKM4M_BHR70(H32*$E$16*2)*(1+$D$17)</f>
        <v>773500</v>
      </c>
      <c r="I33" s="26">
        <f>PhiInKM4M_BHR70(I32*$E$16*2)*(1+$D$17)</f>
        <v>945000</v>
      </c>
    </row>
    <row r="34" spans="1:9" x14ac:dyDescent="0.25">
      <c r="C34" t="s">
        <v>333</v>
      </c>
      <c r="E34" s="26">
        <f>E32*$D$19*(1+$D$17)</f>
        <v>77910</v>
      </c>
      <c r="F34" s="26">
        <f t="shared" ref="F34:I34" si="6">F32*$D$19*(1+$D$17)</f>
        <v>155820</v>
      </c>
      <c r="G34" s="26">
        <f t="shared" si="6"/>
        <v>233730</v>
      </c>
      <c r="H34" s="26">
        <f t="shared" si="6"/>
        <v>311640</v>
      </c>
      <c r="I34" s="26">
        <f t="shared" si="6"/>
        <v>389550</v>
      </c>
    </row>
    <row r="35" spans="1:9" x14ac:dyDescent="0.25">
      <c r="C35" t="s">
        <v>310</v>
      </c>
      <c r="E35" s="26">
        <f>(PhiMayCanMang(E32*2,$C$15/100,$D$15/100) + PhiMangCan(E32*2,$C$15/100,$D$15/100,$D$21))*(1+$D$17)</f>
        <v>101222.52525000001</v>
      </c>
      <c r="F35" s="26">
        <f>(PhiMayCanMang(F32*2,$C$15/100,$D$15/100) + PhiMangCan(F32*2,$C$15/100,$D$15/100,$D$21))*(1+$D$17)</f>
        <v>138278.3836</v>
      </c>
      <c r="G35" s="26">
        <f>(PhiMayCanMang(G32*2,$C$15/100,$D$15/100) + PhiMangCan(G32*2,$C$15/100,$D$15/100,$D$21))*(1+$D$17)</f>
        <v>175334.24229999998</v>
      </c>
      <c r="H35" s="26">
        <f>(PhiMayCanMang(H32*2,$C$15/100,$D$15/100) + PhiMangCan(H32*2,$C$15/100,$D$15/100,$D$21))*(1+$D$17)</f>
        <v>212390.10082499997</v>
      </c>
      <c r="I35" s="26">
        <f>(PhiMayCanMang(I32*2,$C$15/100,$D$15/100) + PhiMangCan(I32*2,$C$15/100,$D$15/100,$D$21))*(1+$D$17)</f>
        <v>248993.01822499998</v>
      </c>
    </row>
    <row r="36" spans="1:9" x14ac:dyDescent="0.25">
      <c r="C36" t="s">
        <v>334</v>
      </c>
      <c r="E36" s="26">
        <f>PhiMayCanGap(E32*$D$16)*(1+$D$17)</f>
        <v>115572.916725</v>
      </c>
      <c r="F36" s="26">
        <f t="shared" ref="F36:I36" si="7">PhiMayCanGap(F32*$D$16)*(1+$D$17)</f>
        <v>123229.166725</v>
      </c>
      <c r="G36" s="26">
        <f t="shared" si="7"/>
        <v>130885.416725</v>
      </c>
      <c r="H36" s="26">
        <f t="shared" si="7"/>
        <v>138541.66672500002</v>
      </c>
      <c r="I36" s="26">
        <f t="shared" si="7"/>
        <v>146197.91672500002</v>
      </c>
    </row>
    <row r="37" spans="1:9" x14ac:dyDescent="0.25">
      <c r="C37" t="s">
        <v>329</v>
      </c>
      <c r="E37" s="42">
        <f>LamChanHangNgan(E33+E34+E36)</f>
        <v>452000</v>
      </c>
      <c r="F37" s="42">
        <f t="shared" ref="F37:I37" si="8">LamChanHangNgan(F33+F34+F36)</f>
        <v>709000</v>
      </c>
      <c r="G37" s="42">
        <f t="shared" si="8"/>
        <v>966000</v>
      </c>
      <c r="H37" s="42">
        <f t="shared" si="8"/>
        <v>1223000</v>
      </c>
      <c r="I37" s="42">
        <f t="shared" si="8"/>
        <v>1480000</v>
      </c>
    </row>
    <row r="38" spans="1:9" x14ac:dyDescent="0.25">
      <c r="C38" t="s">
        <v>330</v>
      </c>
      <c r="E38" s="42">
        <f>LamChanHangNgan(E33+E34+E35+E36)</f>
        <v>553000</v>
      </c>
      <c r="F38" s="42">
        <f t="shared" ref="F38:I38" si="9">LamChanHangNgan(F33+F34+F35+F36)</f>
        <v>847000</v>
      </c>
      <c r="G38" s="42">
        <f t="shared" si="9"/>
        <v>1141000</v>
      </c>
      <c r="H38" s="42">
        <f t="shared" si="9"/>
        <v>1436000</v>
      </c>
      <c r="I38" s="42">
        <f t="shared" si="9"/>
        <v>1729000</v>
      </c>
    </row>
    <row r="39" spans="1:9" x14ac:dyDescent="0.25">
      <c r="A39">
        <v>16</v>
      </c>
      <c r="B39">
        <f>$A39*E$24</f>
        <v>160</v>
      </c>
      <c r="C39" t="s">
        <v>332</v>
      </c>
      <c r="E39">
        <f>($A39*E$24/2)/$D$16</f>
        <v>40</v>
      </c>
      <c r="F39">
        <f t="shared" ref="F39:I39" si="10">($A39*F$24/2)/$D$16</f>
        <v>80</v>
      </c>
      <c r="G39">
        <f t="shared" si="10"/>
        <v>120</v>
      </c>
      <c r="H39">
        <f t="shared" si="10"/>
        <v>160</v>
      </c>
      <c r="I39">
        <f t="shared" si="10"/>
        <v>200</v>
      </c>
    </row>
    <row r="40" spans="1:9" x14ac:dyDescent="0.25">
      <c r="C40" t="s">
        <v>306</v>
      </c>
      <c r="E40">
        <f>PhiInKM4M_BHR70(E39*$E$16*2)*(1+$D$17)</f>
        <v>283500</v>
      </c>
      <c r="F40">
        <f>PhiInKM4M_BHR70(F39*$E$16*2)*(1+$D$17)</f>
        <v>479500</v>
      </c>
      <c r="G40">
        <f>PhiInKM4M_BHR70(G39*$E$16*2)*(1+$D$17)</f>
        <v>675500</v>
      </c>
      <c r="H40">
        <f>PhiInKM4M_BHR70(H39*$E$16*2)*(1+$D$17)</f>
        <v>871500</v>
      </c>
      <c r="I40">
        <f>PhiInKM4M_BHR70(I39*$E$16*2)*(1+$D$17)</f>
        <v>1067500</v>
      </c>
    </row>
    <row r="41" spans="1:9" x14ac:dyDescent="0.25">
      <c r="C41" t="s">
        <v>333</v>
      </c>
      <c r="E41">
        <f>E39*$D$19*(1+$D$17)</f>
        <v>89040</v>
      </c>
      <c r="F41">
        <f t="shared" ref="F41:I41" si="11">F39*$D$19*(1+$D$17)</f>
        <v>178080</v>
      </c>
      <c r="G41">
        <f t="shared" si="11"/>
        <v>267120</v>
      </c>
      <c r="H41">
        <f t="shared" si="11"/>
        <v>356160</v>
      </c>
      <c r="I41">
        <f t="shared" si="11"/>
        <v>445200</v>
      </c>
    </row>
    <row r="42" spans="1:9" x14ac:dyDescent="0.25">
      <c r="C42" t="s">
        <v>310</v>
      </c>
      <c r="E42">
        <f>(PhiMayCanMang(E39*2,$C$15/100,$D$15/100) + PhiMangCan(E39*2,$C$15/100,$D$15/100,$D$21))*(1+$D$17)</f>
        <v>106645.63035000001</v>
      </c>
      <c r="F42">
        <f>(PhiMayCanMang(F39*2,$C$15/100,$D$15/100) + PhiMangCan(F39*2,$C$15/100,$D$15/100,$D$21))*(1+$D$17)</f>
        <v>148671.65302500001</v>
      </c>
      <c r="G42">
        <f>(PhiMayCanMang(G39*2,$C$15/100,$D$15/100) + PhiMangCan(G39*2,$C$15/100,$D$15/100,$D$21))*(1+$D$17)</f>
        <v>191150.62084999998</v>
      </c>
      <c r="H42">
        <f>(PhiMayCanMang(H39*2,$C$15/100,$D$15/100) + PhiMangCan(H39*2,$C$15/100,$D$15/100,$D$21))*(1+$D$17)</f>
        <v>233176.63949999999</v>
      </c>
      <c r="I42">
        <f>(PhiMayCanMang(I39*2,$C$15/100,$D$15/100) + PhiMangCan(I39*2,$C$15/100,$D$15/100,$D$21))*(1+$D$17)</f>
        <v>275655.60732499999</v>
      </c>
    </row>
    <row r="43" spans="1:9" x14ac:dyDescent="0.25">
      <c r="C43" t="s">
        <v>334</v>
      </c>
      <c r="E43">
        <f>PhiMayCanGap(E39*$D$16)*(1+$D$17)</f>
        <v>116666.666725</v>
      </c>
      <c r="F43">
        <f t="shared" ref="F43:I43" si="12">PhiMayCanGap(F39*$D$16)*(1+$D$17)</f>
        <v>125416.666725</v>
      </c>
      <c r="G43">
        <f t="shared" si="12"/>
        <v>134166.66672500002</v>
      </c>
      <c r="H43">
        <f t="shared" si="12"/>
        <v>142916.66672500002</v>
      </c>
      <c r="I43">
        <f t="shared" si="12"/>
        <v>151666.66672500002</v>
      </c>
    </row>
    <row r="44" spans="1:9" x14ac:dyDescent="0.25">
      <c r="C44" t="s">
        <v>329</v>
      </c>
      <c r="E44" s="25">
        <f>LamChanHangNgan(E40+E41+E43)</f>
        <v>489000</v>
      </c>
      <c r="F44" s="25">
        <f t="shared" ref="F44" si="13">LamChanHangNgan(F40+F41+F43)</f>
        <v>782000</v>
      </c>
      <c r="G44" s="25">
        <f t="shared" ref="G44" si="14">LamChanHangNgan(G40+G41+G43)</f>
        <v>1076000</v>
      </c>
      <c r="H44" s="25">
        <f t="shared" ref="H44" si="15">LamChanHangNgan(H40+H41+H43)</f>
        <v>1370000</v>
      </c>
      <c r="I44" s="25">
        <f t="shared" ref="I44" si="16">LamChanHangNgan(I40+I41+I43)</f>
        <v>1664000</v>
      </c>
    </row>
    <row r="45" spans="1:9" x14ac:dyDescent="0.25">
      <c r="C45" t="s">
        <v>330</v>
      </c>
      <c r="E45" s="25">
        <f>LamChanHangNgan(E40+E41+E42+E43)</f>
        <v>595000</v>
      </c>
      <c r="F45" s="25">
        <f t="shared" ref="F45:I45" si="17">LamChanHangNgan(F40+F41+F42+F43)</f>
        <v>931000</v>
      </c>
      <c r="G45" s="25">
        <f t="shared" si="17"/>
        <v>1267000</v>
      </c>
      <c r="H45" s="25">
        <f t="shared" si="17"/>
        <v>1603000</v>
      </c>
      <c r="I45" s="25">
        <f t="shared" si="17"/>
        <v>1940000</v>
      </c>
    </row>
    <row r="46" spans="1:9" x14ac:dyDescent="0.25">
      <c r="A46">
        <v>18</v>
      </c>
      <c r="B46">
        <f>$A46*E$24</f>
        <v>180</v>
      </c>
      <c r="C46" t="s">
        <v>332</v>
      </c>
      <c r="E46">
        <f>($A46*E$24/2)/$D$16</f>
        <v>45</v>
      </c>
      <c r="F46">
        <f t="shared" ref="F46:I46" si="18">($A46*F$24/2)/$D$16</f>
        <v>90</v>
      </c>
      <c r="G46">
        <f t="shared" si="18"/>
        <v>135</v>
      </c>
      <c r="H46">
        <f t="shared" si="18"/>
        <v>180</v>
      </c>
      <c r="I46">
        <f t="shared" si="18"/>
        <v>225</v>
      </c>
    </row>
    <row r="47" spans="1:9" x14ac:dyDescent="0.25">
      <c r="C47" t="s">
        <v>306</v>
      </c>
      <c r="E47">
        <f>PhiInKM4M_BHR70(E46*$E$16*2)*(1+$D$17)</f>
        <v>308000</v>
      </c>
      <c r="F47">
        <f>PhiInKM4M_BHR70(F46*$E$16*2)*(1+$D$17)</f>
        <v>528500</v>
      </c>
      <c r="G47">
        <f>PhiInKM4M_BHR70(G46*$E$16*2)*(1+$D$17)</f>
        <v>749000</v>
      </c>
      <c r="H47">
        <f>PhiInKM4M_BHR70(H46*$E$16*2)*(1+$D$17)</f>
        <v>969500</v>
      </c>
      <c r="I47">
        <f>PhiInKM4M_BHR70(I46*$E$16*2)*(1+$D$17)</f>
        <v>1190000</v>
      </c>
    </row>
    <row r="48" spans="1:9" x14ac:dyDescent="0.25">
      <c r="C48" t="s">
        <v>333</v>
      </c>
      <c r="E48">
        <f>E46*$D$19*(1+$D$17)</f>
        <v>100170</v>
      </c>
      <c r="F48">
        <f t="shared" ref="F48:I48" si="19">F46*$D$19*(1+$D$17)</f>
        <v>200340</v>
      </c>
      <c r="G48">
        <f t="shared" si="19"/>
        <v>300510</v>
      </c>
      <c r="H48">
        <f t="shared" si="19"/>
        <v>400680</v>
      </c>
      <c r="I48">
        <f t="shared" si="19"/>
        <v>500850</v>
      </c>
    </row>
    <row r="49" spans="1:9" x14ac:dyDescent="0.25">
      <c r="C49" t="s">
        <v>310</v>
      </c>
      <c r="E49">
        <f>(PhiMayCanMang(E46*2,$C$15/100,$D$15/100) + PhiMangCan(E46*2,$C$15/100,$D$15/100,$D$21))*(1+$D$17)</f>
        <v>111615.79449999999</v>
      </c>
      <c r="F49">
        <f>(PhiMayCanMang(F46*2,$C$15/100,$D$15/100) + PhiMangCan(F46*2,$C$15/100,$D$15/100,$D$21))*(1+$D$17)</f>
        <v>159517.863575</v>
      </c>
      <c r="G49">
        <f>(PhiMayCanMang(G46*2,$C$15/100,$D$15/100) + PhiMangCan(G46*2,$C$15/100,$D$15/100,$D$21))*(1+$D$17)</f>
        <v>206966.99152499999</v>
      </c>
      <c r="H49">
        <f>(PhiMayCanMang(H46*2,$C$15/100,$D$15/100) + PhiMangCan(H46*2,$C$15/100,$D$15/100,$D$21))*(1+$D$17)</f>
        <v>254416.11947500001</v>
      </c>
      <c r="I49">
        <f>(PhiMayCanMang(I46*2,$C$15/100,$D$15/100) + PhiMangCan(I46*2,$C$15/100,$D$15/100,$D$21))*(1+$D$17)</f>
        <v>301865.25547500001</v>
      </c>
    </row>
    <row r="50" spans="1:9" x14ac:dyDescent="0.25">
      <c r="C50" t="s">
        <v>334</v>
      </c>
      <c r="E50">
        <f>PhiMayCanGap(E46*$D$16)*(1+$D$17)</f>
        <v>117760.416725</v>
      </c>
      <c r="F50">
        <f t="shared" ref="F50:I50" si="20">PhiMayCanGap(F46*$D$16)*(1+$D$17)</f>
        <v>127604.166725</v>
      </c>
      <c r="G50">
        <f t="shared" si="20"/>
        <v>137447.91672500002</v>
      </c>
      <c r="H50">
        <f t="shared" si="20"/>
        <v>147291.66672500002</v>
      </c>
      <c r="I50">
        <f t="shared" si="20"/>
        <v>157135.41672500002</v>
      </c>
    </row>
    <row r="51" spans="1:9" x14ac:dyDescent="0.25">
      <c r="C51" t="s">
        <v>329</v>
      </c>
      <c r="E51" s="25">
        <f>LamChanHangNgan(E47+E48+E50)</f>
        <v>525000</v>
      </c>
      <c r="F51" s="25">
        <f t="shared" ref="F51" si="21">LamChanHangNgan(F47+F48+F50)</f>
        <v>856000</v>
      </c>
      <c r="G51" s="25">
        <f t="shared" ref="G51" si="22">LamChanHangNgan(G47+G48+G50)</f>
        <v>1186000</v>
      </c>
      <c r="H51" s="25">
        <f t="shared" ref="H51" si="23">LamChanHangNgan(H47+H48+H50)</f>
        <v>1517000</v>
      </c>
      <c r="I51" s="25">
        <f t="shared" ref="I51" si="24">LamChanHangNgan(I47+I48+I50)</f>
        <v>1847000</v>
      </c>
    </row>
    <row r="52" spans="1:9" x14ac:dyDescent="0.25">
      <c r="C52" t="s">
        <v>330</v>
      </c>
      <c r="E52" s="25">
        <f>LamChanHangNgan(E47+E48+E49+E50)</f>
        <v>637000</v>
      </c>
      <c r="F52" s="25">
        <f t="shared" ref="F52:I52" si="25">LamChanHangNgan(F47+F48+F49+F50)</f>
        <v>1015000</v>
      </c>
      <c r="G52" s="25">
        <f t="shared" si="25"/>
        <v>1393000</v>
      </c>
      <c r="H52" s="25">
        <f t="shared" si="25"/>
        <v>1771000</v>
      </c>
      <c r="I52" s="25">
        <f t="shared" si="25"/>
        <v>2149000</v>
      </c>
    </row>
    <row r="53" spans="1:9" x14ac:dyDescent="0.25">
      <c r="A53">
        <v>20</v>
      </c>
      <c r="B53">
        <f>$A53*E$24</f>
        <v>200</v>
      </c>
      <c r="C53" t="s">
        <v>332</v>
      </c>
      <c r="E53">
        <f>($A53*E$24/2)/$D$16</f>
        <v>50</v>
      </c>
      <c r="F53">
        <f t="shared" ref="F53:I53" si="26">($A53*F$24/2)/$D$16</f>
        <v>100</v>
      </c>
      <c r="G53">
        <f t="shared" si="26"/>
        <v>150</v>
      </c>
      <c r="H53">
        <f t="shared" si="26"/>
        <v>200</v>
      </c>
      <c r="I53">
        <f t="shared" si="26"/>
        <v>250</v>
      </c>
    </row>
    <row r="54" spans="1:9" x14ac:dyDescent="0.25">
      <c r="C54" t="s">
        <v>306</v>
      </c>
      <c r="E54">
        <f>PhiInKM4M_BHR70(E53*$E$16*2)*(1+$D$17)</f>
        <v>332500</v>
      </c>
      <c r="F54">
        <f>PhiInKM4M_BHR70(F53*$E$16*2)*(1+$D$17)</f>
        <v>577500</v>
      </c>
      <c r="G54">
        <f>PhiInKM4M_BHR70(G53*$E$16*2)*(1+$D$17)</f>
        <v>822500</v>
      </c>
      <c r="H54">
        <f>PhiInKM4M_BHR70(H53*$E$16*2)*(1+$D$17)</f>
        <v>1067500</v>
      </c>
      <c r="I54">
        <f>PhiInKM4M_BHR70(I53*$E$16*2)*(1+$D$17)</f>
        <v>1312500</v>
      </c>
    </row>
    <row r="55" spans="1:9" x14ac:dyDescent="0.25">
      <c r="C55" t="s">
        <v>333</v>
      </c>
      <c r="E55">
        <f>E53*$D$19*(1+$D$17)</f>
        <v>111300</v>
      </c>
      <c r="F55">
        <f t="shared" ref="F55:I55" si="27">F53*$D$19*(1+$D$17)</f>
        <v>222600</v>
      </c>
      <c r="G55">
        <f t="shared" si="27"/>
        <v>333900</v>
      </c>
      <c r="H55">
        <f t="shared" si="27"/>
        <v>445200</v>
      </c>
      <c r="I55">
        <f t="shared" si="27"/>
        <v>556500</v>
      </c>
    </row>
    <row r="56" spans="1:9" x14ac:dyDescent="0.25">
      <c r="C56" t="s">
        <v>310</v>
      </c>
      <c r="E56">
        <f>(PhiMayCanMang(E53*2,$C$15/100,$D$15/100) + PhiMangCan(E53*2,$C$15/100,$D$15/100,$D$21))*(1+$D$17)</f>
        <v>117038.901875</v>
      </c>
      <c r="F56">
        <f>(PhiMayCanMang(F53*2,$C$15/100,$D$15/100) + PhiMangCan(F53*2,$C$15/100,$D$15/100,$D$21))*(1+$D$17)</f>
        <v>169911.137025</v>
      </c>
      <c r="G56">
        <f>(PhiMayCanMang(G53*2,$C$15/100,$D$15/100) + PhiMangCan(G53*2,$C$15/100,$D$15/100,$D$21))*(1+$D$17)</f>
        <v>222783.37007499998</v>
      </c>
      <c r="H56">
        <f>(PhiMayCanMang(H53*2,$C$15/100,$D$15/100) + PhiMangCan(H53*2,$C$15/100,$D$15/100,$D$21))*(1+$D$17)</f>
        <v>275655.60732499999</v>
      </c>
      <c r="I56">
        <f>(PhiMayCanMang(I53*2,$C$15/100,$D$15/100) + PhiMangCan(I53*2,$C$15/100,$D$15/100,$D$21))*(1+$D$17)</f>
        <v>328527.83652499999</v>
      </c>
    </row>
    <row r="57" spans="1:9" x14ac:dyDescent="0.25">
      <c r="C57" t="s">
        <v>334</v>
      </c>
      <c r="E57">
        <f>PhiMayCanGap(E53*$D$16)*(1+$D$17)</f>
        <v>118854.166725</v>
      </c>
      <c r="F57">
        <f t="shared" ref="F57:I57" si="28">PhiMayCanGap(F53*$D$16)*(1+$D$17)</f>
        <v>129791.666725</v>
      </c>
      <c r="G57">
        <f t="shared" si="28"/>
        <v>140729.16672500002</v>
      </c>
      <c r="H57">
        <f t="shared" si="28"/>
        <v>151666.66672500002</v>
      </c>
      <c r="I57">
        <f t="shared" si="28"/>
        <v>162604.16672500002</v>
      </c>
    </row>
    <row r="58" spans="1:9" x14ac:dyDescent="0.25">
      <c r="C58" t="s">
        <v>329</v>
      </c>
      <c r="E58" s="25">
        <f>LamChanHangNgan(E54+E55+E57)</f>
        <v>562000</v>
      </c>
      <c r="F58" s="25">
        <f t="shared" ref="F58" si="29">LamChanHangNgan(F54+F55+F57)</f>
        <v>929000</v>
      </c>
      <c r="G58" s="25">
        <f t="shared" ref="G58" si="30">LamChanHangNgan(G54+G55+G57)</f>
        <v>1297000</v>
      </c>
      <c r="H58" s="25">
        <f t="shared" ref="H58" si="31">LamChanHangNgan(H54+H55+H57)</f>
        <v>1664000</v>
      </c>
      <c r="I58" s="25">
        <f t="shared" ref="I58" si="32">LamChanHangNgan(I54+I55+I57)</f>
        <v>2031000</v>
      </c>
    </row>
    <row r="59" spans="1:9" ht="14.25" customHeight="1" x14ac:dyDescent="0.25">
      <c r="C59" t="s">
        <v>330</v>
      </c>
      <c r="E59" s="25">
        <f>LamChanHangNgan(E54+E55+E56+E57)</f>
        <v>679000</v>
      </c>
      <c r="F59" s="25">
        <f t="shared" ref="F59:I59" si="33">LamChanHangNgan(F54+F55+F56+F57)</f>
        <v>1099000</v>
      </c>
      <c r="G59" s="25">
        <f t="shared" si="33"/>
        <v>1519000</v>
      </c>
      <c r="H59" s="25">
        <f t="shared" si="33"/>
        <v>1940000</v>
      </c>
      <c r="I59" s="25">
        <f t="shared" si="33"/>
        <v>2360000</v>
      </c>
    </row>
    <row r="60" spans="1:9" x14ac:dyDescent="0.25">
      <c r="A60">
        <v>22</v>
      </c>
      <c r="B60">
        <f>$A60*E$24</f>
        <v>220</v>
      </c>
      <c r="C60" t="s">
        <v>332</v>
      </c>
      <c r="E60">
        <f>($A60*E$24/2)/$D$16</f>
        <v>55</v>
      </c>
      <c r="F60">
        <f t="shared" ref="F60:I60" si="34">($A60*F$24/2)/$D$16</f>
        <v>110</v>
      </c>
      <c r="G60">
        <f t="shared" si="34"/>
        <v>165</v>
      </c>
      <c r="H60">
        <f t="shared" si="34"/>
        <v>220</v>
      </c>
      <c r="I60">
        <f t="shared" si="34"/>
        <v>275</v>
      </c>
    </row>
    <row r="61" spans="1:9" x14ac:dyDescent="0.25">
      <c r="C61" t="s">
        <v>306</v>
      </c>
      <c r="E61">
        <f>PhiInKM4M_BHR70(E60*$E$16*2)*(1+$D$17)</f>
        <v>357000</v>
      </c>
      <c r="F61">
        <f>PhiInKM4M_BHR70(F60*$E$16*2)*(1+$D$17)</f>
        <v>626500</v>
      </c>
      <c r="G61">
        <f>PhiInKM4M_BHR70(G60*$E$16*2)*(1+$D$17)</f>
        <v>896000</v>
      </c>
      <c r="H61">
        <f>PhiInKM4M_BHR70(H60*$E$16*2)*(1+$D$17)</f>
        <v>1165500</v>
      </c>
      <c r="I61">
        <f>PhiInKM4M_BHR70(I60*$E$16*2)*(1+$D$17)</f>
        <v>1435000</v>
      </c>
    </row>
    <row r="62" spans="1:9" x14ac:dyDescent="0.25">
      <c r="C62" t="s">
        <v>333</v>
      </c>
      <c r="E62">
        <f>E60*$D$19*(1+$D$17)</f>
        <v>122430</v>
      </c>
      <c r="F62">
        <f t="shared" ref="F62:I62" si="35">F60*$D$19*(1+$D$17)</f>
        <v>244860</v>
      </c>
      <c r="G62">
        <f t="shared" si="35"/>
        <v>367290</v>
      </c>
      <c r="H62">
        <f t="shared" si="35"/>
        <v>489720</v>
      </c>
      <c r="I62">
        <f t="shared" si="35"/>
        <v>612150</v>
      </c>
    </row>
    <row r="63" spans="1:9" x14ac:dyDescent="0.25">
      <c r="C63" t="s">
        <v>310</v>
      </c>
      <c r="E63">
        <f>(PhiMayCanMang(E60*2,$C$15/100,$D$15/100) + PhiMangCan(E60*2,$C$15/100,$D$15/100,$D$21))*(1+$D$17)</f>
        <v>122462.00505000001</v>
      </c>
      <c r="F63">
        <f>(PhiMayCanMang(F60*2,$C$15/100,$D$15/100) + PhiMangCan(F60*2,$C$15/100,$D$15/100,$D$21))*(1+$D$17)</f>
        <v>180304.40224999998</v>
      </c>
      <c r="G63">
        <f>(PhiMayCanMang(G60*2,$C$15/100,$D$15/100) + PhiMangCan(G60*2,$C$15/100,$D$15/100,$D$21))*(1+$D$17)</f>
        <v>238599.74897499999</v>
      </c>
      <c r="H63">
        <f>(PhiMayCanMang(H60*2,$C$15/100,$D$15/100) + PhiMangCan(H60*2,$C$15/100,$D$15/100,$D$21))*(1+$D$17)</f>
        <v>296895.07925000001</v>
      </c>
      <c r="I63">
        <f>(PhiMayCanMang(I60*2,$C$15/100,$D$15/100) + PhiMangCan(I60*2,$C$15/100,$D$15/100,$D$21))*(1+$D$17)</f>
        <v>354737.49272500002</v>
      </c>
    </row>
    <row r="64" spans="1:9" x14ac:dyDescent="0.25">
      <c r="C64" t="s">
        <v>334</v>
      </c>
      <c r="E64">
        <f>PhiMayCanGap(E60*$D$16)*(1+$D$17)</f>
        <v>119947.916725</v>
      </c>
      <c r="F64">
        <f t="shared" ref="F64:I64" si="36">PhiMayCanGap(F60*$D$16)*(1+$D$17)</f>
        <v>131979.16672500002</v>
      </c>
      <c r="G64">
        <f t="shared" si="36"/>
        <v>144010.41672500002</v>
      </c>
      <c r="H64">
        <f t="shared" si="36"/>
        <v>156041.66672500002</v>
      </c>
      <c r="I64">
        <f t="shared" si="36"/>
        <v>168072.91672500002</v>
      </c>
    </row>
    <row r="65" spans="1:9" x14ac:dyDescent="0.25">
      <c r="C65" t="s">
        <v>329</v>
      </c>
      <c r="E65" s="25">
        <f>LamChanHangNgan(E61+E62+E64)</f>
        <v>599000</v>
      </c>
      <c r="F65" s="25">
        <f t="shared" ref="F65" si="37">LamChanHangNgan(F61+F62+F64)</f>
        <v>1003000</v>
      </c>
      <c r="G65" s="25">
        <f t="shared" ref="G65" si="38">LamChanHangNgan(G61+G62+G64)</f>
        <v>1407000</v>
      </c>
      <c r="H65" s="25">
        <f t="shared" ref="H65" si="39">LamChanHangNgan(H61+H62+H64)</f>
        <v>1811000</v>
      </c>
      <c r="I65" s="25">
        <f t="shared" ref="I65" si="40">LamChanHangNgan(I61+I62+I64)</f>
        <v>2215000</v>
      </c>
    </row>
    <row r="66" spans="1:9" x14ac:dyDescent="0.25">
      <c r="C66" t="s">
        <v>330</v>
      </c>
      <c r="E66" s="25">
        <f>LamChanHangNgan(E61+E62+E63+E64)</f>
        <v>721000</v>
      </c>
      <c r="F66" s="25">
        <f t="shared" ref="F66:I66" si="41">LamChanHangNgan(F61+F62+F63+F64)</f>
        <v>1183000</v>
      </c>
      <c r="G66" s="25">
        <f t="shared" si="41"/>
        <v>1645000</v>
      </c>
      <c r="H66" s="25">
        <f t="shared" si="41"/>
        <v>2108000</v>
      </c>
      <c r="I66" s="25">
        <f t="shared" si="41"/>
        <v>2569000</v>
      </c>
    </row>
    <row r="67" spans="1:9" x14ac:dyDescent="0.25">
      <c r="A67">
        <v>24</v>
      </c>
      <c r="B67">
        <f>$A67*E$24</f>
        <v>240</v>
      </c>
      <c r="C67" t="s">
        <v>332</v>
      </c>
      <c r="E67">
        <f>($A67*E$24/2)/$D$16</f>
        <v>60</v>
      </c>
      <c r="F67">
        <f t="shared" ref="F67:I67" si="42">($A67*F$24/2)/$D$16</f>
        <v>120</v>
      </c>
      <c r="G67">
        <f t="shared" si="42"/>
        <v>180</v>
      </c>
      <c r="H67">
        <f t="shared" si="42"/>
        <v>240</v>
      </c>
      <c r="I67">
        <f t="shared" si="42"/>
        <v>300</v>
      </c>
    </row>
    <row r="68" spans="1:9" x14ac:dyDescent="0.25">
      <c r="C68" t="s">
        <v>306</v>
      </c>
      <c r="E68">
        <f>PhiInKM4M_BHR70(E67*$E$16*2)*(1+$D$17)</f>
        <v>381500</v>
      </c>
      <c r="F68">
        <f>PhiInKM4M_BHR70(F67*$E$16*2)*(1+$D$17)</f>
        <v>675500</v>
      </c>
      <c r="G68">
        <f>PhiInKM4M_BHR70(G67*$E$16*2)*(1+$D$17)</f>
        <v>969500</v>
      </c>
      <c r="H68">
        <f>PhiInKM4M_BHR70(H67*$E$16*2)*(1+$D$17)</f>
        <v>1263500</v>
      </c>
      <c r="I68">
        <f>PhiInKM4M_BHR70(I67*$E$16*2)*(1+$D$17)</f>
        <v>1557500</v>
      </c>
    </row>
    <row r="69" spans="1:9" x14ac:dyDescent="0.25">
      <c r="C69" t="s">
        <v>333</v>
      </c>
      <c r="E69">
        <f>E67*$D$19*(1+$D$17)</f>
        <v>133560</v>
      </c>
      <c r="F69">
        <f t="shared" ref="F69:I69" si="43">F67*$D$19*(1+$D$17)</f>
        <v>267120</v>
      </c>
      <c r="G69">
        <f t="shared" si="43"/>
        <v>400680</v>
      </c>
      <c r="H69">
        <f t="shared" si="43"/>
        <v>534240</v>
      </c>
      <c r="I69">
        <f t="shared" si="43"/>
        <v>667800</v>
      </c>
    </row>
    <row r="70" spans="1:9" x14ac:dyDescent="0.25">
      <c r="C70" t="s">
        <v>310</v>
      </c>
      <c r="E70">
        <f>(PhiMayCanMang(E67*2,$C$15/100,$D$15/100) + PhiMangCan(E67*2,$C$15/100,$D$15/100,$D$21))*(1+$D$17)</f>
        <v>127432.17305000001</v>
      </c>
      <c r="F70">
        <f>(PhiMayCanMang(F67*2,$C$15/100,$D$15/100) + PhiMangCan(F67*2,$C$15/100,$D$15/100,$D$21))*(1+$D$17)</f>
        <v>191150.62084999998</v>
      </c>
      <c r="G70">
        <f>(PhiMayCanMang(G67*2,$C$15/100,$D$15/100) + PhiMangCan(G67*2,$C$15/100,$D$15/100,$D$21))*(1+$D$17)</f>
        <v>254416.11947500001</v>
      </c>
      <c r="H70">
        <f>(PhiMayCanMang(H67*2,$C$15/100,$D$15/100) + PhiMangCan(H67*2,$C$15/100,$D$15/100,$D$21))*(1+$D$17)</f>
        <v>318134.57514999993</v>
      </c>
      <c r="I70">
        <f>(PhiMayCanMang(I67*2,$C$15/100,$D$15/100) + PhiMangCan(I67*2,$C$15/100,$D$15/100,$D$21))*(1+$D$17)</f>
        <v>381400.073775</v>
      </c>
    </row>
    <row r="71" spans="1:9" x14ac:dyDescent="0.25">
      <c r="C71" t="s">
        <v>334</v>
      </c>
      <c r="E71">
        <f>PhiMayCanGap(E67*$D$16)*(1+$D$17)</f>
        <v>121041.666725</v>
      </c>
      <c r="F71">
        <f t="shared" ref="F71:I71" si="44">PhiMayCanGap(F67*$D$16)*(1+$D$17)</f>
        <v>134166.66672500002</v>
      </c>
      <c r="G71">
        <f t="shared" si="44"/>
        <v>147291.66672500002</v>
      </c>
      <c r="H71">
        <f t="shared" si="44"/>
        <v>160416.66672500002</v>
      </c>
      <c r="I71">
        <f t="shared" si="44"/>
        <v>173541.66672500002</v>
      </c>
    </row>
    <row r="72" spans="1:9" x14ac:dyDescent="0.25">
      <c r="C72" t="s">
        <v>329</v>
      </c>
      <c r="E72" s="25">
        <f>LamChanHangNgan(E68+E69+E71)</f>
        <v>636000</v>
      </c>
      <c r="F72" s="25">
        <f t="shared" ref="F72" si="45">LamChanHangNgan(F68+F69+F71)</f>
        <v>1076000</v>
      </c>
      <c r="G72" s="25">
        <f t="shared" ref="G72" si="46">LamChanHangNgan(G68+G69+G71)</f>
        <v>1517000</v>
      </c>
      <c r="H72" s="25">
        <f t="shared" ref="H72" si="47">LamChanHangNgan(H68+H69+H71)</f>
        <v>1958000</v>
      </c>
      <c r="I72" s="25">
        <f t="shared" ref="I72" si="48">LamChanHangNgan(I68+I69+I71)</f>
        <v>2398000</v>
      </c>
    </row>
    <row r="73" spans="1:9" x14ac:dyDescent="0.25">
      <c r="C73" t="s">
        <v>330</v>
      </c>
      <c r="E73" s="25">
        <f>LamChanHangNgan(E68+E69+E70+E71)</f>
        <v>763000</v>
      </c>
      <c r="F73" s="25">
        <f t="shared" ref="F73:I73" si="49">LamChanHangNgan(F68+F69+F70+F71)</f>
        <v>1267000</v>
      </c>
      <c r="G73" s="25">
        <f t="shared" si="49"/>
        <v>1771000</v>
      </c>
      <c r="H73" s="25">
        <f t="shared" si="49"/>
        <v>2276000</v>
      </c>
      <c r="I73" s="25">
        <f t="shared" si="49"/>
        <v>2780000</v>
      </c>
    </row>
  </sheetData>
  <dataValidations disablePrompts="1" count="3">
    <dataValidation type="list" allowBlank="1" showInputMessage="1" showErrorMessage="1" errorTitle="Lỗi" error="Vui lòng chọn dữ liệu trong danh sách._x000d__x000a_(Add-in A-Tools Tác giả: Nguyễn Duy Tuân - http://bluesofts.net)" sqref="B19" xr:uid="{05A0C76E-6BE4-4F44-813B-C12B50AAD01C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79D27939-64AA-4C7A-9AEF-1450E536A1F9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21" xr:uid="{4B529BED-D1DA-4967-B143-8EDF47FF3D05}">
      <formula1>OFFSET(GIA_MANG,1,0,,1)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3C12F-B371-43C2-9916-3CAC4D605AB2}">
  <sheetPr codeName="Trang_tính20"/>
  <dimension ref="A1:I37"/>
  <sheetViews>
    <sheetView tabSelected="1" topLeftCell="A12" workbookViewId="0">
      <selection activeCell="F35" sqref="F35"/>
    </sheetView>
  </sheetViews>
  <sheetFormatPr defaultRowHeight="15" x14ac:dyDescent="0.25"/>
  <cols>
    <col min="1" max="1" width="20" bestFit="1" customWidth="1"/>
    <col min="2" max="2" width="18.5703125" customWidth="1"/>
    <col min="3" max="3" width="30.42578125" bestFit="1" customWidth="1"/>
    <col min="4" max="4" width="15.85546875" bestFit="1" customWidth="1"/>
    <col min="5" max="5" width="18.5703125" bestFit="1" customWidth="1"/>
    <col min="6" max="6" width="17" bestFit="1" customWidth="1"/>
    <col min="7" max="7" width="16" bestFit="1" customWidth="1"/>
    <col min="8" max="9" width="15.140625" bestFit="1" customWidth="1"/>
  </cols>
  <sheetData>
    <row r="1" spans="1:7" x14ac:dyDescent="0.25">
      <c r="A1" t="s">
        <v>375</v>
      </c>
    </row>
    <row r="2" spans="1:7" x14ac:dyDescent="0.25">
      <c r="A2" t="s">
        <v>285</v>
      </c>
      <c r="B2" t="s">
        <v>289</v>
      </c>
    </row>
    <row r="3" spans="1:7" x14ac:dyDescent="0.25">
      <c r="A3" t="s">
        <v>290</v>
      </c>
      <c r="B3" t="s">
        <v>80</v>
      </c>
    </row>
    <row r="4" spans="1:7" x14ac:dyDescent="0.25">
      <c r="A4" t="s">
        <v>214</v>
      </c>
      <c r="B4" t="s">
        <v>291</v>
      </c>
    </row>
    <row r="5" spans="1:7" x14ac:dyDescent="0.25">
      <c r="A5" t="s">
        <v>286</v>
      </c>
      <c r="B5" t="s">
        <v>376</v>
      </c>
    </row>
    <row r="6" spans="1:7" x14ac:dyDescent="0.25">
      <c r="A6" t="s">
        <v>293</v>
      </c>
      <c r="B6" t="s">
        <v>377</v>
      </c>
    </row>
    <row r="9" spans="1:7" x14ac:dyDescent="0.25">
      <c r="A9" s="1" t="s">
        <v>287</v>
      </c>
      <c r="B9" t="s">
        <v>302</v>
      </c>
    </row>
    <row r="10" spans="1:7" x14ac:dyDescent="0.25">
      <c r="A10" t="s">
        <v>221</v>
      </c>
      <c r="B10" s="31">
        <v>43733</v>
      </c>
    </row>
    <row r="11" spans="1:7" x14ac:dyDescent="0.25">
      <c r="B11" t="s">
        <v>138</v>
      </c>
      <c r="C11" t="s">
        <v>139</v>
      </c>
      <c r="E11" t="s">
        <v>326</v>
      </c>
      <c r="F11" s="1" t="s">
        <v>327</v>
      </c>
      <c r="G11" s="1" t="s">
        <v>328</v>
      </c>
    </row>
    <row r="12" spans="1:7" x14ac:dyDescent="0.25">
      <c r="A12" t="s">
        <v>208</v>
      </c>
      <c r="D12" t="s">
        <v>300</v>
      </c>
    </row>
    <row r="13" spans="1:7" x14ac:dyDescent="0.25">
      <c r="A13" t="s">
        <v>325</v>
      </c>
      <c r="B13">
        <v>21</v>
      </c>
      <c r="C13">
        <v>30</v>
      </c>
      <c r="D13">
        <v>0.3</v>
      </c>
      <c r="E13">
        <v>2.5</v>
      </c>
      <c r="F13">
        <f>$B13+$E13+$D13*2</f>
        <v>24.1</v>
      </c>
      <c r="G13">
        <f>$C13+$D13*2</f>
        <v>30.6</v>
      </c>
    </row>
    <row r="15" spans="1:7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7" x14ac:dyDescent="0.25">
      <c r="A16" t="s">
        <v>219</v>
      </c>
      <c r="D16" s="1">
        <f>SoConTrenToLon($C$15,$D$15,$B$13+$D$13,$C$13+$D$13)</f>
        <v>2</v>
      </c>
      <c r="E16">
        <v>2</v>
      </c>
    </row>
    <row r="17" spans="1:9" x14ac:dyDescent="0.25">
      <c r="A17" t="s">
        <v>135</v>
      </c>
      <c r="D17" s="33">
        <v>0.99</v>
      </c>
      <c r="E17" s="34" t="s">
        <v>233</v>
      </c>
    </row>
    <row r="18" spans="1:9" x14ac:dyDescent="0.25">
      <c r="B18" t="s">
        <v>215</v>
      </c>
      <c r="C18" t="s">
        <v>216</v>
      </c>
      <c r="D18" t="s">
        <v>218</v>
      </c>
      <c r="E18" t="s">
        <v>217</v>
      </c>
    </row>
    <row r="19" spans="1:9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2531.2800000000002</v>
      </c>
    </row>
    <row r="21" spans="1:9" x14ac:dyDescent="0.25">
      <c r="A21" t="s">
        <v>331</v>
      </c>
      <c r="B21" t="s">
        <v>98</v>
      </c>
      <c r="C21" t="s">
        <v>99</v>
      </c>
      <c r="D21">
        <v>1200</v>
      </c>
    </row>
    <row r="23" spans="1:9" x14ac:dyDescent="0.25">
      <c r="A23" t="s">
        <v>305</v>
      </c>
    </row>
    <row r="24" spans="1:9" x14ac:dyDescent="0.25">
      <c r="A24" t="s">
        <v>263</v>
      </c>
      <c r="B24" t="s">
        <v>262</v>
      </c>
      <c r="E24">
        <v>1</v>
      </c>
      <c r="F24">
        <v>100</v>
      </c>
      <c r="G24">
        <v>200</v>
      </c>
      <c r="I24">
        <v>50</v>
      </c>
    </row>
    <row r="25" spans="1:9" x14ac:dyDescent="0.25">
      <c r="A25">
        <v>20</v>
      </c>
      <c r="B25">
        <f>$A25*E$24</f>
        <v>20</v>
      </c>
      <c r="C25" t="s">
        <v>332</v>
      </c>
      <c r="E25">
        <f>($A25*E$24/2)/$D$16</f>
        <v>5</v>
      </c>
      <c r="F25">
        <f t="shared" ref="F25:I25" si="0">($A25*F$24/2)/$D$16</f>
        <v>500</v>
      </c>
      <c r="G25">
        <f t="shared" si="0"/>
        <v>1000</v>
      </c>
      <c r="I25">
        <f t="shared" si="0"/>
        <v>250</v>
      </c>
    </row>
    <row r="26" spans="1:9" x14ac:dyDescent="0.25">
      <c r="C26" t="s">
        <v>391</v>
      </c>
      <c r="E26">
        <f>PhiKyThuatIn(15/60)</f>
        <v>44000</v>
      </c>
      <c r="F26">
        <f>PhiKyThuatIn(15/60)</f>
        <v>44000</v>
      </c>
      <c r="G26">
        <f>PhiKyThuatIn(15/60)</f>
        <v>44000</v>
      </c>
    </row>
    <row r="27" spans="1:9" x14ac:dyDescent="0.25">
      <c r="C27" t="s">
        <v>306</v>
      </c>
      <c r="E27" s="7">
        <f>PhiInKM4M_BHR70(E$25*$E$16*2)</f>
        <v>64000</v>
      </c>
      <c r="F27" s="7">
        <f>PhiInKM4M_BHR70(F$25*$E$16*2)</f>
        <v>1450000</v>
      </c>
      <c r="G27" s="7">
        <f>PhiInKM4M_BHR70(G$25*$E$16*2)</f>
        <v>2850000</v>
      </c>
      <c r="H27" s="7"/>
      <c r="I27" s="7">
        <f>PhiInKM4M_BHR70(I$25*$E$16*2)*(1+$D$17)</f>
        <v>1492500</v>
      </c>
    </row>
    <row r="28" spans="1:9" x14ac:dyDescent="0.25">
      <c r="C28" t="s">
        <v>333</v>
      </c>
      <c r="E28" s="7">
        <f>E$25*$D$19</f>
        <v>6360</v>
      </c>
      <c r="F28" s="7">
        <f>F$25*$D$19</f>
        <v>636000</v>
      </c>
      <c r="G28" s="7">
        <f>G$25*$D$19</f>
        <v>1272000</v>
      </c>
      <c r="H28" s="7"/>
      <c r="I28" s="7">
        <f t="shared" ref="I28" si="1">I$25*$D$19*(1+$D$17)</f>
        <v>632820</v>
      </c>
    </row>
    <row r="29" spans="1:9" x14ac:dyDescent="0.25">
      <c r="C29" t="s">
        <v>310</v>
      </c>
      <c r="E29" s="7">
        <f>(PhiMayCanMang(E$25*2,$C$15/100,$D$15/100) + PhiMangCan(E$25*2,$C$15/100,$D$15/100,$D$21))</f>
        <v>39765.5841</v>
      </c>
      <c r="F29" s="7">
        <f>(PhiMayCanMang(F$25*2,$C$15/100,$D$15/100) + PhiMangCan(F$25*2,$C$15/100,$D$15/100,$D$21))</f>
        <v>338793.7181</v>
      </c>
      <c r="G29" s="7">
        <f>(PhiMayCanMang(G$25*2,$C$15/100,$D$15/100) + PhiMangCan(G$25*2,$C$15/100,$D$15/100,$D$21))</f>
        <v>640920.7696</v>
      </c>
      <c r="H29" s="7"/>
      <c r="I29" s="7">
        <f>(PhiMayCanMang(I$25*2,$C$15/100,$D$15/100) + PhiMangCan(I$25*2,$C$15/100,$D$15/100,$D$21))*(1+$D$17)</f>
        <v>373583.08267699997</v>
      </c>
    </row>
    <row r="30" spans="1:9" x14ac:dyDescent="0.25">
      <c r="C30" t="s">
        <v>378</v>
      </c>
      <c r="E30" s="7">
        <f>PhiMay_AccBind(E$25)</f>
        <v>206444.44440000001</v>
      </c>
      <c r="F30" s="7">
        <f>PhiMay_AccBind(F$25)</f>
        <v>497944.44439999998</v>
      </c>
      <c r="G30" s="7">
        <f>PhiMay_AccBind(G$25)</f>
        <v>792388.88890000002</v>
      </c>
      <c r="H30" s="7"/>
      <c r="I30" s="7">
        <f>PhiMay_AccBind(I$25)</f>
        <v>350722.22220000002</v>
      </c>
    </row>
    <row r="31" spans="1:9" x14ac:dyDescent="0.25">
      <c r="C31" t="s">
        <v>383</v>
      </c>
      <c r="E31" s="25">
        <f>SUM(E27:E30)</f>
        <v>316570.02850000001</v>
      </c>
      <c r="F31" s="25">
        <f>SUM(F27:F30)</f>
        <v>2922738.1625000001</v>
      </c>
      <c r="G31" s="25">
        <f>SUM(G27:G30)</f>
        <v>5555309.6584999999</v>
      </c>
      <c r="H31" s="25"/>
      <c r="I31" s="25"/>
    </row>
    <row r="32" spans="1:9" x14ac:dyDescent="0.25">
      <c r="C32" s="44" t="s">
        <v>384</v>
      </c>
      <c r="E32" s="25">
        <f>LamChanHangNgan(E$31*(1+33%))</f>
        <v>421000</v>
      </c>
      <c r="F32" s="25">
        <f>LamChanHangNgan(F$31*(1+$D$17))</f>
        <v>5816000</v>
      </c>
      <c r="G32" s="25">
        <f>LamChanHangNgan(G$31*(1+$D$17))</f>
        <v>11055000</v>
      </c>
      <c r="H32" s="25"/>
      <c r="I32" s="25">
        <f t="shared" ref="I32" si="2">LamChanHangNgan(I$27+I$28+I$29+I$30)</f>
        <v>2849000</v>
      </c>
    </row>
    <row r="33" spans="3:7" x14ac:dyDescent="0.25">
      <c r="C33" t="s">
        <v>392</v>
      </c>
      <c r="E33" s="7">
        <v>182000</v>
      </c>
      <c r="F33" s="7">
        <f>'Menu-BatVit-LamBiaCung-TheoNhuC'!G36</f>
        <v>1685000</v>
      </c>
      <c r="G33" s="7">
        <f>'Menu-BatVit-LamBiaCung-TheoNhuC'!I36</f>
        <v>2900000</v>
      </c>
    </row>
    <row r="35" spans="3:7" x14ac:dyDescent="0.25">
      <c r="C35" t="s">
        <v>388</v>
      </c>
      <c r="E35" s="25">
        <f>E32+E33</f>
        <v>603000</v>
      </c>
      <c r="F35" s="25">
        <f>F32+F33</f>
        <v>7501000</v>
      </c>
      <c r="G35" s="25">
        <f>G32+G33</f>
        <v>13955000</v>
      </c>
    </row>
    <row r="37" spans="3:7" x14ac:dyDescent="0.25">
      <c r="C37" t="s">
        <v>389</v>
      </c>
      <c r="F37" s="7">
        <f>F35/F24</f>
        <v>75010</v>
      </c>
      <c r="G37" s="7">
        <f>G35/G24</f>
        <v>69775</v>
      </c>
    </row>
  </sheetData>
  <dataValidations disablePrompts="1" count="3">
    <dataValidation type="list" allowBlank="1" showInputMessage="1" showErrorMessage="1" errorTitle="Lỗi" error="Vui lòng chọn dữ liệu trong danh sách._x000d__x000a_(Add-in A-Tools Tác giả: Nguyễn Duy Tuân - http://bluesofts.net)" sqref="B21" xr:uid="{C8EECFCD-8772-4734-B541-0F22FDF861F9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C0C67D31-748A-455A-A261-D10DDB4DD842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9" xr:uid="{9E760BC6-7938-4009-950F-F2D987974863}">
      <formula1>OFFSET(GIA_GIAY_CO_BAN,1,0,,1)</formula1>
    </dataValidation>
  </dataValidations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64B8D-D8C9-41EF-92DE-EFCDE6A18579}">
  <sheetPr codeName="Trang_tính21"/>
  <dimension ref="A1:M43"/>
  <sheetViews>
    <sheetView topLeftCell="A13" workbookViewId="0">
      <selection activeCell="G36" sqref="G36"/>
    </sheetView>
  </sheetViews>
  <sheetFormatPr defaultRowHeight="15" x14ac:dyDescent="0.25"/>
  <cols>
    <col min="1" max="1" width="24.7109375" bestFit="1" customWidth="1"/>
    <col min="2" max="2" width="22.7109375" customWidth="1"/>
    <col min="3" max="3" width="14.28515625" customWidth="1"/>
    <col min="4" max="4" width="15.85546875" bestFit="1" customWidth="1"/>
    <col min="5" max="5" width="18.28515625" bestFit="1" customWidth="1"/>
    <col min="6" max="6" width="13.42578125" bestFit="1" customWidth="1"/>
    <col min="7" max="9" width="15" bestFit="1" customWidth="1"/>
  </cols>
  <sheetData>
    <row r="1" spans="1:13" x14ac:dyDescent="0.25">
      <c r="A1" t="s">
        <v>379</v>
      </c>
    </row>
    <row r="2" spans="1:13" x14ac:dyDescent="0.25">
      <c r="A2" t="s">
        <v>285</v>
      </c>
      <c r="B2" t="s">
        <v>336</v>
      </c>
    </row>
    <row r="3" spans="1:13" x14ac:dyDescent="0.25">
      <c r="A3" t="s">
        <v>337</v>
      </c>
    </row>
    <row r="9" spans="1:13" x14ac:dyDescent="0.25">
      <c r="A9" s="1" t="s">
        <v>287</v>
      </c>
      <c r="B9" t="s">
        <v>380</v>
      </c>
    </row>
    <row r="10" spans="1:13" x14ac:dyDescent="0.25">
      <c r="A10" t="s">
        <v>221</v>
      </c>
      <c r="B10" s="31">
        <v>43609</v>
      </c>
    </row>
    <row r="11" spans="1:13" x14ac:dyDescent="0.25">
      <c r="B11" t="s">
        <v>138</v>
      </c>
      <c r="C11" t="s">
        <v>139</v>
      </c>
      <c r="E11" t="s">
        <v>326</v>
      </c>
      <c r="F11" s="1" t="s">
        <v>327</v>
      </c>
      <c r="G11" s="1" t="s">
        <v>328</v>
      </c>
      <c r="H11" t="s">
        <v>342</v>
      </c>
    </row>
    <row r="12" spans="1:13" x14ac:dyDescent="0.25">
      <c r="A12" t="s">
        <v>339</v>
      </c>
      <c r="D12" t="s">
        <v>300</v>
      </c>
      <c r="I12" t="s">
        <v>340</v>
      </c>
      <c r="J12" t="s">
        <v>341</v>
      </c>
      <c r="L12" t="s">
        <v>355</v>
      </c>
      <c r="M12" t="e">
        <f ca="1">INDIRECT("GIA_DECAL_GIAY_VUONG")</f>
        <v>#REF!</v>
      </c>
    </row>
    <row r="13" spans="1:13" x14ac:dyDescent="0.25">
      <c r="A13" t="s">
        <v>325</v>
      </c>
      <c r="B13">
        <v>21</v>
      </c>
      <c r="C13">
        <v>30</v>
      </c>
      <c r="D13">
        <v>0.3</v>
      </c>
      <c r="E13">
        <v>2.5</v>
      </c>
      <c r="F13">
        <f>$B13+$E13+$D13*2</f>
        <v>24.1</v>
      </c>
      <c r="G13">
        <f>$C13+$D13*2</f>
        <v>30.6</v>
      </c>
      <c r="I13">
        <f>F$13+0.4+4</f>
        <v>28.5</v>
      </c>
      <c r="J13">
        <f>G$13+0.4*2</f>
        <v>31.400000000000002</v>
      </c>
    </row>
    <row r="15" spans="1:13" ht="30" x14ac:dyDescent="0.25">
      <c r="A15" t="s">
        <v>345</v>
      </c>
      <c r="B15" s="1" t="s">
        <v>79</v>
      </c>
      <c r="C15">
        <v>32</v>
      </c>
      <c r="D15">
        <v>47</v>
      </c>
      <c r="E15" s="2" t="s">
        <v>231</v>
      </c>
    </row>
    <row r="16" spans="1:13" x14ac:dyDescent="0.25">
      <c r="A16" t="s">
        <v>346</v>
      </c>
      <c r="D16" s="1">
        <v>1</v>
      </c>
      <c r="E16">
        <v>2</v>
      </c>
    </row>
    <row r="17" spans="1:9" x14ac:dyDescent="0.25">
      <c r="A17" t="s">
        <v>135</v>
      </c>
      <c r="D17" s="33">
        <v>0.99</v>
      </c>
      <c r="E17" s="34" t="s">
        <v>233</v>
      </c>
    </row>
    <row r="18" spans="1:9" x14ac:dyDescent="0.25">
      <c r="B18" t="s">
        <v>215</v>
      </c>
      <c r="C18" t="s">
        <v>216</v>
      </c>
      <c r="D18" t="s">
        <v>218</v>
      </c>
      <c r="E18" t="s">
        <v>217</v>
      </c>
    </row>
    <row r="19" spans="1:9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2531.2800000000002</v>
      </c>
    </row>
    <row r="21" spans="1:9" x14ac:dyDescent="0.25">
      <c r="A21" t="s">
        <v>331</v>
      </c>
      <c r="B21" t="s">
        <v>98</v>
      </c>
      <c r="C21" t="s">
        <v>99</v>
      </c>
      <c r="D21">
        <v>1200</v>
      </c>
    </row>
    <row r="22" spans="1:9" x14ac:dyDescent="0.25">
      <c r="A22" t="s">
        <v>343</v>
      </c>
      <c r="C22" t="s">
        <v>344</v>
      </c>
      <c r="D22">
        <v>1200</v>
      </c>
    </row>
    <row r="24" spans="1:9" x14ac:dyDescent="0.25">
      <c r="A24" t="s">
        <v>338</v>
      </c>
      <c r="E24">
        <v>1</v>
      </c>
      <c r="G24">
        <v>100</v>
      </c>
      <c r="I24">
        <v>200</v>
      </c>
    </row>
    <row r="25" spans="1:9" x14ac:dyDescent="0.25">
      <c r="C25" t="s">
        <v>347</v>
      </c>
      <c r="E25">
        <f>(E$24)/$D$16</f>
        <v>1</v>
      </c>
      <c r="G25">
        <f>(G$24)/$D$16</f>
        <v>100</v>
      </c>
      <c r="I25">
        <f t="shared" ref="I25" si="0">(I$24)/$D$16</f>
        <v>200</v>
      </c>
    </row>
    <row r="26" spans="1:9" x14ac:dyDescent="0.25">
      <c r="C26" t="s">
        <v>390</v>
      </c>
      <c r="E26" s="7">
        <f>PhiKyThuatIn(15/60)</f>
        <v>44000</v>
      </c>
      <c r="F26" s="7"/>
      <c r="G26" s="7">
        <f>PhiKyThuatIn(15/60)</f>
        <v>44000</v>
      </c>
      <c r="H26" s="7"/>
      <c r="I26" s="7"/>
    </row>
    <row r="27" spans="1:9" x14ac:dyDescent="0.25">
      <c r="C27" t="s">
        <v>348</v>
      </c>
      <c r="E27" s="7">
        <f>PhiInKM4M_BHR70(E$25*$E$16)</f>
        <v>51400</v>
      </c>
      <c r="G27" s="7">
        <f>PhiInKM4M_BHR70(G$25*$E$16)*(1+$D$17)</f>
        <v>378100</v>
      </c>
      <c r="H27" s="7"/>
      <c r="I27" s="7">
        <f>PhiInKM4M_BHR70(I$25*$E$16)*(1+$D$17)</f>
        <v>656700</v>
      </c>
    </row>
    <row r="28" spans="1:9" x14ac:dyDescent="0.25">
      <c r="C28" t="s">
        <v>333</v>
      </c>
      <c r="E28" s="7">
        <f>E$25*$D$19</f>
        <v>1272</v>
      </c>
      <c r="G28" s="7">
        <f>G$25*$D$19*(1+$D$17)</f>
        <v>253128</v>
      </c>
      <c r="H28" s="7"/>
      <c r="I28" s="7">
        <f t="shared" ref="I28" si="1">I$25*$D$19*(1+$D$17)</f>
        <v>506256</v>
      </c>
    </row>
    <row r="29" spans="1:9" x14ac:dyDescent="0.25">
      <c r="C29" t="s">
        <v>310</v>
      </c>
      <c r="E29" s="7">
        <f>(PhiMayCanMang(E$25*2,$C$15/100,$D$15/100) + PhiMangCan(E$25*2,$C$15/100,$D$15/100,$D$21))</f>
        <v>37286.450100000002</v>
      </c>
      <c r="G29" s="7">
        <f>(PhiMayCanMang(G$25*2,$C$15/100,$D$15/100) + PhiMangCan(G$25*2,$C$15/100,$D$15/100,$D$21))*(1+$D$17)</f>
        <v>193213.23581699998</v>
      </c>
      <c r="H29" s="7"/>
      <c r="I29" s="7">
        <f>(PhiMayCanMang(I$25*2,$C$15/100,$D$15/100) + PhiMangCan(I$25*2,$C$15/100,$D$15/100,$D$21))*(1+$D$17)</f>
        <v>313459.804901</v>
      </c>
    </row>
    <row r="30" spans="1:9" x14ac:dyDescent="0.25">
      <c r="C30" t="s">
        <v>382</v>
      </c>
      <c r="E30" s="7">
        <f>SUM(E27:E29)</f>
        <v>89958.450100000002</v>
      </c>
      <c r="G30" s="7">
        <f>SUM(G27:G29)</f>
        <v>824441.23581700004</v>
      </c>
      <c r="H30" s="7"/>
      <c r="I30" s="7">
        <f t="shared" ref="I30" si="2">SUM(I27:I29)</f>
        <v>1476415.8049010001</v>
      </c>
    </row>
    <row r="31" spans="1:9" x14ac:dyDescent="0.25">
      <c r="C31" t="s">
        <v>349</v>
      </c>
      <c r="E31" s="7">
        <v>0</v>
      </c>
      <c r="G31" s="7">
        <f>G24*2*$D$22</f>
        <v>240000</v>
      </c>
      <c r="H31" s="7"/>
      <c r="I31" s="7">
        <f t="shared" ref="I31" si="3">I24*2*$D$22</f>
        <v>480000</v>
      </c>
    </row>
    <row r="32" spans="1:9" x14ac:dyDescent="0.25">
      <c r="C32" t="s">
        <v>350</v>
      </c>
      <c r="E32" s="7">
        <v>34000</v>
      </c>
      <c r="F32" t="s">
        <v>381</v>
      </c>
      <c r="G32" s="7">
        <f>(PhiLamBiaCungMayY(G24)+G31)*(1+$D$17)</f>
        <v>806226.38871199987</v>
      </c>
      <c r="H32" s="7"/>
      <c r="I32" s="7">
        <f t="shared" ref="I32" si="4">(PhiLamBiaCungMayY(I24)+I31)*(1+$D$17)</f>
        <v>1340486.1108900001</v>
      </c>
    </row>
    <row r="33" spans="2:9" x14ac:dyDescent="0.25">
      <c r="C33" t="s">
        <v>385</v>
      </c>
      <c r="E33" s="43">
        <f>E30+E32</f>
        <v>123958.4501</v>
      </c>
      <c r="G33" s="43">
        <f>G30+G32</f>
        <v>1630667.6245289999</v>
      </c>
      <c r="H33" s="43"/>
      <c r="I33" s="43">
        <f t="shared" ref="I33" si="5">I30+I32</f>
        <v>2816901.9157910002</v>
      </c>
    </row>
    <row r="34" spans="2:9" x14ac:dyDescent="0.25">
      <c r="E34" s="43"/>
      <c r="G34" s="43"/>
      <c r="H34" s="43"/>
      <c r="I34" s="43"/>
    </row>
    <row r="35" spans="2:9" x14ac:dyDescent="0.25">
      <c r="C35" t="s">
        <v>386</v>
      </c>
      <c r="E35" s="32">
        <f>PhiLDPT_VoCuonBatVit(E$24)</f>
        <v>13144.4444</v>
      </c>
      <c r="G35" s="32">
        <f>PhiLDPT_VoCuonBatVit(G24) * (1+$D$17)</f>
        <v>54614.445748999999</v>
      </c>
      <c r="H35" s="32"/>
      <c r="I35" s="32">
        <f t="shared" ref="I35" si="6">PhiLDPT_VoCuonBatVit(I24) * (1+$D$17)</f>
        <v>83358.891696999999</v>
      </c>
    </row>
    <row r="36" spans="2:9" x14ac:dyDescent="0.25">
      <c r="C36" t="s">
        <v>387</v>
      </c>
      <c r="E36" s="25">
        <f>LamChanHangNgan((E33+E35)*(1+33%))</f>
        <v>182000</v>
      </c>
      <c r="G36" s="25">
        <f>LamChanHangNgan(G33+G35)</f>
        <v>1685000</v>
      </c>
      <c r="H36" s="25"/>
      <c r="I36" s="25">
        <f t="shared" ref="I36" si="7">LamChanHangNgan(I33+I35)</f>
        <v>2900000</v>
      </c>
    </row>
    <row r="38" spans="2:9" x14ac:dyDescent="0.25">
      <c r="D38" t="s">
        <v>393</v>
      </c>
      <c r="E38" s="7">
        <f>LamChanHangNgan(E36/E24)</f>
        <v>182000</v>
      </c>
      <c r="G38" s="7">
        <f>LamChanHangNgan(G36/G24)</f>
        <v>16000</v>
      </c>
      <c r="H38" s="7"/>
      <c r="I38" s="7">
        <f t="shared" ref="I38" si="8">LamChanHangNgan(I36/I24)</f>
        <v>14000</v>
      </c>
    </row>
    <row r="40" spans="2:9" x14ac:dyDescent="0.25">
      <c r="B40" s="2"/>
      <c r="E40" s="32"/>
      <c r="F40" s="32"/>
      <c r="G40" s="32"/>
      <c r="H40" s="32"/>
      <c r="I40" s="32"/>
    </row>
    <row r="43" spans="2:9" x14ac:dyDescent="0.25">
      <c r="E43" s="32"/>
    </row>
  </sheetData>
  <dataValidations disablePrompts="1" count="3">
    <dataValidation type="list" allowBlank="1" showInputMessage="1" showErrorMessage="1" errorTitle="Lỗi" error="Vui lòng chọn dữ liệu trong danh sách._x000d__x000a_(Add-in A-Tools Tác giả: Nguyễn Duy Tuân - http://bluesofts.net)" sqref="B19" xr:uid="{E6187CED-B207-4DFE-A922-0E2DD499C676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C9BF21D6-CB63-458D-A4B4-6A9187808C0C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21" xr:uid="{2B9A3494-45CF-4D98-AB27-DF9AD9B0002F}">
      <formula1>OFFSET(GIA_MANG,1,0,,1)</formula1>
    </dataValidation>
  </dataValidation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57A01-165E-4A2B-B25A-F1764CDBDCC5}">
  <sheetPr codeName="Trang_tính7"/>
  <dimension ref="A1:M42"/>
  <sheetViews>
    <sheetView topLeftCell="A16" workbookViewId="0">
      <selection activeCell="G37" sqref="G37"/>
    </sheetView>
  </sheetViews>
  <sheetFormatPr defaultRowHeight="15" x14ac:dyDescent="0.25"/>
  <cols>
    <col min="1" max="1" width="24.7109375" bestFit="1" customWidth="1"/>
    <col min="2" max="2" width="22.7109375" customWidth="1"/>
    <col min="3" max="3" width="14.28515625" customWidth="1"/>
    <col min="4" max="4" width="15.85546875" bestFit="1" customWidth="1"/>
    <col min="5" max="5" width="18.28515625" bestFit="1" customWidth="1"/>
    <col min="6" max="6" width="13.42578125" bestFit="1" customWidth="1"/>
    <col min="7" max="8" width="15" bestFit="1" customWidth="1"/>
    <col min="9" max="9" width="13.42578125" bestFit="1" customWidth="1"/>
  </cols>
  <sheetData>
    <row r="1" spans="1:13" x14ac:dyDescent="0.25">
      <c r="A1" t="s">
        <v>335</v>
      </c>
    </row>
    <row r="2" spans="1:13" x14ac:dyDescent="0.25">
      <c r="A2" t="s">
        <v>285</v>
      </c>
      <c r="B2" t="s">
        <v>336</v>
      </c>
    </row>
    <row r="3" spans="1:13" x14ac:dyDescent="0.25">
      <c r="A3" t="s">
        <v>337</v>
      </c>
    </row>
    <row r="9" spans="1:13" x14ac:dyDescent="0.25">
      <c r="A9" s="1" t="s">
        <v>287</v>
      </c>
      <c r="B9" t="s">
        <v>302</v>
      </c>
    </row>
    <row r="10" spans="1:13" x14ac:dyDescent="0.25">
      <c r="A10" t="s">
        <v>221</v>
      </c>
      <c r="B10" s="31">
        <v>43609</v>
      </c>
    </row>
    <row r="11" spans="1:13" x14ac:dyDescent="0.25">
      <c r="B11" t="s">
        <v>138</v>
      </c>
      <c r="C11" t="s">
        <v>139</v>
      </c>
      <c r="E11" t="s">
        <v>326</v>
      </c>
      <c r="F11" s="1" t="s">
        <v>327</v>
      </c>
      <c r="G11" s="1" t="s">
        <v>328</v>
      </c>
      <c r="H11" t="s">
        <v>342</v>
      </c>
    </row>
    <row r="12" spans="1:13" x14ac:dyDescent="0.25">
      <c r="A12" t="s">
        <v>339</v>
      </c>
      <c r="D12" t="s">
        <v>300</v>
      </c>
      <c r="I12" t="s">
        <v>340</v>
      </c>
      <c r="J12" t="s">
        <v>341</v>
      </c>
      <c r="L12" t="s">
        <v>355</v>
      </c>
      <c r="M12" t="e">
        <f ca="1">INDIRECT("GIA_DECAL_GIAY_VUONG")</f>
        <v>#REF!</v>
      </c>
    </row>
    <row r="13" spans="1:13" x14ac:dyDescent="0.25">
      <c r="A13" t="s">
        <v>325</v>
      </c>
      <c r="B13">
        <v>20</v>
      </c>
      <c r="C13">
        <v>28</v>
      </c>
      <c r="D13">
        <v>0.3</v>
      </c>
      <c r="E13">
        <v>2.5</v>
      </c>
      <c r="F13">
        <f>$B13+$E13+$D13*2</f>
        <v>23.1</v>
      </c>
      <c r="G13">
        <f>$C13+$D13*2</f>
        <v>28.6</v>
      </c>
      <c r="I13">
        <f>F$13+0.4+4</f>
        <v>27.5</v>
      </c>
      <c r="J13">
        <f>G$13+0.4*2</f>
        <v>29.400000000000002</v>
      </c>
    </row>
    <row r="15" spans="1:13" ht="30" x14ac:dyDescent="0.25">
      <c r="A15" t="s">
        <v>345</v>
      </c>
      <c r="B15" s="1" t="s">
        <v>79</v>
      </c>
      <c r="C15">
        <v>32</v>
      </c>
      <c r="D15">
        <v>47</v>
      </c>
      <c r="E15" s="2" t="s">
        <v>231</v>
      </c>
    </row>
    <row r="16" spans="1:13" x14ac:dyDescent="0.25">
      <c r="A16" t="s">
        <v>346</v>
      </c>
      <c r="D16" s="1">
        <v>1</v>
      </c>
      <c r="E16">
        <v>2</v>
      </c>
    </row>
    <row r="17" spans="1:9" x14ac:dyDescent="0.25">
      <c r="A17" t="s">
        <v>135</v>
      </c>
      <c r="D17" s="33">
        <v>0.75</v>
      </c>
      <c r="E17" s="34" t="s">
        <v>233</v>
      </c>
    </row>
    <row r="18" spans="1:9" x14ac:dyDescent="0.25">
      <c r="B18" t="s">
        <v>215</v>
      </c>
      <c r="C18" t="s">
        <v>216</v>
      </c>
      <c r="D18" t="s">
        <v>218</v>
      </c>
      <c r="E18" t="s">
        <v>217</v>
      </c>
    </row>
    <row r="19" spans="1:9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1" spans="1:9" x14ac:dyDescent="0.25">
      <c r="A21" t="s">
        <v>331</v>
      </c>
      <c r="B21" t="s">
        <v>98</v>
      </c>
      <c r="C21" t="s">
        <v>99</v>
      </c>
      <c r="D21">
        <v>1200</v>
      </c>
    </row>
    <row r="22" spans="1:9" x14ac:dyDescent="0.25">
      <c r="A22" t="s">
        <v>343</v>
      </c>
      <c r="C22" t="s">
        <v>344</v>
      </c>
      <c r="D22">
        <v>1200</v>
      </c>
    </row>
    <row r="24" spans="1:9" x14ac:dyDescent="0.25">
      <c r="A24" t="s">
        <v>338</v>
      </c>
      <c r="E24">
        <v>10</v>
      </c>
      <c r="F24">
        <v>20</v>
      </c>
      <c r="G24">
        <v>30</v>
      </c>
      <c r="H24">
        <v>40</v>
      </c>
      <c r="I24">
        <v>50</v>
      </c>
    </row>
    <row r="25" spans="1:9" x14ac:dyDescent="0.25">
      <c r="C25" t="s">
        <v>347</v>
      </c>
      <c r="E25">
        <f>(E$24)/$D$16</f>
        <v>10</v>
      </c>
      <c r="F25">
        <f t="shared" ref="F25:I25" si="0">(F$24)/$D$16</f>
        <v>20</v>
      </c>
      <c r="G25">
        <f t="shared" si="0"/>
        <v>30</v>
      </c>
      <c r="H25">
        <f t="shared" si="0"/>
        <v>40</v>
      </c>
      <c r="I25">
        <f t="shared" si="0"/>
        <v>50</v>
      </c>
    </row>
    <row r="26" spans="1:9" x14ac:dyDescent="0.25">
      <c r="C26" t="s">
        <v>348</v>
      </c>
      <c r="E26" s="7">
        <f>PhiInKM4M_BHR70(E$25*$E$16)*(1+$D$17)</f>
        <v>112000</v>
      </c>
      <c r="F26" s="7">
        <f>PhiInKM4M_BHR70(F$25*$E$16)*(1+$D$17)</f>
        <v>136500</v>
      </c>
      <c r="G26" s="7">
        <f>PhiInKM4M_BHR70(G$25*$E$16)*(1+$D$17)</f>
        <v>161000</v>
      </c>
      <c r="H26" s="7">
        <f>PhiInKM4M_BHR70(H$25*$E$16)*(1+$D$17)</f>
        <v>185500</v>
      </c>
      <c r="I26" s="7">
        <f>PhiInKM4M_BHR70(I$25*$E$16)*(1+$D$17)</f>
        <v>210000</v>
      </c>
    </row>
    <row r="27" spans="1:9" x14ac:dyDescent="0.25">
      <c r="C27" t="s">
        <v>333</v>
      </c>
      <c r="E27" s="7">
        <f>E$25*$D$19*(1+$D$17)</f>
        <v>22260</v>
      </c>
      <c r="F27" s="7">
        <f>F$25*$D$19*(1+$D$17)</f>
        <v>44520</v>
      </c>
      <c r="G27" s="7">
        <f t="shared" ref="G27:I27" si="1">G$25*$D$19*(1+$D$17)</f>
        <v>66780</v>
      </c>
      <c r="H27" s="7">
        <f t="shared" si="1"/>
        <v>89040</v>
      </c>
      <c r="I27" s="7">
        <f t="shared" si="1"/>
        <v>111300</v>
      </c>
    </row>
    <row r="28" spans="1:9" x14ac:dyDescent="0.25">
      <c r="C28" t="s">
        <v>310</v>
      </c>
      <c r="E28" s="7">
        <f>(PhiMayCanMang(E$25*2,$C$15/100,$D$15/100) + PhiMangCan(E$25*2,$C$15/100,$D$15/100,$D$21))*(1+$D$17)</f>
        <v>74559.937024999992</v>
      </c>
      <c r="F28" s="7">
        <f>(PhiMayCanMang(F$25*2,$C$15/100,$D$15/100) + PhiMangCan(F$25*2,$C$15/100,$D$15/100,$D$21))*(1+$D$17)</f>
        <v>85406.148625000002</v>
      </c>
      <c r="G28" s="7">
        <f>(PhiMayCanMang(G$25*2,$C$15/100,$D$15/100) + PhiMangCan(G$25*2,$C$15/100,$D$15/100,$D$21))*(1+$D$17)</f>
        <v>95799.419800000003</v>
      </c>
      <c r="H28" s="7">
        <f>(PhiMayCanMang(H$25*2,$C$15/100,$D$15/100) + PhiMangCan(H$25*2,$C$15/100,$D$15/100,$D$21))*(1+$D$17)</f>
        <v>106645.63035000001</v>
      </c>
      <c r="I28" s="7">
        <f>(PhiMayCanMang(I$25*2,$C$15/100,$D$15/100) + PhiMangCan(I$25*2,$C$15/100,$D$15/100,$D$21))*(1+$D$17)</f>
        <v>117038.901875</v>
      </c>
    </row>
    <row r="29" spans="1:9" x14ac:dyDescent="0.25">
      <c r="C29" t="s">
        <v>351</v>
      </c>
      <c r="E29" s="7">
        <f>SUM(E26:E28)</f>
        <v>208819.93702499999</v>
      </c>
      <c r="F29" s="7">
        <f t="shared" ref="F29:I29" si="2">SUM(F26:F28)</f>
        <v>266426.14862500003</v>
      </c>
      <c r="G29" s="7">
        <f t="shared" si="2"/>
        <v>323579.41980000003</v>
      </c>
      <c r="H29" s="7">
        <f t="shared" si="2"/>
        <v>381185.63034999999</v>
      </c>
      <c r="I29" s="7">
        <f t="shared" si="2"/>
        <v>438338.90187499998</v>
      </c>
    </row>
    <row r="30" spans="1:9" x14ac:dyDescent="0.25">
      <c r="C30" t="s">
        <v>349</v>
      </c>
      <c r="E30" s="7">
        <f>E24*2*$D$22</f>
        <v>24000</v>
      </c>
      <c r="F30" s="7">
        <f t="shared" ref="F30:I30" si="3">F24*2*$D$22</f>
        <v>48000</v>
      </c>
      <c r="G30" s="7">
        <f t="shared" si="3"/>
        <v>72000</v>
      </c>
      <c r="H30" s="7">
        <f t="shared" si="3"/>
        <v>96000</v>
      </c>
      <c r="I30" s="7">
        <f t="shared" si="3"/>
        <v>120000</v>
      </c>
    </row>
    <row r="31" spans="1:9" x14ac:dyDescent="0.25">
      <c r="C31" t="s">
        <v>350</v>
      </c>
      <c r="E31" s="7">
        <f>(PhiLamBiaCungMayY(E24)+E30)*(1+$D$17)</f>
        <v>286149.30539999995</v>
      </c>
      <c r="F31" s="7">
        <f t="shared" ref="F31:I31" si="4">(PhiLamBiaCungMayY(F24)+F30)*(1+$D$17)</f>
        <v>333131.94425</v>
      </c>
      <c r="G31" s="7">
        <f t="shared" si="4"/>
        <v>380114.58327499998</v>
      </c>
      <c r="H31" s="7">
        <f t="shared" si="4"/>
        <v>427097.22212499997</v>
      </c>
      <c r="I31" s="7">
        <f t="shared" si="4"/>
        <v>474079.86097499996</v>
      </c>
    </row>
    <row r="32" spans="1:9" x14ac:dyDescent="0.25">
      <c r="C32" t="s">
        <v>352</v>
      </c>
      <c r="E32" s="43">
        <f>E29+E31</f>
        <v>494969.24242499995</v>
      </c>
      <c r="F32" s="43">
        <f t="shared" ref="F32:I32" si="5">F29+F31</f>
        <v>599558.09287500009</v>
      </c>
      <c r="G32" s="43">
        <f t="shared" si="5"/>
        <v>703694.00307500002</v>
      </c>
      <c r="H32" s="43">
        <f t="shared" si="5"/>
        <v>808282.85247499996</v>
      </c>
      <c r="I32" s="43">
        <f t="shared" si="5"/>
        <v>912418.76284999994</v>
      </c>
    </row>
    <row r="33" spans="2:9" x14ac:dyDescent="0.25">
      <c r="E33" s="43"/>
      <c r="F33" s="43"/>
      <c r="G33" s="43"/>
      <c r="H33" s="43"/>
      <c r="I33" s="43"/>
    </row>
    <row r="34" spans="2:9" x14ac:dyDescent="0.25">
      <c r="C34" t="s">
        <v>353</v>
      </c>
      <c r="E34" s="32">
        <f>PhiLDPT_VoCuonBatVit(E$24) * (1+$D$17)</f>
        <v>25277.777875</v>
      </c>
      <c r="F34" s="32">
        <f t="shared" ref="F34:I34" si="6">PhiLDPT_VoCuonBatVit(F24) * (1+$D$17)</f>
        <v>27805.555574999998</v>
      </c>
      <c r="G34" s="32">
        <f t="shared" si="6"/>
        <v>30333.333624999999</v>
      </c>
      <c r="H34" s="32">
        <f t="shared" si="6"/>
        <v>32861.111149999997</v>
      </c>
      <c r="I34" s="32">
        <f t="shared" si="6"/>
        <v>35388.88955</v>
      </c>
    </row>
    <row r="35" spans="2:9" x14ac:dyDescent="0.25">
      <c r="C35" t="s">
        <v>354</v>
      </c>
      <c r="E35" s="25">
        <f>LamChanHangNgan(E32+E34)</f>
        <v>520000</v>
      </c>
      <c r="F35" s="25">
        <f t="shared" ref="F35:I35" si="7">LamChanHangNgan(F32+F34)</f>
        <v>627000</v>
      </c>
      <c r="G35" s="25">
        <f t="shared" si="7"/>
        <v>734000</v>
      </c>
      <c r="H35" s="25">
        <f t="shared" si="7"/>
        <v>841000</v>
      </c>
      <c r="I35" s="25">
        <f t="shared" si="7"/>
        <v>947000</v>
      </c>
    </row>
    <row r="37" spans="2:9" x14ac:dyDescent="0.25">
      <c r="D37" t="s">
        <v>356</v>
      </c>
      <c r="E37" s="7">
        <f>LamChanHangNgan(E35/E24)</f>
        <v>52000</v>
      </c>
      <c r="F37" s="7">
        <f t="shared" ref="F37:I37" si="8">LamChanHangNgan(F35/F24)</f>
        <v>31000</v>
      </c>
      <c r="G37" s="7">
        <f t="shared" si="8"/>
        <v>24000</v>
      </c>
      <c r="H37" s="7">
        <f t="shared" si="8"/>
        <v>21000</v>
      </c>
      <c r="I37" s="7">
        <f t="shared" si="8"/>
        <v>18000</v>
      </c>
    </row>
    <row r="39" spans="2:9" ht="75" x14ac:dyDescent="0.25">
      <c r="B39" s="2" t="s">
        <v>374</v>
      </c>
      <c r="C39" t="s">
        <v>353</v>
      </c>
      <c r="E39" s="32">
        <f>PhiMay_AccSlit(E$24*12,0.3)</f>
        <v>268966.6667</v>
      </c>
      <c r="F39" s="32">
        <f t="shared" ref="F39:I39" si="9">PhiMay_AccSlit(F$24*12,0.3)</f>
        <v>358433.3333</v>
      </c>
      <c r="G39" s="32">
        <f t="shared" si="9"/>
        <v>447900</v>
      </c>
      <c r="H39" s="32">
        <f t="shared" si="9"/>
        <v>537366.66669999994</v>
      </c>
      <c r="I39" s="32">
        <f t="shared" si="9"/>
        <v>626833.33330000006</v>
      </c>
    </row>
    <row r="42" spans="2:9" x14ac:dyDescent="0.25">
      <c r="E42" s="32">
        <f>PhiMay_AccSlit(E$24*12,0.3)</f>
        <v>268966.6667</v>
      </c>
    </row>
  </sheetData>
  <dataValidations disablePrompts="1" count="3">
    <dataValidation type="list" allowBlank="1" showInputMessage="1" showErrorMessage="1" errorTitle="Lỗi" error="Vui lòng chọn dữ liệu trong danh sách._x000d__x000a_(Add-in A-Tools Tác giả: Nguyễn Duy Tuân - http://bluesofts.net)" sqref="B21" xr:uid="{3EEAD395-2BC2-4E4E-B93F-8F1C4A321C73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0B9D4F52-673E-418D-A198-B96265CE4E54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9" xr:uid="{7224F471-3B90-4779-A4B5-DE0AEFA61447}">
      <formula1>OFFSET(GIA_GIAY_CO_BAN,1,0,,1)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E69A2-EABB-4A4B-9460-8B58E88684C5}">
  <sheetPr codeName="Trang_tính8"/>
  <dimension ref="A1:I80"/>
  <sheetViews>
    <sheetView topLeftCell="A49" workbookViewId="0">
      <selection activeCell="K69" sqref="K69"/>
    </sheetView>
  </sheetViews>
  <sheetFormatPr defaultRowHeight="15" x14ac:dyDescent="0.25"/>
  <cols>
    <col min="1" max="1" width="20" bestFit="1" customWidth="1"/>
    <col min="2" max="2" width="18.5703125" customWidth="1"/>
    <col min="3" max="3" width="19" customWidth="1"/>
    <col min="4" max="4" width="15.85546875" bestFit="1" customWidth="1"/>
    <col min="5" max="5" width="18.5703125" bestFit="1" customWidth="1"/>
    <col min="6" max="6" width="15" bestFit="1" customWidth="1"/>
    <col min="7" max="7" width="15.140625" bestFit="1" customWidth="1"/>
    <col min="8" max="9" width="15.85546875" bestFit="1" customWidth="1"/>
  </cols>
  <sheetData>
    <row r="1" spans="1:7" x14ac:dyDescent="0.25">
      <c r="A1" t="s">
        <v>357</v>
      </c>
    </row>
    <row r="2" spans="1:7" x14ac:dyDescent="0.25">
      <c r="A2" t="s">
        <v>285</v>
      </c>
      <c r="B2" t="s">
        <v>289</v>
      </c>
    </row>
    <row r="3" spans="1:7" x14ac:dyDescent="0.25">
      <c r="A3" t="s">
        <v>290</v>
      </c>
      <c r="B3" t="s">
        <v>80</v>
      </c>
    </row>
    <row r="4" spans="1:7" x14ac:dyDescent="0.25">
      <c r="A4" t="s">
        <v>214</v>
      </c>
      <c r="B4" t="s">
        <v>358</v>
      </c>
    </row>
    <row r="5" spans="1:7" x14ac:dyDescent="0.25">
      <c r="A5" t="s">
        <v>286</v>
      </c>
      <c r="B5" t="s">
        <v>292</v>
      </c>
    </row>
    <row r="6" spans="1:7" x14ac:dyDescent="0.25">
      <c r="A6" t="s">
        <v>293</v>
      </c>
      <c r="B6" t="s">
        <v>294</v>
      </c>
    </row>
    <row r="9" spans="1:7" x14ac:dyDescent="0.25">
      <c r="A9" s="1" t="s">
        <v>287</v>
      </c>
      <c r="B9" t="s">
        <v>302</v>
      </c>
    </row>
    <row r="10" spans="1:7" x14ac:dyDescent="0.25">
      <c r="A10" t="s">
        <v>221</v>
      </c>
      <c r="B10" s="31">
        <v>43609</v>
      </c>
    </row>
    <row r="11" spans="1:7" x14ac:dyDescent="0.25">
      <c r="B11" t="s">
        <v>138</v>
      </c>
      <c r="C11" t="s">
        <v>139</v>
      </c>
      <c r="E11" t="s">
        <v>326</v>
      </c>
      <c r="F11" s="1" t="s">
        <v>327</v>
      </c>
      <c r="G11" s="1" t="s">
        <v>328</v>
      </c>
    </row>
    <row r="12" spans="1:7" x14ac:dyDescent="0.25">
      <c r="A12" t="s">
        <v>208</v>
      </c>
      <c r="D12" t="s">
        <v>300</v>
      </c>
    </row>
    <row r="13" spans="1:7" x14ac:dyDescent="0.25">
      <c r="A13" t="s">
        <v>325</v>
      </c>
      <c r="B13">
        <v>40</v>
      </c>
      <c r="C13">
        <v>28</v>
      </c>
      <c r="D13">
        <v>0.3</v>
      </c>
      <c r="E13">
        <v>2.5</v>
      </c>
      <c r="F13">
        <f>$B13+$E13+$D13*2</f>
        <v>43.1</v>
      </c>
      <c r="G13">
        <f>$C13+$D13*2</f>
        <v>28.6</v>
      </c>
    </row>
    <row r="15" spans="1:7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7" x14ac:dyDescent="0.25">
      <c r="A16" t="s">
        <v>219</v>
      </c>
      <c r="D16" s="1">
        <f>SoConTrenToLon($C$15,$D$15,$B$13+$D$13,$C$13+$D$13)</f>
        <v>1</v>
      </c>
      <c r="E16">
        <v>2</v>
      </c>
    </row>
    <row r="17" spans="1:9" x14ac:dyDescent="0.25">
      <c r="A17" t="s">
        <v>135</v>
      </c>
      <c r="D17" s="33">
        <v>0.75</v>
      </c>
      <c r="E17" s="34" t="s">
        <v>233</v>
      </c>
    </row>
    <row r="18" spans="1:9" x14ac:dyDescent="0.25">
      <c r="B18" t="s">
        <v>215</v>
      </c>
      <c r="C18" t="s">
        <v>216</v>
      </c>
      <c r="D18" t="s">
        <v>218</v>
      </c>
      <c r="E18" t="s">
        <v>217</v>
      </c>
    </row>
    <row r="19" spans="1:9" x14ac:dyDescent="0.25">
      <c r="A19" t="s">
        <v>301</v>
      </c>
      <c r="B19" t="s">
        <v>154</v>
      </c>
      <c r="C19" t="s">
        <v>147</v>
      </c>
      <c r="D19">
        <v>1056</v>
      </c>
      <c r="E19" s="7">
        <f>D19*(1+D17)</f>
        <v>1848</v>
      </c>
    </row>
    <row r="21" spans="1:9" x14ac:dyDescent="0.25">
      <c r="A21" t="s">
        <v>331</v>
      </c>
      <c r="B21" t="s">
        <v>98</v>
      </c>
      <c r="C21" t="s">
        <v>99</v>
      </c>
      <c r="D21">
        <v>1200</v>
      </c>
    </row>
    <row r="23" spans="1:9" x14ac:dyDescent="0.25">
      <c r="A23" t="s">
        <v>305</v>
      </c>
    </row>
    <row r="24" spans="1:9" x14ac:dyDescent="0.25">
      <c r="A24" t="s">
        <v>263</v>
      </c>
      <c r="B24" t="s">
        <v>262</v>
      </c>
      <c r="E24" s="1">
        <v>10</v>
      </c>
      <c r="F24" s="1">
        <v>20</v>
      </c>
      <c r="G24" s="1">
        <v>30</v>
      </c>
      <c r="H24" s="1">
        <v>40</v>
      </c>
      <c r="I24" s="1">
        <v>50</v>
      </c>
    </row>
    <row r="25" spans="1:9" x14ac:dyDescent="0.25">
      <c r="A25">
        <v>12</v>
      </c>
      <c r="B25">
        <f>$A25*E$24</f>
        <v>120</v>
      </c>
      <c r="C25" t="s">
        <v>332</v>
      </c>
      <c r="E25">
        <f>($A25*E$24/2)/$D$16</f>
        <v>60</v>
      </c>
      <c r="F25">
        <f t="shared" ref="F25:I25" si="0">($A25*F$24/2)/$D$16</f>
        <v>120</v>
      </c>
      <c r="G25">
        <f t="shared" si="0"/>
        <v>180</v>
      </c>
      <c r="H25">
        <f t="shared" si="0"/>
        <v>240</v>
      </c>
      <c r="I25">
        <f t="shared" si="0"/>
        <v>300</v>
      </c>
    </row>
    <row r="26" spans="1:9" x14ac:dyDescent="0.25">
      <c r="C26" t="s">
        <v>306</v>
      </c>
      <c r="E26" s="7">
        <f>PhiInKM4M_BHR70(E$25*$E$16*2)*(1+$D$17)</f>
        <v>381500</v>
      </c>
      <c r="F26" s="7">
        <f>PhiInKM4M_BHR70(F$25*$E$16*2)*(1+$D$17)</f>
        <v>675500</v>
      </c>
      <c r="G26" s="7">
        <f>PhiInKM4M_BHR70(G$25*$E$16*2)*(1+$D$17)</f>
        <v>969500</v>
      </c>
      <c r="H26" s="7">
        <f>PhiInKM4M_BHR70(H$25*$E$16*2)*(1+$D$17)</f>
        <v>1263500</v>
      </c>
      <c r="I26" s="7">
        <f>PhiInKM4M_BHR70(I$25*$E$16*2)*(1+$D$17)</f>
        <v>1557500</v>
      </c>
    </row>
    <row r="27" spans="1:9" x14ac:dyDescent="0.25">
      <c r="C27" t="s">
        <v>333</v>
      </c>
      <c r="E27" s="7">
        <f>E$25*$D$19*(1+$D$17)</f>
        <v>110880</v>
      </c>
      <c r="F27" s="7">
        <f>F$25*$D$19*(1+$D$17)</f>
        <v>221760</v>
      </c>
      <c r="G27" s="7">
        <f t="shared" ref="G27:I27" si="1">G$25*$D$19*(1+$D$17)</f>
        <v>332640</v>
      </c>
      <c r="H27" s="7">
        <f t="shared" si="1"/>
        <v>443520</v>
      </c>
      <c r="I27" s="7">
        <f t="shared" si="1"/>
        <v>554400</v>
      </c>
    </row>
    <row r="28" spans="1:9" x14ac:dyDescent="0.25">
      <c r="C28" t="s">
        <v>310</v>
      </c>
      <c r="E28" s="7">
        <f>(PhiMayCanMang(E$25*2,$C$15/100,$D$15/100) + PhiMangCan(E$25*2,$C$15/100,$D$15/100,$D$21))*(1+$D$17)</f>
        <v>127432.17305000001</v>
      </c>
      <c r="F28" s="7">
        <f>(PhiMayCanMang(F$25*2,$C$15/100,$D$15/100) + PhiMangCan(F$25*2,$C$15/100,$D$15/100,$D$21))*(1+$D$17)</f>
        <v>191150.62084999998</v>
      </c>
      <c r="G28" s="7">
        <f>(PhiMayCanMang(G$25*2,$C$15/100,$D$15/100) + PhiMangCan(G$25*2,$C$15/100,$D$15/100,$D$21))*(1+$D$17)</f>
        <v>254416.11947500001</v>
      </c>
      <c r="H28" s="7">
        <f>(PhiMayCanMang(H$25*2,$C$15/100,$D$15/100) + PhiMangCan(H$25*2,$C$15/100,$D$15/100,$D$21))*(1+$D$17)</f>
        <v>318134.57514999993</v>
      </c>
      <c r="I28" s="7">
        <f>(PhiMayCanMang(I$25*2,$C$15/100,$D$15/100) + PhiMangCan(I$25*2,$C$15/100,$D$15/100,$D$21))*(1+$D$17)</f>
        <v>381400.073775</v>
      </c>
    </row>
    <row r="29" spans="1:9" x14ac:dyDescent="0.25">
      <c r="C29" t="s">
        <v>334</v>
      </c>
      <c r="E29" s="7">
        <f>PhiMayCanGap(E$25*$D$16)*(1+$D$17)</f>
        <v>114479.166725</v>
      </c>
      <c r="F29" s="7">
        <f t="shared" ref="F29:I29" si="2">PhiMayCanGap(F$25*$D$16)*(1+$D$17)</f>
        <v>121041.666725</v>
      </c>
      <c r="G29" s="7">
        <f t="shared" si="2"/>
        <v>127604.166725</v>
      </c>
      <c r="H29" s="7">
        <f t="shared" si="2"/>
        <v>134166.66672500002</v>
      </c>
      <c r="I29" s="7">
        <f t="shared" si="2"/>
        <v>140729.16672500002</v>
      </c>
    </row>
    <row r="30" spans="1:9" x14ac:dyDescent="0.25">
      <c r="C30" t="s">
        <v>359</v>
      </c>
      <c r="E30" s="7">
        <f>PhiLamRuotCuonMP_Tay(E$24, E25/E$24)*(1+$D$17)</f>
        <v>238350</v>
      </c>
      <c r="F30" s="7">
        <f t="shared" ref="F30:I30" si="3">PhiLamRuotCuonMP_Tay(F$24, F25/F$24)*(1+$D$17)</f>
        <v>448350</v>
      </c>
      <c r="G30" s="7">
        <f t="shared" si="3"/>
        <v>658350</v>
      </c>
      <c r="H30" s="7">
        <f t="shared" si="3"/>
        <v>868350</v>
      </c>
      <c r="I30" s="7">
        <f t="shared" si="3"/>
        <v>1078350</v>
      </c>
    </row>
    <row r="31" spans="1:9" x14ac:dyDescent="0.25">
      <c r="C31" t="s">
        <v>329</v>
      </c>
      <c r="E31" s="25">
        <f>LamChanHangNgan(E$26+E$27+E$29+E30)</f>
        <v>845000</v>
      </c>
      <c r="F31" s="25">
        <f t="shared" ref="F31:I31" si="4">LamChanHangNgan(F$26+F$27+F$29+F30)</f>
        <v>1466000</v>
      </c>
      <c r="G31" s="25">
        <f t="shared" si="4"/>
        <v>2088000</v>
      </c>
      <c r="H31" s="25">
        <f t="shared" si="4"/>
        <v>2709000</v>
      </c>
      <c r="I31" s="25">
        <f t="shared" si="4"/>
        <v>3330000</v>
      </c>
    </row>
    <row r="32" spans="1:9" x14ac:dyDescent="0.25">
      <c r="C32" t="s">
        <v>330</v>
      </c>
      <c r="E32" s="25">
        <f>LamChanHangNgan(E$26+E$27+E$28+E$29+E30)</f>
        <v>972000</v>
      </c>
      <c r="F32" s="25">
        <f t="shared" ref="F32:I32" si="5">LamChanHangNgan(F$26+F$27+F$28+F$29+F30)</f>
        <v>1657000</v>
      </c>
      <c r="G32" s="25">
        <f t="shared" si="5"/>
        <v>2342000</v>
      </c>
      <c r="H32" s="25">
        <f t="shared" si="5"/>
        <v>3027000</v>
      </c>
      <c r="I32" s="25">
        <f t="shared" si="5"/>
        <v>3712000</v>
      </c>
    </row>
    <row r="33" spans="1:9" x14ac:dyDescent="0.25">
      <c r="A33">
        <v>14</v>
      </c>
      <c r="B33">
        <f>$A33*E$24</f>
        <v>140</v>
      </c>
      <c r="C33" t="s">
        <v>332</v>
      </c>
      <c r="E33">
        <f>($A33*E$24/2)/$D$16</f>
        <v>70</v>
      </c>
      <c r="F33">
        <f t="shared" ref="F33:I33" si="6">($A33*F$24/2)/$D$16</f>
        <v>140</v>
      </c>
      <c r="G33">
        <f t="shared" si="6"/>
        <v>210</v>
      </c>
      <c r="H33">
        <f t="shared" si="6"/>
        <v>280</v>
      </c>
      <c r="I33">
        <f t="shared" si="6"/>
        <v>350</v>
      </c>
    </row>
    <row r="34" spans="1:9" x14ac:dyDescent="0.25">
      <c r="C34" t="s">
        <v>306</v>
      </c>
      <c r="E34" s="26">
        <f>PhiInKM4M_BHR70(E33*$E$16*2)*(1+$D$17)</f>
        <v>430500</v>
      </c>
      <c r="F34" s="26">
        <f>PhiInKM4M_BHR70(F33*$E$16*2)*(1+$D$17)</f>
        <v>773500</v>
      </c>
      <c r="G34" s="26">
        <f>PhiInKM4M_BHR70(G33*$E$16*2)*(1+$D$17)</f>
        <v>1116500</v>
      </c>
      <c r="H34" s="26">
        <f>PhiInKM4M_BHR70(H33*$E$16*2)*(1+$D$17)</f>
        <v>1459500</v>
      </c>
      <c r="I34" s="26">
        <f>PhiInKM4M_BHR70(I33*$E$16*2)*(1+$D$17)</f>
        <v>1802500</v>
      </c>
    </row>
    <row r="35" spans="1:9" x14ac:dyDescent="0.25">
      <c r="C35" t="s">
        <v>333</v>
      </c>
      <c r="E35" s="26">
        <f>E33*$D$19*(1+$D$17)</f>
        <v>129360</v>
      </c>
      <c r="F35" s="26">
        <f t="shared" ref="F35:I35" si="7">F33*$D$19*(1+$D$17)</f>
        <v>258720</v>
      </c>
      <c r="G35" s="26">
        <f t="shared" si="7"/>
        <v>388080</v>
      </c>
      <c r="H35" s="26">
        <f t="shared" si="7"/>
        <v>517440</v>
      </c>
      <c r="I35" s="26">
        <f t="shared" si="7"/>
        <v>646800</v>
      </c>
    </row>
    <row r="36" spans="1:9" x14ac:dyDescent="0.25">
      <c r="C36" t="s">
        <v>310</v>
      </c>
      <c r="E36" s="26">
        <f>(PhiMayCanMang(E33*2,$C$15/100,$D$15/100) + PhiMangCan(E33*2,$C$15/100,$D$15/100,$D$21))*(1+$D$17)</f>
        <v>138278.3836</v>
      </c>
      <c r="F36" s="26">
        <f>(PhiMayCanMang(F33*2,$C$15/100,$D$15/100) + PhiMangCan(F33*2,$C$15/100,$D$15/100,$D$21))*(1+$D$17)</f>
        <v>212390.10082499997</v>
      </c>
      <c r="G36" s="26">
        <f>(PhiMayCanMang(G33*2,$C$15/100,$D$15/100) + PhiMangCan(G33*2,$C$15/100,$D$15/100,$D$21))*(1+$D$17)</f>
        <v>286048.87675</v>
      </c>
      <c r="H36" s="26">
        <f>(PhiMayCanMang(H33*2,$C$15/100,$D$15/100) + PhiMangCan(H33*2,$C$15/100,$D$15/100,$D$21))*(1+$D$17)</f>
        <v>360160.59379999997</v>
      </c>
      <c r="I36" s="26">
        <f>(PhiMayCanMang(I33*2,$C$15/100,$D$15/100) + PhiMangCan(I33*2,$C$15/100,$D$15/100,$D$21))*(1+$D$17)</f>
        <v>434272.31102499994</v>
      </c>
    </row>
    <row r="37" spans="1:9" x14ac:dyDescent="0.25">
      <c r="C37" t="s">
        <v>334</v>
      </c>
      <c r="E37" s="26">
        <f>PhiMayCanGap(E33*$D$16)*(1+$D$17)</f>
        <v>115572.916725</v>
      </c>
      <c r="F37" s="26">
        <f t="shared" ref="F37:I37" si="8">PhiMayCanGap(F33*$D$16)*(1+$D$17)</f>
        <v>123229.166725</v>
      </c>
      <c r="G37" s="26">
        <f t="shared" si="8"/>
        <v>130885.416725</v>
      </c>
      <c r="H37" s="26">
        <f t="shared" si="8"/>
        <v>138541.66672500002</v>
      </c>
      <c r="I37" s="26">
        <f t="shared" si="8"/>
        <v>146197.91672500002</v>
      </c>
    </row>
    <row r="38" spans="1:9" x14ac:dyDescent="0.25">
      <c r="C38" t="s">
        <v>359</v>
      </c>
      <c r="E38" s="26">
        <f>PhiLamRuotCuonMP_Tay(E$24, E33/E$24)*(1+$D$17)</f>
        <v>260575</v>
      </c>
      <c r="F38" s="26">
        <f t="shared" ref="F38:I38" si="9">PhiLamRuotCuonMP_Tay(F$24, F33/F$24)*(1+$D$17)</f>
        <v>492450</v>
      </c>
      <c r="G38" s="26">
        <f t="shared" si="9"/>
        <v>724325</v>
      </c>
      <c r="H38" s="26">
        <f t="shared" si="9"/>
        <v>956200</v>
      </c>
      <c r="I38" s="26">
        <f t="shared" si="9"/>
        <v>1188075</v>
      </c>
    </row>
    <row r="39" spans="1:9" x14ac:dyDescent="0.25">
      <c r="C39" t="s">
        <v>329</v>
      </c>
      <c r="E39" s="42">
        <f>LamChanHangNgan(E34+E35+E37+E38)</f>
        <v>936000</v>
      </c>
      <c r="F39" s="42">
        <f t="shared" ref="F39:I39" si="10">LamChanHangNgan(F34+F35+F37+F38)</f>
        <v>1647000</v>
      </c>
      <c r="G39" s="42">
        <f t="shared" si="10"/>
        <v>2359000</v>
      </c>
      <c r="H39" s="42">
        <f t="shared" si="10"/>
        <v>3071000</v>
      </c>
      <c r="I39" s="42">
        <f t="shared" si="10"/>
        <v>3783000</v>
      </c>
    </row>
    <row r="40" spans="1:9" x14ac:dyDescent="0.25">
      <c r="C40" t="s">
        <v>330</v>
      </c>
      <c r="E40" s="42">
        <f>LamChanHangNgan(E34+E35+E36+E37+E38)</f>
        <v>1074000</v>
      </c>
      <c r="F40" s="42">
        <f t="shared" ref="F40:I40" si="11">LamChanHangNgan(F34+F35+F36+F37+F38)</f>
        <v>1860000</v>
      </c>
      <c r="G40" s="42">
        <f t="shared" si="11"/>
        <v>2645000</v>
      </c>
      <c r="H40" s="42">
        <f t="shared" si="11"/>
        <v>3431000</v>
      </c>
      <c r="I40" s="42">
        <f t="shared" si="11"/>
        <v>4217000</v>
      </c>
    </row>
    <row r="41" spans="1:9" x14ac:dyDescent="0.25">
      <c r="A41">
        <v>16</v>
      </c>
      <c r="B41">
        <f>$A41*E$24</f>
        <v>160</v>
      </c>
      <c r="C41" t="s">
        <v>332</v>
      </c>
      <c r="E41">
        <f>($A41*E$24/2)/$D$16</f>
        <v>80</v>
      </c>
      <c r="F41">
        <f t="shared" ref="F41:I41" si="12">($A41*F$24/2)/$D$16</f>
        <v>160</v>
      </c>
      <c r="G41">
        <f t="shared" si="12"/>
        <v>240</v>
      </c>
      <c r="H41">
        <f t="shared" si="12"/>
        <v>320</v>
      </c>
      <c r="I41">
        <f t="shared" si="12"/>
        <v>400</v>
      </c>
    </row>
    <row r="42" spans="1:9" x14ac:dyDescent="0.25">
      <c r="C42" t="s">
        <v>306</v>
      </c>
      <c r="E42">
        <f>PhiInKM4M_BHR70(E41*$E$16*2)*(1+$D$17)</f>
        <v>479500</v>
      </c>
      <c r="F42">
        <f>PhiInKM4M_BHR70(F41*$E$16*2)*(1+$D$17)</f>
        <v>871500</v>
      </c>
      <c r="G42">
        <f>PhiInKM4M_BHR70(G41*$E$16*2)*(1+$D$17)</f>
        <v>1263500</v>
      </c>
      <c r="H42">
        <f>PhiInKM4M_BHR70(H41*$E$16*2)*(1+$D$17)</f>
        <v>1655500</v>
      </c>
      <c r="I42">
        <f>PhiInKM4M_BHR70(I41*$E$16*2)*(1+$D$17)</f>
        <v>2047500</v>
      </c>
    </row>
    <row r="43" spans="1:9" x14ac:dyDescent="0.25">
      <c r="C43" t="s">
        <v>333</v>
      </c>
      <c r="E43">
        <f>E41*$D$19*(1+$D$17)</f>
        <v>147840</v>
      </c>
      <c r="F43">
        <f t="shared" ref="F43:I43" si="13">F41*$D$19*(1+$D$17)</f>
        <v>295680</v>
      </c>
      <c r="G43">
        <f t="shared" si="13"/>
        <v>443520</v>
      </c>
      <c r="H43">
        <f t="shared" si="13"/>
        <v>591360</v>
      </c>
      <c r="I43">
        <f t="shared" si="13"/>
        <v>739200</v>
      </c>
    </row>
    <row r="44" spans="1:9" x14ac:dyDescent="0.25">
      <c r="C44" t="s">
        <v>310</v>
      </c>
      <c r="E44">
        <f>(PhiMayCanMang(E41*2,$C$15/100,$D$15/100) + PhiMangCan(E41*2,$C$15/100,$D$15/100,$D$21))*(1+$D$17)</f>
        <v>148671.65302500001</v>
      </c>
      <c r="F44">
        <f>(PhiMayCanMang(F41*2,$C$15/100,$D$15/100) + PhiMangCan(F41*2,$C$15/100,$D$15/100,$D$21))*(1+$D$17)</f>
        <v>233176.63949999999</v>
      </c>
      <c r="G44">
        <f>(PhiMayCanMang(G41*2,$C$15/100,$D$15/100) + PhiMangCan(G41*2,$C$15/100,$D$15/100,$D$21))*(1+$D$17)</f>
        <v>318134.57514999993</v>
      </c>
      <c r="H44">
        <f>(PhiMayCanMang(H41*2,$C$15/100,$D$15/100) + PhiMangCan(H41*2,$C$15/100,$D$15/100,$D$21))*(1+$D$17)</f>
        <v>402639.55374999996</v>
      </c>
      <c r="I44">
        <f>(PhiMayCanMang(I41*2,$C$15/100,$D$15/100) + PhiMangCan(I41*2,$C$15/100,$D$15/100,$D$21))*(1+$D$17)</f>
        <v>487144.54827500007</v>
      </c>
    </row>
    <row r="45" spans="1:9" x14ac:dyDescent="0.25">
      <c r="C45" t="s">
        <v>334</v>
      </c>
      <c r="E45">
        <f>PhiMayCanGap(E41*$D$16)*(1+$D$17)</f>
        <v>116666.666725</v>
      </c>
      <c r="F45">
        <f t="shared" ref="F45:I45" si="14">PhiMayCanGap(F41*$D$16)*(1+$D$17)</f>
        <v>125416.666725</v>
      </c>
      <c r="G45">
        <f t="shared" si="14"/>
        <v>134166.66672500002</v>
      </c>
      <c r="H45">
        <f t="shared" si="14"/>
        <v>142916.66672500002</v>
      </c>
      <c r="I45">
        <f t="shared" si="14"/>
        <v>151666.66672500002</v>
      </c>
    </row>
    <row r="46" spans="1:9" x14ac:dyDescent="0.25">
      <c r="C46" t="s">
        <v>359</v>
      </c>
      <c r="E46" s="26">
        <f>PhiLamRuotCuonMP_Tay(E$24, E41/E$24)*(1+$D$17)</f>
        <v>282800</v>
      </c>
      <c r="F46" s="26">
        <f t="shared" ref="F46:I46" si="15">PhiLamRuotCuonMP_Tay(F$24, F41/F$24)*(1+$D$17)</f>
        <v>536550</v>
      </c>
      <c r="G46" s="26">
        <f t="shared" si="15"/>
        <v>790300</v>
      </c>
      <c r="H46" s="26">
        <f t="shared" si="15"/>
        <v>1044050</v>
      </c>
      <c r="I46" s="26">
        <f t="shared" si="15"/>
        <v>1297800</v>
      </c>
    </row>
    <row r="47" spans="1:9" x14ac:dyDescent="0.25">
      <c r="C47" t="s">
        <v>329</v>
      </c>
      <c r="E47" s="42">
        <f>LamChanHangNgan(E42+E43+E45+E46)</f>
        <v>1026000</v>
      </c>
      <c r="F47" s="42">
        <f t="shared" ref="F47" si="16">LamChanHangNgan(F42+F43+F45+F46)</f>
        <v>1829000</v>
      </c>
      <c r="G47" s="42">
        <f t="shared" ref="G47" si="17">LamChanHangNgan(G42+G43+G45+G46)</f>
        <v>2631000</v>
      </c>
      <c r="H47" s="42">
        <f t="shared" ref="H47" si="18">LamChanHangNgan(H42+H43+H45+H46)</f>
        <v>3433000</v>
      </c>
      <c r="I47" s="42">
        <f t="shared" ref="I47" si="19">LamChanHangNgan(I42+I43+I45+I46)</f>
        <v>4236000</v>
      </c>
    </row>
    <row r="48" spans="1:9" x14ac:dyDescent="0.25">
      <c r="C48" t="s">
        <v>330</v>
      </c>
      <c r="E48" s="42">
        <f>LamChanHangNgan(E42+E43+E44+E45+E46)</f>
        <v>1175000</v>
      </c>
      <c r="F48" s="42">
        <f t="shared" ref="F48:I48" si="20">LamChanHangNgan(F42+F43+F44+F45+F46)</f>
        <v>2062000</v>
      </c>
      <c r="G48" s="42">
        <f t="shared" si="20"/>
        <v>2949000</v>
      </c>
      <c r="H48" s="42">
        <f t="shared" si="20"/>
        <v>3836000</v>
      </c>
      <c r="I48" s="42">
        <f t="shared" si="20"/>
        <v>4723000</v>
      </c>
    </row>
    <row r="49" spans="1:9" x14ac:dyDescent="0.25">
      <c r="A49">
        <v>18</v>
      </c>
      <c r="B49">
        <f>$A49*E$24</f>
        <v>180</v>
      </c>
      <c r="C49" t="s">
        <v>332</v>
      </c>
      <c r="E49">
        <f>($A49*E$24/2)/$D$16</f>
        <v>90</v>
      </c>
      <c r="F49">
        <f t="shared" ref="F49:I49" si="21">($A49*F$24/2)/$D$16</f>
        <v>180</v>
      </c>
      <c r="G49">
        <f t="shared" si="21"/>
        <v>270</v>
      </c>
      <c r="H49">
        <f t="shared" si="21"/>
        <v>360</v>
      </c>
      <c r="I49">
        <f t="shared" si="21"/>
        <v>450</v>
      </c>
    </row>
    <row r="50" spans="1:9" x14ac:dyDescent="0.25">
      <c r="C50" t="s">
        <v>306</v>
      </c>
      <c r="E50">
        <f>PhiInKM4M_BHR70(E49*$E$16*2)*(1+$D$17)</f>
        <v>528500</v>
      </c>
      <c r="F50">
        <f>PhiInKM4M_BHR70(F49*$E$16*2)*(1+$D$17)</f>
        <v>969500</v>
      </c>
      <c r="G50">
        <f>PhiInKM4M_BHR70(G49*$E$16*2)*(1+$D$17)</f>
        <v>1410500</v>
      </c>
      <c r="H50">
        <f>PhiInKM4M_BHR70(H49*$E$16*2)*(1+$D$17)</f>
        <v>1851500</v>
      </c>
      <c r="I50">
        <f>PhiInKM4M_BHR70(I49*$E$16*2)*(1+$D$17)</f>
        <v>2292500</v>
      </c>
    </row>
    <row r="51" spans="1:9" x14ac:dyDescent="0.25">
      <c r="C51" t="s">
        <v>333</v>
      </c>
      <c r="E51">
        <f>E49*$D$19*(1+$D$17)</f>
        <v>166320</v>
      </c>
      <c r="F51">
        <f t="shared" ref="F51:I51" si="22">F49*$D$19*(1+$D$17)</f>
        <v>332640</v>
      </c>
      <c r="G51">
        <f t="shared" si="22"/>
        <v>498960</v>
      </c>
      <c r="H51">
        <f t="shared" si="22"/>
        <v>665280</v>
      </c>
      <c r="I51">
        <f t="shared" si="22"/>
        <v>831600</v>
      </c>
    </row>
    <row r="52" spans="1:9" x14ac:dyDescent="0.25">
      <c r="C52" t="s">
        <v>310</v>
      </c>
      <c r="E52">
        <f>(PhiMayCanMang(E49*2,$C$15/100,$D$15/100) + PhiMangCan(E49*2,$C$15/100,$D$15/100,$D$21))*(1+$D$17)</f>
        <v>159517.863575</v>
      </c>
      <c r="F52">
        <f>(PhiMayCanMang(F49*2,$C$15/100,$D$15/100) + PhiMangCan(F49*2,$C$15/100,$D$15/100,$D$21))*(1+$D$17)</f>
        <v>254416.11947500001</v>
      </c>
      <c r="G52">
        <f>(PhiMayCanMang(G49*2,$C$15/100,$D$15/100) + PhiMangCan(G49*2,$C$15/100,$D$15/100,$D$21))*(1+$D$17)</f>
        <v>349767.31650000002</v>
      </c>
      <c r="H52">
        <f>(PhiMayCanMang(H49*2,$C$15/100,$D$15/100) + PhiMangCan(H49*2,$C$15/100,$D$15/100,$D$21))*(1+$D$17)</f>
        <v>444665.5724</v>
      </c>
      <c r="I52">
        <f>(PhiMayCanMang(I49*2,$C$15/100,$D$15/100) + PhiMangCan(I49*2,$C$15/100,$D$15/100,$D$21))*(1+$D$17)</f>
        <v>540016.78535000002</v>
      </c>
    </row>
    <row r="53" spans="1:9" x14ac:dyDescent="0.25">
      <c r="C53" t="s">
        <v>334</v>
      </c>
      <c r="E53">
        <f>PhiMayCanGap(E49*$D$16)*(1+$D$17)</f>
        <v>117760.416725</v>
      </c>
      <c r="F53">
        <f t="shared" ref="F53:I53" si="23">PhiMayCanGap(F49*$D$16)*(1+$D$17)</f>
        <v>127604.166725</v>
      </c>
      <c r="G53">
        <f t="shared" si="23"/>
        <v>137447.91672500002</v>
      </c>
      <c r="H53">
        <f t="shared" si="23"/>
        <v>147291.66672500002</v>
      </c>
      <c r="I53">
        <f t="shared" si="23"/>
        <v>157135.41672500002</v>
      </c>
    </row>
    <row r="54" spans="1:9" x14ac:dyDescent="0.25">
      <c r="C54" t="s">
        <v>359</v>
      </c>
      <c r="E54" s="26">
        <f>PhiLamRuotCuonMP_Tay(E$24, E49/E$24)*(1+$D$17)</f>
        <v>305025</v>
      </c>
      <c r="F54" s="26">
        <f t="shared" ref="F54:I54" si="24">PhiLamRuotCuonMP_Tay(F$24, F49/F$24)*(1+$D$17)</f>
        <v>580650</v>
      </c>
      <c r="G54" s="26">
        <f t="shared" si="24"/>
        <v>856275</v>
      </c>
      <c r="H54" s="26">
        <f t="shared" si="24"/>
        <v>1131900</v>
      </c>
      <c r="I54" s="26">
        <f t="shared" si="24"/>
        <v>1407525</v>
      </c>
    </row>
    <row r="55" spans="1:9" x14ac:dyDescent="0.25">
      <c r="C55" t="s">
        <v>329</v>
      </c>
      <c r="E55" s="42">
        <f>LamChanHangNgan(E50+E51+E53+E54)</f>
        <v>1117000</v>
      </c>
      <c r="F55" s="42">
        <f t="shared" ref="F55" si="25">LamChanHangNgan(F50+F51+F53+F54)</f>
        <v>2010000</v>
      </c>
      <c r="G55" s="42">
        <f t="shared" ref="G55" si="26">LamChanHangNgan(G50+G51+G53+G54)</f>
        <v>2903000</v>
      </c>
      <c r="H55" s="42">
        <f t="shared" ref="H55" si="27">LamChanHangNgan(H50+H51+H53+H54)</f>
        <v>3795000</v>
      </c>
      <c r="I55" s="42">
        <f t="shared" ref="I55" si="28">LamChanHangNgan(I50+I51+I53+I54)</f>
        <v>4688000</v>
      </c>
    </row>
    <row r="56" spans="1:9" x14ac:dyDescent="0.25">
      <c r="C56" t="s">
        <v>330</v>
      </c>
      <c r="E56" s="42">
        <f>LamChanHangNgan(E50+E51+E52+E53+E54)</f>
        <v>1277000</v>
      </c>
      <c r="F56" s="42">
        <f t="shared" ref="F56:I56" si="29">LamChanHangNgan(F50+F51+F52+F53+F54)</f>
        <v>2264000</v>
      </c>
      <c r="G56" s="42">
        <f t="shared" si="29"/>
        <v>3252000</v>
      </c>
      <c r="H56" s="42">
        <f t="shared" si="29"/>
        <v>4240000</v>
      </c>
      <c r="I56" s="42">
        <f t="shared" si="29"/>
        <v>5228000</v>
      </c>
    </row>
    <row r="57" spans="1:9" x14ac:dyDescent="0.25">
      <c r="A57">
        <v>20</v>
      </c>
      <c r="B57">
        <f>$A57*E$24</f>
        <v>200</v>
      </c>
      <c r="C57" t="s">
        <v>332</v>
      </c>
      <c r="E57">
        <f>($A57*E$24/2)/$D$16</f>
        <v>100</v>
      </c>
      <c r="F57">
        <f t="shared" ref="F57:I57" si="30">($A57*F$24/2)/$D$16</f>
        <v>200</v>
      </c>
      <c r="G57">
        <f t="shared" si="30"/>
        <v>300</v>
      </c>
      <c r="H57">
        <f t="shared" si="30"/>
        <v>400</v>
      </c>
      <c r="I57">
        <f t="shared" si="30"/>
        <v>500</v>
      </c>
    </row>
    <row r="58" spans="1:9" x14ac:dyDescent="0.25">
      <c r="C58" t="s">
        <v>306</v>
      </c>
      <c r="E58">
        <f>PhiInKM4M_BHR70(E57*$E$16*2)*(1+$D$17)</f>
        <v>577500</v>
      </c>
      <c r="F58">
        <f>PhiInKM4M_BHR70(F57*$E$16*2)*(1+$D$17)</f>
        <v>1067500</v>
      </c>
      <c r="G58">
        <f>PhiInKM4M_BHR70(G57*$E$16*2)*(1+$D$17)</f>
        <v>1557500</v>
      </c>
      <c r="H58">
        <f>PhiInKM4M_BHR70(H57*$E$16*2)*(1+$D$17)</f>
        <v>2047500</v>
      </c>
      <c r="I58">
        <f>PhiInKM4M_BHR70(I57*$E$16*2)*(1+$D$17)</f>
        <v>2537500</v>
      </c>
    </row>
    <row r="59" spans="1:9" x14ac:dyDescent="0.25">
      <c r="C59" t="s">
        <v>333</v>
      </c>
      <c r="E59">
        <f>E57*$D$19*(1+$D$17)</f>
        <v>184800</v>
      </c>
      <c r="F59">
        <f t="shared" ref="F59:I59" si="31">F57*$D$19*(1+$D$17)</f>
        <v>369600</v>
      </c>
      <c r="G59">
        <f t="shared" si="31"/>
        <v>554400</v>
      </c>
      <c r="H59">
        <f t="shared" si="31"/>
        <v>739200</v>
      </c>
      <c r="I59">
        <f t="shared" si="31"/>
        <v>924000</v>
      </c>
    </row>
    <row r="60" spans="1:9" x14ac:dyDescent="0.25">
      <c r="C60" t="s">
        <v>310</v>
      </c>
      <c r="E60">
        <f>(PhiMayCanMang(E57*2,$C$15/100,$D$15/100) + PhiMangCan(E57*2,$C$15/100,$D$15/100,$D$21))*(1+$D$17)</f>
        <v>169911.137025</v>
      </c>
      <c r="F60">
        <f>(PhiMayCanMang(F57*2,$C$15/100,$D$15/100) + PhiMangCan(F57*2,$C$15/100,$D$15/100,$D$21))*(1+$D$17)</f>
        <v>275655.60732499999</v>
      </c>
      <c r="G60">
        <f>(PhiMayCanMang(G57*2,$C$15/100,$D$15/100) + PhiMangCan(G57*2,$C$15/100,$D$15/100,$D$21))*(1+$D$17)</f>
        <v>381400.073775</v>
      </c>
      <c r="H60">
        <f>(PhiMayCanMang(H57*2,$C$15/100,$D$15/100) + PhiMangCan(H57*2,$C$15/100,$D$15/100,$D$21))*(1+$D$17)</f>
        <v>487144.54827500007</v>
      </c>
      <c r="I60">
        <f>(PhiMayCanMang(I57*2,$C$15/100,$D$15/100) + PhiMangCan(I57*2,$C$15/100,$D$15/100,$D$21))*(1+$D$17)</f>
        <v>592889.00667499995</v>
      </c>
    </row>
    <row r="61" spans="1:9" x14ac:dyDescent="0.25">
      <c r="C61" t="s">
        <v>334</v>
      </c>
      <c r="E61">
        <f>PhiMayCanGap(E57*$D$16)*(1+$D$17)</f>
        <v>118854.166725</v>
      </c>
      <c r="F61">
        <f t="shared" ref="F61:I61" si="32">PhiMayCanGap(F57*$D$16)*(1+$D$17)</f>
        <v>129791.666725</v>
      </c>
      <c r="G61">
        <f t="shared" si="32"/>
        <v>140729.16672500002</v>
      </c>
      <c r="H61">
        <f t="shared" si="32"/>
        <v>151666.66672500002</v>
      </c>
      <c r="I61">
        <f t="shared" si="32"/>
        <v>162604.16672500002</v>
      </c>
    </row>
    <row r="62" spans="1:9" x14ac:dyDescent="0.25">
      <c r="C62" t="s">
        <v>359</v>
      </c>
      <c r="E62" s="26">
        <f>PhiLamRuotCuonMP_Tay(E$24, E57/E$24)*(1+$D$17)</f>
        <v>327250</v>
      </c>
      <c r="F62" s="26">
        <f t="shared" ref="F62:I62" si="33">PhiLamRuotCuonMP_Tay(F$24, F57/F$24)*(1+$D$17)</f>
        <v>624750</v>
      </c>
      <c r="G62" s="26">
        <f t="shared" si="33"/>
        <v>922250</v>
      </c>
      <c r="H62" s="26">
        <f t="shared" si="33"/>
        <v>1219750</v>
      </c>
      <c r="I62" s="26">
        <f t="shared" si="33"/>
        <v>1517250</v>
      </c>
    </row>
    <row r="63" spans="1:9" x14ac:dyDescent="0.25">
      <c r="C63" t="s">
        <v>329</v>
      </c>
      <c r="E63" s="42">
        <f>LamChanHangNgan(E58+E59+E61+E62)</f>
        <v>1208000</v>
      </c>
      <c r="F63" s="42">
        <f t="shared" ref="F63" si="34">LamChanHangNgan(F58+F59+F61+F62)</f>
        <v>2191000</v>
      </c>
      <c r="G63" s="42">
        <f t="shared" ref="G63" si="35">LamChanHangNgan(G58+G59+G61+G62)</f>
        <v>3174000</v>
      </c>
      <c r="H63" s="42">
        <f t="shared" ref="H63" si="36">LamChanHangNgan(H58+H59+H61+H62)</f>
        <v>4158000</v>
      </c>
      <c r="I63" s="42">
        <f t="shared" ref="I63" si="37">LamChanHangNgan(I58+I59+I61+I62)</f>
        <v>5141000</v>
      </c>
    </row>
    <row r="64" spans="1:9" ht="14.25" customHeight="1" x14ac:dyDescent="0.25">
      <c r="C64" t="s">
        <v>330</v>
      </c>
      <c r="E64" s="42">
        <f>LamChanHangNgan(E58+E59+E60+E61+E62)</f>
        <v>1378000</v>
      </c>
      <c r="F64" s="42">
        <f t="shared" ref="F64:I64" si="38">LamChanHangNgan(F58+F59+F60+F61+F62)</f>
        <v>2467000</v>
      </c>
      <c r="G64" s="42">
        <f t="shared" si="38"/>
        <v>3556000</v>
      </c>
      <c r="H64" s="42">
        <f t="shared" si="38"/>
        <v>4645000</v>
      </c>
      <c r="I64" s="42">
        <f t="shared" si="38"/>
        <v>5734000</v>
      </c>
    </row>
    <row r="65" spans="1:9" x14ac:dyDescent="0.25">
      <c r="A65">
        <v>22</v>
      </c>
      <c r="B65">
        <f>$A65*E$24</f>
        <v>220</v>
      </c>
      <c r="C65" t="s">
        <v>332</v>
      </c>
      <c r="E65">
        <f>($A65*E$24/2)/$D$16</f>
        <v>110</v>
      </c>
      <c r="F65">
        <f t="shared" ref="F65:I65" si="39">($A65*F$24/2)/$D$16</f>
        <v>220</v>
      </c>
      <c r="G65">
        <f t="shared" si="39"/>
        <v>330</v>
      </c>
      <c r="H65">
        <f t="shared" si="39"/>
        <v>440</v>
      </c>
      <c r="I65">
        <f t="shared" si="39"/>
        <v>550</v>
      </c>
    </row>
    <row r="66" spans="1:9" x14ac:dyDescent="0.25">
      <c r="C66" t="s">
        <v>306</v>
      </c>
      <c r="E66">
        <f>PhiInKM4M_BHR70(E65*$E$16*2)*(1+$D$17)</f>
        <v>626500</v>
      </c>
      <c r="F66">
        <f>PhiInKM4M_BHR70(F65*$E$16*2)*(1+$D$17)</f>
        <v>1165500</v>
      </c>
      <c r="G66">
        <f>PhiInKM4M_BHR70(G65*$E$16*2)*(1+$D$17)</f>
        <v>1704500</v>
      </c>
      <c r="H66">
        <f>PhiInKM4M_BHR70(H65*$E$16*2)*(1+$D$17)</f>
        <v>2243500</v>
      </c>
      <c r="I66">
        <f>PhiInKM4M_BHR70(I65*$E$16*2)*(1+$D$17)</f>
        <v>2782500</v>
      </c>
    </row>
    <row r="67" spans="1:9" x14ac:dyDescent="0.25">
      <c r="C67" t="s">
        <v>333</v>
      </c>
      <c r="E67">
        <f>E65*$D$19*(1+$D$17)</f>
        <v>203280</v>
      </c>
      <c r="F67">
        <f t="shared" ref="F67:I67" si="40">F65*$D$19*(1+$D$17)</f>
        <v>406560</v>
      </c>
      <c r="G67">
        <f t="shared" si="40"/>
        <v>609840</v>
      </c>
      <c r="H67">
        <f t="shared" si="40"/>
        <v>813120</v>
      </c>
      <c r="I67">
        <f t="shared" si="40"/>
        <v>1016400</v>
      </c>
    </row>
    <row r="68" spans="1:9" x14ac:dyDescent="0.25">
      <c r="C68" t="s">
        <v>310</v>
      </c>
      <c r="E68">
        <f>(PhiMayCanMang(E65*2,$C$15/100,$D$15/100) + PhiMangCan(E65*2,$C$15/100,$D$15/100,$D$21))*(1+$D$17)</f>
        <v>180304.40224999998</v>
      </c>
      <c r="F68">
        <f>(PhiMayCanMang(F65*2,$C$15/100,$D$15/100) + PhiMangCan(F65*2,$C$15/100,$D$15/100,$D$21))*(1+$D$17)</f>
        <v>296895.07925000001</v>
      </c>
      <c r="G68">
        <f>(PhiMayCanMang(G65*2,$C$15/100,$D$15/100) + PhiMangCan(G65*2,$C$15/100,$D$15/100,$D$21))*(1+$D$17)</f>
        <v>413032.83104999998</v>
      </c>
      <c r="H68">
        <f>(PhiMayCanMang(H65*2,$C$15/100,$D$15/100) + PhiMangCan(H65*2,$C$15/100,$D$15/100,$D$21))*(1+$D$17)</f>
        <v>529623.49212499987</v>
      </c>
      <c r="I68">
        <f>(PhiMayCanMang(I65*2,$C$15/100,$D$15/100) + PhiMangCan(I65*2,$C$15/100,$D$15/100,$D$21))*(1+$D$17)</f>
        <v>645761.25985000003</v>
      </c>
    </row>
    <row r="69" spans="1:9" x14ac:dyDescent="0.25">
      <c r="C69" t="s">
        <v>334</v>
      </c>
      <c r="E69">
        <f>PhiMayCanGap(E65*$D$16)*(1+$D$17)</f>
        <v>119947.916725</v>
      </c>
      <c r="F69">
        <f t="shared" ref="F69:I69" si="41">PhiMayCanGap(F65*$D$16)*(1+$D$17)</f>
        <v>131979.16672500002</v>
      </c>
      <c r="G69">
        <f t="shared" si="41"/>
        <v>144010.41672500002</v>
      </c>
      <c r="H69">
        <f t="shared" si="41"/>
        <v>156041.66672500002</v>
      </c>
      <c r="I69">
        <f t="shared" si="41"/>
        <v>168072.91672500002</v>
      </c>
    </row>
    <row r="70" spans="1:9" x14ac:dyDescent="0.25">
      <c r="C70" t="s">
        <v>359</v>
      </c>
      <c r="E70" s="26">
        <f>PhiLamRuotCuonMP_Tay(E$24, E65/E$24)*(1+$D$17)</f>
        <v>349475</v>
      </c>
      <c r="F70" s="26">
        <f t="shared" ref="F70:I70" si="42">PhiLamRuotCuonMP_Tay(F$24, F65/F$24)*(1+$D$17)</f>
        <v>668850</v>
      </c>
      <c r="G70" s="26">
        <f t="shared" si="42"/>
        <v>988225</v>
      </c>
      <c r="H70" s="26">
        <f t="shared" si="42"/>
        <v>1307600</v>
      </c>
      <c r="I70" s="26">
        <f t="shared" si="42"/>
        <v>1626975</v>
      </c>
    </row>
    <row r="71" spans="1:9" x14ac:dyDescent="0.25">
      <c r="C71" t="s">
        <v>329</v>
      </c>
      <c r="E71" s="42">
        <f>LamChanHangNgan(E66+E67+E69+E70)</f>
        <v>1299000</v>
      </c>
      <c r="F71" s="42">
        <f t="shared" ref="F71" si="43">LamChanHangNgan(F66+F67+F69+F70)</f>
        <v>2372000</v>
      </c>
      <c r="G71" s="42">
        <f t="shared" ref="G71" si="44">LamChanHangNgan(G66+G67+G69+G70)</f>
        <v>3446000</v>
      </c>
      <c r="H71" s="42">
        <f t="shared" ref="H71" si="45">LamChanHangNgan(H66+H67+H69+H70)</f>
        <v>4520000</v>
      </c>
      <c r="I71" s="42">
        <f t="shared" ref="I71" si="46">LamChanHangNgan(I66+I67+I69+I70)</f>
        <v>5593000</v>
      </c>
    </row>
    <row r="72" spans="1:9" x14ac:dyDescent="0.25">
      <c r="C72" t="s">
        <v>330</v>
      </c>
      <c r="E72" s="42">
        <f>LamChanHangNgan(E66+E67+E68+E69+E70)</f>
        <v>1479000</v>
      </c>
      <c r="F72" s="42">
        <f t="shared" ref="F72:I72" si="47">LamChanHangNgan(F66+F67+F68+F69+F70)</f>
        <v>2669000</v>
      </c>
      <c r="G72" s="42">
        <f t="shared" si="47"/>
        <v>3859000</v>
      </c>
      <c r="H72" s="42">
        <f t="shared" si="47"/>
        <v>5049000</v>
      </c>
      <c r="I72" s="42">
        <f t="shared" si="47"/>
        <v>6239000</v>
      </c>
    </row>
    <row r="73" spans="1:9" x14ac:dyDescent="0.25">
      <c r="A73">
        <v>24</v>
      </c>
      <c r="B73">
        <f>$A73*E$24</f>
        <v>240</v>
      </c>
      <c r="C73" t="s">
        <v>332</v>
      </c>
      <c r="E73">
        <f>($A73*E$24/2)/$D$16</f>
        <v>120</v>
      </c>
      <c r="F73">
        <f t="shared" ref="F73:I73" si="48">($A73*F$24/2)/$D$16</f>
        <v>240</v>
      </c>
      <c r="G73">
        <f t="shared" si="48"/>
        <v>360</v>
      </c>
      <c r="H73">
        <f t="shared" si="48"/>
        <v>480</v>
      </c>
      <c r="I73">
        <f t="shared" si="48"/>
        <v>600</v>
      </c>
    </row>
    <row r="74" spans="1:9" x14ac:dyDescent="0.25">
      <c r="C74" t="s">
        <v>306</v>
      </c>
      <c r="E74">
        <f>PhiInKM4M_BHR70(E73*$E$16*2)*(1+$D$17)</f>
        <v>675500</v>
      </c>
      <c r="F74">
        <f>PhiInKM4M_BHR70(F73*$E$16*2)*(1+$D$17)</f>
        <v>1263500</v>
      </c>
      <c r="G74">
        <f>PhiInKM4M_BHR70(G73*$E$16*2)*(1+$D$17)</f>
        <v>1851500</v>
      </c>
      <c r="H74">
        <f>PhiInKM4M_BHR70(H73*$E$16*2)*(1+$D$17)</f>
        <v>2439500</v>
      </c>
      <c r="I74">
        <f>PhiInKM4M_BHR70(I73*$E$16*2)*(1+$D$17)</f>
        <v>3027500</v>
      </c>
    </row>
    <row r="75" spans="1:9" x14ac:dyDescent="0.25">
      <c r="C75" t="s">
        <v>333</v>
      </c>
      <c r="E75">
        <f>E73*$D$19*(1+$D$17)</f>
        <v>221760</v>
      </c>
      <c r="F75">
        <f t="shared" ref="F75:I75" si="49">F73*$D$19*(1+$D$17)</f>
        <v>443520</v>
      </c>
      <c r="G75">
        <f t="shared" si="49"/>
        <v>665280</v>
      </c>
      <c r="H75">
        <f t="shared" si="49"/>
        <v>887040</v>
      </c>
      <c r="I75">
        <f t="shared" si="49"/>
        <v>1108800</v>
      </c>
    </row>
    <row r="76" spans="1:9" x14ac:dyDescent="0.25">
      <c r="C76" t="s">
        <v>310</v>
      </c>
      <c r="E76">
        <f>(PhiMayCanMang(E73*2,$C$15/100,$D$15/100) + PhiMangCan(E73*2,$C$15/100,$D$15/100,$D$21))*(1+$D$17)</f>
        <v>191150.62084999998</v>
      </c>
      <c r="F76">
        <f>(PhiMayCanMang(F73*2,$C$15/100,$D$15/100) + PhiMangCan(F73*2,$C$15/100,$D$15/100,$D$21))*(1+$D$17)</f>
        <v>318134.57514999993</v>
      </c>
      <c r="G76">
        <f>(PhiMayCanMang(G73*2,$C$15/100,$D$15/100) + PhiMangCan(G73*2,$C$15/100,$D$15/100,$D$21))*(1+$D$17)</f>
        <v>444665.5724</v>
      </c>
      <c r="H76">
        <f>(PhiMayCanMang(H73*2,$C$15/100,$D$15/100) + PhiMangCan(H73*2,$C$15/100,$D$15/100,$D$21))*(1+$D$17)</f>
        <v>571649.54279999994</v>
      </c>
      <c r="I76">
        <f>(PhiMayCanMang(I73*2,$C$15/100,$D$15/100) + PhiMangCan(I73*2,$C$15/100,$D$15/100,$D$21))*(1+$D$17)</f>
        <v>698633.48117499996</v>
      </c>
    </row>
    <row r="77" spans="1:9" x14ac:dyDescent="0.25">
      <c r="C77" t="s">
        <v>334</v>
      </c>
      <c r="E77">
        <f>PhiMayCanGap(E73*$D$16)*(1+$D$17)</f>
        <v>121041.666725</v>
      </c>
      <c r="F77">
        <f t="shared" ref="F77:I77" si="50">PhiMayCanGap(F73*$D$16)*(1+$D$17)</f>
        <v>134166.66672500002</v>
      </c>
      <c r="G77">
        <f t="shared" si="50"/>
        <v>147291.66672500002</v>
      </c>
      <c r="H77">
        <f t="shared" si="50"/>
        <v>160416.66672500002</v>
      </c>
      <c r="I77">
        <f t="shared" si="50"/>
        <v>173541.66672500002</v>
      </c>
    </row>
    <row r="78" spans="1:9" x14ac:dyDescent="0.25">
      <c r="C78" t="s">
        <v>359</v>
      </c>
      <c r="E78" s="26">
        <f>PhiLamRuotCuonMP_Tay(E$24, E73/E$24)*(1+$D$17)</f>
        <v>371700</v>
      </c>
      <c r="F78" s="26">
        <f t="shared" ref="F78:I78" si="51">PhiLamRuotCuonMP_Tay(F$24, F73/F$24)*(1+$D$17)</f>
        <v>712950</v>
      </c>
      <c r="G78" s="26">
        <f t="shared" si="51"/>
        <v>1054200</v>
      </c>
      <c r="H78" s="26">
        <f t="shared" si="51"/>
        <v>1395450</v>
      </c>
      <c r="I78" s="26">
        <f t="shared" si="51"/>
        <v>1736700</v>
      </c>
    </row>
    <row r="79" spans="1:9" x14ac:dyDescent="0.25">
      <c r="C79" t="s">
        <v>329</v>
      </c>
      <c r="E79" s="42">
        <f>LamChanHangNgan(E74+E75+E77+E78)</f>
        <v>1390000</v>
      </c>
      <c r="F79" s="42">
        <f t="shared" ref="F79" si="52">LamChanHangNgan(F74+F75+F77+F78)</f>
        <v>2554000</v>
      </c>
      <c r="G79" s="42">
        <f t="shared" ref="G79" si="53">LamChanHangNgan(G74+G75+G77+G78)</f>
        <v>3718000</v>
      </c>
      <c r="H79" s="42">
        <f t="shared" ref="H79" si="54">LamChanHangNgan(H74+H75+H77+H78)</f>
        <v>4882000</v>
      </c>
      <c r="I79" s="42">
        <f t="shared" ref="I79" si="55">LamChanHangNgan(I74+I75+I77+I78)</f>
        <v>6046000</v>
      </c>
    </row>
    <row r="80" spans="1:9" x14ac:dyDescent="0.25">
      <c r="C80" t="s">
        <v>330</v>
      </c>
      <c r="E80" s="42">
        <f>LamChanHangNgan(E74+E75+E76+E77+E78)</f>
        <v>1581000</v>
      </c>
      <c r="F80" s="42">
        <f t="shared" ref="F80:I80" si="56">LamChanHangNgan(F74+F75+F76+F77+F78)</f>
        <v>2872000</v>
      </c>
      <c r="G80" s="42">
        <f t="shared" si="56"/>
        <v>4162000</v>
      </c>
      <c r="H80" s="42">
        <f t="shared" si="56"/>
        <v>5454000</v>
      </c>
      <c r="I80" s="42">
        <f t="shared" si="56"/>
        <v>6745000</v>
      </c>
    </row>
  </sheetData>
  <dataValidations disablePrompts="1" count="3">
    <dataValidation type="list" allowBlank="1" showInputMessage="1" showErrorMessage="1" errorTitle="Lỗi" error="Vui lòng chọn dữ liệu trong danh sách._x000d__x000a_(Add-in A-Tools Tác giả: Nguyễn Duy Tuân - http://bluesofts.net)" sqref="B21" xr:uid="{F09DCDDD-11DE-40EA-8259-DCB686C3978D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A687D00A-2DB4-4BB8-A33E-CBF9253AC8C9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9" xr:uid="{C2B8C956-5679-4A16-B350-BDEB257B21E3}">
      <formula1>OFFSET(GIA_GIAY_CO_BAN,1,0,,1)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A2B13-9B56-40DD-9A16-8093F94A634E}">
  <sheetPr codeName="Trang_tính9"/>
  <dimension ref="A1:M36"/>
  <sheetViews>
    <sheetView topLeftCell="A4" workbookViewId="0">
      <selection activeCell="M12" sqref="M12"/>
    </sheetView>
  </sheetViews>
  <sheetFormatPr defaultRowHeight="15" x14ac:dyDescent="0.25"/>
  <cols>
    <col min="1" max="1" width="24.7109375" bestFit="1" customWidth="1"/>
    <col min="2" max="2" width="22.7109375" customWidth="1"/>
    <col min="3" max="3" width="14.28515625" customWidth="1"/>
    <col min="4" max="4" width="15.85546875" bestFit="1" customWidth="1"/>
    <col min="5" max="5" width="18.28515625" bestFit="1" customWidth="1"/>
    <col min="6" max="9" width="15" bestFit="1" customWidth="1"/>
  </cols>
  <sheetData>
    <row r="1" spans="1:13" x14ac:dyDescent="0.25">
      <c r="A1" t="s">
        <v>335</v>
      </c>
    </row>
    <row r="2" spans="1:13" x14ac:dyDescent="0.25">
      <c r="A2" t="s">
        <v>285</v>
      </c>
      <c r="B2" t="s">
        <v>336</v>
      </c>
    </row>
    <row r="3" spans="1:13" x14ac:dyDescent="0.25">
      <c r="A3" t="s">
        <v>337</v>
      </c>
    </row>
    <row r="9" spans="1:13" x14ac:dyDescent="0.25">
      <c r="A9" s="1" t="s">
        <v>287</v>
      </c>
      <c r="B9" t="s">
        <v>302</v>
      </c>
    </row>
    <row r="10" spans="1:13" x14ac:dyDescent="0.25">
      <c r="A10" t="s">
        <v>221</v>
      </c>
      <c r="B10" s="31">
        <v>43609</v>
      </c>
    </row>
    <row r="11" spans="1:13" x14ac:dyDescent="0.25">
      <c r="B11" t="s">
        <v>138</v>
      </c>
      <c r="C11" t="s">
        <v>139</v>
      </c>
      <c r="E11" t="s">
        <v>326</v>
      </c>
      <c r="F11" s="1" t="s">
        <v>327</v>
      </c>
      <c r="G11" s="1" t="s">
        <v>328</v>
      </c>
      <c r="H11" t="s">
        <v>342</v>
      </c>
    </row>
    <row r="12" spans="1:13" x14ac:dyDescent="0.25">
      <c r="A12" t="s">
        <v>339</v>
      </c>
      <c r="D12" t="s">
        <v>300</v>
      </c>
      <c r="I12" t="s">
        <v>340</v>
      </c>
      <c r="J12" t="s">
        <v>341</v>
      </c>
      <c r="L12" t="s">
        <v>355</v>
      </c>
      <c r="M12" t="e">
        <f ca="1">INDIRECT("GIA_DECAL_GIAY_VUONG")</f>
        <v>#REF!</v>
      </c>
    </row>
    <row r="13" spans="1:13" x14ac:dyDescent="0.25">
      <c r="A13" t="s">
        <v>325</v>
      </c>
      <c r="B13">
        <v>20</v>
      </c>
      <c r="C13">
        <v>28</v>
      </c>
      <c r="D13">
        <v>0.3</v>
      </c>
      <c r="E13">
        <v>2.5</v>
      </c>
      <c r="F13">
        <f>$B13+$E13+$D13*2</f>
        <v>23.1</v>
      </c>
      <c r="G13">
        <f>$C13+$D13*2</f>
        <v>28.6</v>
      </c>
      <c r="I13">
        <f>F$13+0.4+4</f>
        <v>27.5</v>
      </c>
      <c r="J13">
        <f>G$13+0.4*2</f>
        <v>29.400000000000002</v>
      </c>
    </row>
    <row r="15" spans="1:13" ht="30" x14ac:dyDescent="0.25">
      <c r="A15" t="s">
        <v>345</v>
      </c>
      <c r="B15" s="1" t="s">
        <v>79</v>
      </c>
      <c r="C15">
        <v>32</v>
      </c>
      <c r="D15">
        <v>47</v>
      </c>
      <c r="E15" s="2" t="s">
        <v>231</v>
      </c>
    </row>
    <row r="16" spans="1:13" x14ac:dyDescent="0.25">
      <c r="A16" t="s">
        <v>346</v>
      </c>
      <c r="D16" s="1">
        <v>1</v>
      </c>
      <c r="E16">
        <v>2</v>
      </c>
    </row>
    <row r="17" spans="1:9" x14ac:dyDescent="0.25">
      <c r="A17" t="s">
        <v>135</v>
      </c>
      <c r="D17" s="33">
        <v>0.75</v>
      </c>
      <c r="E17" s="34" t="s">
        <v>233</v>
      </c>
    </row>
    <row r="18" spans="1:9" x14ac:dyDescent="0.25">
      <c r="B18" t="s">
        <v>215</v>
      </c>
      <c r="C18" t="s">
        <v>216</v>
      </c>
      <c r="D18" t="s">
        <v>218</v>
      </c>
      <c r="E18" t="s">
        <v>217</v>
      </c>
    </row>
    <row r="19" spans="1:9" x14ac:dyDescent="0.25">
      <c r="A19" t="s">
        <v>361</v>
      </c>
      <c r="B19" t="s">
        <v>152</v>
      </c>
      <c r="C19" t="s">
        <v>145</v>
      </c>
      <c r="D19">
        <v>628</v>
      </c>
      <c r="E19" s="7">
        <f>D19*(1+D17)</f>
        <v>1099</v>
      </c>
    </row>
    <row r="21" spans="1:9" x14ac:dyDescent="0.25">
      <c r="A21" t="s">
        <v>331</v>
      </c>
      <c r="B21" t="s">
        <v>98</v>
      </c>
      <c r="C21" t="s">
        <v>99</v>
      </c>
      <c r="D21">
        <v>1200</v>
      </c>
    </row>
    <row r="22" spans="1:9" x14ac:dyDescent="0.25">
      <c r="A22" t="s">
        <v>343</v>
      </c>
      <c r="C22" t="s">
        <v>344</v>
      </c>
      <c r="D22">
        <v>1200</v>
      </c>
    </row>
    <row r="24" spans="1:9" x14ac:dyDescent="0.25">
      <c r="A24" t="s">
        <v>338</v>
      </c>
      <c r="E24">
        <v>10</v>
      </c>
      <c r="F24">
        <v>20</v>
      </c>
      <c r="G24">
        <v>30</v>
      </c>
      <c r="H24">
        <v>40</v>
      </c>
      <c r="I24">
        <v>50</v>
      </c>
    </row>
    <row r="25" spans="1:9" x14ac:dyDescent="0.25">
      <c r="C25" t="s">
        <v>347</v>
      </c>
      <c r="E25">
        <f>(E$24)/$D$16</f>
        <v>10</v>
      </c>
      <c r="F25">
        <f t="shared" ref="F25:I25" si="0">(F$24)/$D$16</f>
        <v>20</v>
      </c>
      <c r="G25">
        <f t="shared" si="0"/>
        <v>30</v>
      </c>
      <c r="H25">
        <f t="shared" si="0"/>
        <v>40</v>
      </c>
      <c r="I25">
        <f t="shared" si="0"/>
        <v>50</v>
      </c>
    </row>
    <row r="26" spans="1:9" x14ac:dyDescent="0.25">
      <c r="C26" t="s">
        <v>348</v>
      </c>
      <c r="E26" s="7">
        <f>PhiInKM4M_BHR70(E$25*$E$16)*(1+$D$17)</f>
        <v>112000</v>
      </c>
      <c r="F26" s="7">
        <f>PhiInKM4M_BHR70(F$25*$E$16)*(1+$D$17)</f>
        <v>136500</v>
      </c>
      <c r="G26" s="7">
        <f>PhiInKM4M_BHR70(G$25*$E$16)*(1+$D$17)</f>
        <v>161000</v>
      </c>
      <c r="H26" s="7">
        <f>PhiInKM4M_BHR70(H$25*$E$16)*(1+$D$17)</f>
        <v>185500</v>
      </c>
      <c r="I26" s="7">
        <f>PhiInKM4M_BHR70(I$25*$E$16)*(1+$D$17)</f>
        <v>210000</v>
      </c>
    </row>
    <row r="27" spans="1:9" x14ac:dyDescent="0.25">
      <c r="C27" t="s">
        <v>333</v>
      </c>
      <c r="E27" s="7">
        <f>E$25*$D$19*(1+$D$17)</f>
        <v>10990</v>
      </c>
      <c r="F27" s="7">
        <f>F$25*$D$19*(1+$D$17)</f>
        <v>21980</v>
      </c>
      <c r="G27" s="7">
        <f t="shared" ref="G27:I27" si="1">G$25*$D$19*(1+$D$17)</f>
        <v>32970</v>
      </c>
      <c r="H27" s="7">
        <f t="shared" si="1"/>
        <v>43960</v>
      </c>
      <c r="I27" s="7">
        <f t="shared" si="1"/>
        <v>54950</v>
      </c>
    </row>
    <row r="28" spans="1:9" x14ac:dyDescent="0.25">
      <c r="C28" t="s">
        <v>310</v>
      </c>
      <c r="E28" s="7">
        <f>(PhiMayCanMang(E$25*2,$C$15/100,$D$15/100) + PhiMangCan(E$25*2,$C$15/100,$D$15/100,$D$21))*(1+$D$17)</f>
        <v>74559.937024999992</v>
      </c>
      <c r="F28" s="7">
        <f>(PhiMayCanMang(F$25*2,$C$15/100,$D$15/100) + PhiMangCan(F$25*2,$C$15/100,$D$15/100,$D$21))*(1+$D$17)</f>
        <v>85406.148625000002</v>
      </c>
      <c r="G28" s="7">
        <f>(PhiMayCanMang(G$25*2,$C$15/100,$D$15/100) + PhiMangCan(G$25*2,$C$15/100,$D$15/100,$D$21))*(1+$D$17)</f>
        <v>95799.419800000003</v>
      </c>
      <c r="H28" s="7">
        <f>(PhiMayCanMang(H$25*2,$C$15/100,$D$15/100) + PhiMangCan(H$25*2,$C$15/100,$D$15/100,$D$21))*(1+$D$17)</f>
        <v>106645.63035000001</v>
      </c>
      <c r="I28" s="7">
        <f>(PhiMayCanMang(I$25*2,$C$15/100,$D$15/100) + PhiMangCan(I$25*2,$C$15/100,$D$15/100,$D$21))*(1+$D$17)</f>
        <v>117038.901875</v>
      </c>
    </row>
    <row r="29" spans="1:9" x14ac:dyDescent="0.25">
      <c r="C29" t="s">
        <v>351</v>
      </c>
      <c r="E29" s="7">
        <f>SUM(E26:E28)</f>
        <v>197549.93702499999</v>
      </c>
      <c r="F29" s="7">
        <f t="shared" ref="F29:I29" si="2">SUM(F26:F28)</f>
        <v>243886.148625</v>
      </c>
      <c r="G29" s="7">
        <f t="shared" si="2"/>
        <v>289769.41980000003</v>
      </c>
      <c r="H29" s="7">
        <f t="shared" si="2"/>
        <v>336105.63034999999</v>
      </c>
      <c r="I29" s="7">
        <f t="shared" si="2"/>
        <v>381988.90187499998</v>
      </c>
    </row>
    <row r="30" spans="1:9" x14ac:dyDescent="0.25">
      <c r="C30" t="s">
        <v>349</v>
      </c>
      <c r="E30" s="7">
        <f>E24*2*$D$22</f>
        <v>24000</v>
      </c>
      <c r="F30" s="7">
        <f t="shared" ref="F30:I30" si="3">F24*2*$D$22</f>
        <v>48000</v>
      </c>
      <c r="G30" s="7">
        <f t="shared" si="3"/>
        <v>72000</v>
      </c>
      <c r="H30" s="7">
        <f t="shared" si="3"/>
        <v>96000</v>
      </c>
      <c r="I30" s="7">
        <f t="shared" si="3"/>
        <v>120000</v>
      </c>
    </row>
    <row r="31" spans="1:9" x14ac:dyDescent="0.25">
      <c r="C31" t="s">
        <v>350</v>
      </c>
      <c r="E31" s="7">
        <f>(PhiLamBiaCungMayY(E24)+E30)*(1+$D$17)</f>
        <v>286149.30539999995</v>
      </c>
      <c r="F31" s="7">
        <f t="shared" ref="F31:I31" si="4">(PhiLamBiaCungMayY(F24)+F30)*(1+$D$17)</f>
        <v>333131.94425</v>
      </c>
      <c r="G31" s="7">
        <f t="shared" si="4"/>
        <v>380114.58327499998</v>
      </c>
      <c r="H31" s="7">
        <f t="shared" si="4"/>
        <v>427097.22212499997</v>
      </c>
      <c r="I31" s="7">
        <f t="shared" si="4"/>
        <v>474079.86097499996</v>
      </c>
    </row>
    <row r="32" spans="1:9" x14ac:dyDescent="0.25">
      <c r="C32" t="s">
        <v>352</v>
      </c>
      <c r="E32" s="43">
        <f>E29+E31</f>
        <v>483699.24242499995</v>
      </c>
      <c r="F32" s="43">
        <f t="shared" ref="F32:I32" si="5">F29+F31</f>
        <v>577018.09287499997</v>
      </c>
      <c r="G32" s="43">
        <f t="shared" si="5"/>
        <v>669884.00307500002</v>
      </c>
      <c r="H32" s="43">
        <f t="shared" si="5"/>
        <v>763202.85247499996</v>
      </c>
      <c r="I32" s="43">
        <f t="shared" si="5"/>
        <v>856068.76284999994</v>
      </c>
    </row>
    <row r="33" spans="3:9" x14ac:dyDescent="0.25">
      <c r="C33" t="s">
        <v>353</v>
      </c>
      <c r="E33" s="32">
        <f>PhiLDPT_VoCuonBatVit(E23) * (1+$D$17)</f>
        <v>22750</v>
      </c>
      <c r="F33" s="32">
        <f t="shared" ref="F33:I33" si="6">PhiLDPT_VoCuonBatVit(F23) * (1+$D$17)</f>
        <v>22750</v>
      </c>
      <c r="G33" s="32">
        <f t="shared" si="6"/>
        <v>22750</v>
      </c>
      <c r="H33" s="32">
        <f t="shared" si="6"/>
        <v>22750</v>
      </c>
      <c r="I33" s="32">
        <f t="shared" si="6"/>
        <v>22750</v>
      </c>
    </row>
    <row r="34" spans="3:9" x14ac:dyDescent="0.25">
      <c r="C34" t="s">
        <v>360</v>
      </c>
      <c r="E34" s="25">
        <f>LamChanHangNgan(E32+E33)</f>
        <v>506000</v>
      </c>
      <c r="F34" s="25">
        <f>LamChanHangNgan(F32+F33)</f>
        <v>599000</v>
      </c>
      <c r="G34" s="25">
        <f>LamChanHangNgan(G32+G33)</f>
        <v>692000</v>
      </c>
      <c r="H34" s="25">
        <f>LamChanHangNgan(H32+H33)</f>
        <v>785000</v>
      </c>
      <c r="I34" s="25">
        <f>LamChanHangNgan(I32+I33)</f>
        <v>878000</v>
      </c>
    </row>
    <row r="36" spans="3:9" x14ac:dyDescent="0.25">
      <c r="D36" t="s">
        <v>356</v>
      </c>
      <c r="E36" s="7">
        <f>LamChanHangNgan(E34/E24)</f>
        <v>50000</v>
      </c>
      <c r="F36" s="7">
        <f>LamChanHangNgan(F34/F24)</f>
        <v>29000</v>
      </c>
      <c r="G36" s="7">
        <f>LamChanHangNgan(G34/G24)</f>
        <v>23000</v>
      </c>
      <c r="H36" s="7">
        <f>LamChanHangNgan(H34/H24)</f>
        <v>19000</v>
      </c>
      <c r="I36" s="7">
        <f>LamChanHangNgan(I34/I24)</f>
        <v>17000</v>
      </c>
    </row>
  </sheetData>
  <dataValidations count="3">
    <dataValidation type="list" allowBlank="1" showInputMessage="1" showErrorMessage="1" errorTitle="Lỗi" error="Vui lòng chọn dữ liệu trong danh sách._x000d__x000a_(Add-in A-Tools Tác giả: Nguyễn Duy Tuân - http://bluesofts.net)" sqref="A13" xr:uid="{F111C6F3-C0D2-41F0-AF02-8EB1414706BF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21" xr:uid="{C6E81686-CB9A-4CE6-99C7-263660EEF9BC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9" xr:uid="{6B2A2547-7B00-437F-80A1-2A3887DCFD29}">
      <formula1>OFFSET(GIA_GIAY_CO_BAN,1,0,,1)</formula1>
    </dataValidation>
  </dataValidation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CD571-1669-45B8-A48C-6D92F94D8E09}">
  <sheetPr codeName="Trang_tính10">
    <tabColor rgb="FF0070C0"/>
  </sheetPr>
  <dimension ref="A1:R19"/>
  <sheetViews>
    <sheetView workbookViewId="0">
      <selection activeCell="O14" sqref="O14"/>
    </sheetView>
  </sheetViews>
  <sheetFormatPr defaultRowHeight="15" x14ac:dyDescent="0.25"/>
  <cols>
    <col min="1" max="1" width="20" bestFit="1" customWidth="1"/>
    <col min="2" max="2" width="10.5703125" bestFit="1" customWidth="1"/>
    <col min="3" max="3" width="13.28515625" bestFit="1" customWidth="1"/>
    <col min="7" max="7" width="12.5703125" bestFit="1" customWidth="1"/>
    <col min="10" max="10" width="11" bestFit="1" customWidth="1"/>
    <col min="12" max="12" width="6.85546875" bestFit="1" customWidth="1"/>
  </cols>
  <sheetData>
    <row r="1" spans="1:18" x14ac:dyDescent="0.25">
      <c r="C1" t="s">
        <v>48</v>
      </c>
    </row>
    <row r="2" spans="1:18" x14ac:dyDescent="0.25">
      <c r="A2" s="1" t="s">
        <v>49</v>
      </c>
      <c r="B2" s="9"/>
      <c r="E2" t="s">
        <v>50</v>
      </c>
      <c r="H2" t="s">
        <v>51</v>
      </c>
      <c r="O2" t="s">
        <v>295</v>
      </c>
    </row>
    <row r="3" spans="1:18" x14ac:dyDescent="0.25">
      <c r="A3" t="s">
        <v>52</v>
      </c>
      <c r="B3" t="s">
        <v>53</v>
      </c>
      <c r="C3" t="s">
        <v>54</v>
      </c>
      <c r="D3" t="s">
        <v>55</v>
      </c>
      <c r="E3" t="s">
        <v>56</v>
      </c>
      <c r="G3" t="s">
        <v>57</v>
      </c>
      <c r="H3" t="s">
        <v>58</v>
      </c>
      <c r="I3" t="s">
        <v>59</v>
      </c>
      <c r="J3" t="s">
        <v>60</v>
      </c>
      <c r="K3" t="s">
        <v>61</v>
      </c>
      <c r="L3" t="s">
        <v>62</v>
      </c>
      <c r="O3" t="s">
        <v>57</v>
      </c>
      <c r="P3" t="s">
        <v>296</v>
      </c>
      <c r="Q3" t="s">
        <v>297</v>
      </c>
      <c r="R3" t="s">
        <v>298</v>
      </c>
    </row>
    <row r="4" spans="1:18" x14ac:dyDescent="0.25">
      <c r="A4" t="s">
        <v>63</v>
      </c>
      <c r="B4" t="s">
        <v>64</v>
      </c>
      <c r="C4" s="7">
        <v>450000</v>
      </c>
      <c r="D4" s="18">
        <f>5/60</f>
        <v>8.3333333333333329E-2</v>
      </c>
      <c r="G4" t="str">
        <f>I4&amp;"-"&amp;H4</f>
        <v>MI01-30x21</v>
      </c>
      <c r="H4" t="s">
        <v>65</v>
      </c>
      <c r="I4" t="s">
        <v>63</v>
      </c>
      <c r="J4" t="s">
        <v>66</v>
      </c>
      <c r="K4">
        <v>4000</v>
      </c>
      <c r="L4">
        <v>4</v>
      </c>
      <c r="O4" t="str">
        <f>P4&amp;"x"&amp;Q4&amp;"cm"</f>
        <v>10x19cm</v>
      </c>
      <c r="P4">
        <v>10</v>
      </c>
      <c r="Q4">
        <v>19</v>
      </c>
      <c r="R4">
        <v>0.3</v>
      </c>
    </row>
    <row r="5" spans="1:18" x14ac:dyDescent="0.25">
      <c r="A5" t="s">
        <v>67</v>
      </c>
      <c r="B5" t="s">
        <v>68</v>
      </c>
      <c r="C5" s="7">
        <v>500000</v>
      </c>
      <c r="D5" s="18">
        <f>5/60</f>
        <v>8.3333333333333329E-2</v>
      </c>
      <c r="G5" t="str">
        <f t="shared" ref="G5:G11" si="0">I5&amp;"-"&amp;H5</f>
        <v>MI01-32x23</v>
      </c>
      <c r="H5" t="s">
        <v>69</v>
      </c>
      <c r="I5" t="s">
        <v>63</v>
      </c>
      <c r="J5" t="s">
        <v>70</v>
      </c>
      <c r="K5">
        <v>3000</v>
      </c>
      <c r="L5">
        <v>5</v>
      </c>
      <c r="O5" t="str">
        <f t="shared" ref="O5:O7" si="1">P5&amp;"x"&amp;Q5&amp;"cm"</f>
        <v>15x19cm</v>
      </c>
      <c r="P5">
        <v>15</v>
      </c>
      <c r="Q5">
        <v>19</v>
      </c>
      <c r="R5">
        <v>0.3</v>
      </c>
    </row>
    <row r="6" spans="1:18" x14ac:dyDescent="0.25">
      <c r="A6" t="s">
        <v>71</v>
      </c>
      <c r="B6" t="s">
        <v>72</v>
      </c>
      <c r="C6" s="7">
        <v>600000</v>
      </c>
      <c r="D6" s="18">
        <f>5/60</f>
        <v>8.3333333333333329E-2</v>
      </c>
      <c r="G6" t="str">
        <f t="shared" si="0"/>
        <v>MI01-32x26</v>
      </c>
      <c r="H6" t="s">
        <v>73</v>
      </c>
      <c r="I6" t="s">
        <v>63</v>
      </c>
      <c r="J6" t="s">
        <v>74</v>
      </c>
      <c r="K6">
        <v>2000</v>
      </c>
      <c r="L6">
        <v>6</v>
      </c>
      <c r="O6" t="str">
        <f t="shared" si="1"/>
        <v>15x34cm</v>
      </c>
      <c r="P6">
        <v>15</v>
      </c>
      <c r="Q6">
        <v>34</v>
      </c>
      <c r="R6">
        <v>0.3</v>
      </c>
    </row>
    <row r="7" spans="1:18" x14ac:dyDescent="0.25">
      <c r="G7" t="str">
        <f t="shared" si="0"/>
        <v>MI01-32x39</v>
      </c>
      <c r="H7" t="s">
        <v>75</v>
      </c>
      <c r="I7" t="s">
        <v>63</v>
      </c>
      <c r="J7" t="s">
        <v>76</v>
      </c>
      <c r="K7">
        <v>5000</v>
      </c>
      <c r="L7">
        <v>7</v>
      </c>
      <c r="O7" t="str">
        <f t="shared" si="1"/>
        <v>19x30cm</v>
      </c>
      <c r="P7">
        <v>19</v>
      </c>
      <c r="Q7">
        <v>30</v>
      </c>
      <c r="R7">
        <v>0.3</v>
      </c>
    </row>
    <row r="8" spans="1:18" x14ac:dyDescent="0.25">
      <c r="G8" t="str">
        <f t="shared" si="0"/>
        <v>MI01-32x44</v>
      </c>
      <c r="H8" t="s">
        <v>77</v>
      </c>
      <c r="I8" t="s">
        <v>63</v>
      </c>
      <c r="J8" t="s">
        <v>78</v>
      </c>
      <c r="K8">
        <v>6000</v>
      </c>
      <c r="L8">
        <v>1</v>
      </c>
      <c r="R8">
        <v>0.3</v>
      </c>
    </row>
    <row r="9" spans="1:18" x14ac:dyDescent="0.25">
      <c r="G9" t="str">
        <f t="shared" si="0"/>
        <v>MI01-32x47</v>
      </c>
      <c r="H9" t="s">
        <v>79</v>
      </c>
      <c r="I9" t="s">
        <v>63</v>
      </c>
      <c r="J9" t="s">
        <v>80</v>
      </c>
      <c r="K9">
        <v>7000</v>
      </c>
      <c r="L9">
        <v>3</v>
      </c>
      <c r="R9">
        <v>0.3</v>
      </c>
    </row>
    <row r="10" spans="1:18" x14ac:dyDescent="0.25">
      <c r="G10" t="str">
        <f t="shared" si="0"/>
        <v>MI01-32x48.5</v>
      </c>
      <c r="H10" t="s">
        <v>81</v>
      </c>
      <c r="I10" t="s">
        <v>63</v>
      </c>
      <c r="J10" t="s">
        <v>82</v>
      </c>
      <c r="K10">
        <v>8000</v>
      </c>
      <c r="L10">
        <v>2</v>
      </c>
      <c r="R10">
        <v>0.3</v>
      </c>
    </row>
    <row r="11" spans="1:18" x14ac:dyDescent="0.25">
      <c r="G11" t="str">
        <f t="shared" si="0"/>
        <v>MI01-32x65</v>
      </c>
      <c r="H11" t="s">
        <v>83</v>
      </c>
      <c r="I11" t="s">
        <v>63</v>
      </c>
      <c r="J11" t="s">
        <v>84</v>
      </c>
      <c r="K11">
        <v>3000</v>
      </c>
      <c r="L11">
        <v>8</v>
      </c>
      <c r="R11">
        <v>0.3</v>
      </c>
    </row>
    <row r="12" spans="1:18" x14ac:dyDescent="0.25">
      <c r="G12" t="str">
        <f>I12&amp;"-"&amp;H12</f>
        <v>MI02-30x21</v>
      </c>
      <c r="H12" t="s">
        <v>65</v>
      </c>
      <c r="I12" t="s">
        <v>67</v>
      </c>
      <c r="J12" t="s">
        <v>66</v>
      </c>
      <c r="K12">
        <v>4000</v>
      </c>
      <c r="L12">
        <v>4</v>
      </c>
      <c r="R12">
        <v>0.3</v>
      </c>
    </row>
    <row r="13" spans="1:18" x14ac:dyDescent="0.25">
      <c r="G13" t="str">
        <f t="shared" ref="G13:G19" si="2">I13&amp;"-"&amp;H13</f>
        <v>MI02-32x23</v>
      </c>
      <c r="H13" t="s">
        <v>69</v>
      </c>
      <c r="I13" t="s">
        <v>67</v>
      </c>
      <c r="J13" t="s">
        <v>70</v>
      </c>
      <c r="K13">
        <v>3000</v>
      </c>
      <c r="L13">
        <v>5</v>
      </c>
      <c r="R13">
        <v>0.3</v>
      </c>
    </row>
    <row r="14" spans="1:18" x14ac:dyDescent="0.25">
      <c r="G14" t="str">
        <f t="shared" si="2"/>
        <v>MI02-32x26</v>
      </c>
      <c r="H14" t="s">
        <v>73</v>
      </c>
      <c r="I14" t="s">
        <v>67</v>
      </c>
      <c r="J14" t="s">
        <v>74</v>
      </c>
      <c r="K14">
        <v>2000</v>
      </c>
      <c r="L14">
        <v>6</v>
      </c>
      <c r="R14">
        <v>0.3</v>
      </c>
    </row>
    <row r="15" spans="1:18" x14ac:dyDescent="0.25">
      <c r="G15" t="str">
        <f t="shared" si="2"/>
        <v>MI02-32x39</v>
      </c>
      <c r="H15" t="s">
        <v>75</v>
      </c>
      <c r="I15" t="s">
        <v>67</v>
      </c>
      <c r="J15" t="s">
        <v>76</v>
      </c>
      <c r="K15">
        <v>5000</v>
      </c>
      <c r="L15">
        <v>7</v>
      </c>
    </row>
    <row r="16" spans="1:18" x14ac:dyDescent="0.25">
      <c r="G16" t="str">
        <f t="shared" si="2"/>
        <v>MI02-32x44</v>
      </c>
      <c r="H16" t="s">
        <v>77</v>
      </c>
      <c r="I16" t="s">
        <v>67</v>
      </c>
      <c r="J16" t="s">
        <v>78</v>
      </c>
      <c r="K16">
        <v>6000</v>
      </c>
      <c r="L16">
        <v>1</v>
      </c>
    </row>
    <row r="17" spans="7:12" x14ac:dyDescent="0.25">
      <c r="G17" t="str">
        <f t="shared" si="2"/>
        <v>MI02-32x47</v>
      </c>
      <c r="H17" t="s">
        <v>79</v>
      </c>
      <c r="I17" t="s">
        <v>67</v>
      </c>
      <c r="J17" t="s">
        <v>80</v>
      </c>
      <c r="K17">
        <v>7000</v>
      </c>
      <c r="L17">
        <v>3</v>
      </c>
    </row>
    <row r="18" spans="7:12" x14ac:dyDescent="0.25">
      <c r="G18" t="str">
        <f t="shared" si="2"/>
        <v>MI02-32x48.5</v>
      </c>
      <c r="H18" t="s">
        <v>81</v>
      </c>
      <c r="I18" t="s">
        <v>67</v>
      </c>
      <c r="J18" t="s">
        <v>82</v>
      </c>
      <c r="K18">
        <v>8000</v>
      </c>
      <c r="L18">
        <v>2</v>
      </c>
    </row>
    <row r="19" spans="7:12" x14ac:dyDescent="0.25">
      <c r="G19" t="str">
        <f t="shared" si="2"/>
        <v>MI02-32x65</v>
      </c>
      <c r="H19" t="s">
        <v>83</v>
      </c>
      <c r="I19" t="s">
        <v>67</v>
      </c>
      <c r="J19" t="s">
        <v>84</v>
      </c>
      <c r="K19">
        <v>3000</v>
      </c>
      <c r="L19">
        <v>8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125C3-04A6-4410-9A54-B92376273675}">
  <sheetPr codeName="Trang_tính13">
    <tabColor theme="6"/>
  </sheetPr>
  <dimension ref="A1:R43"/>
  <sheetViews>
    <sheetView topLeftCell="A16" workbookViewId="0">
      <selection activeCell="A2" sqref="A2:C3"/>
    </sheetView>
  </sheetViews>
  <sheetFormatPr defaultRowHeight="15" x14ac:dyDescent="0.25"/>
  <cols>
    <col min="1" max="1" width="21.5703125" bestFit="1" customWidth="1"/>
    <col min="2" max="2" width="19" bestFit="1" customWidth="1"/>
    <col min="6" max="6" width="21.5703125" bestFit="1" customWidth="1"/>
    <col min="7" max="7" width="19" bestFit="1" customWidth="1"/>
    <col min="8" max="8" width="8.140625" bestFit="1" customWidth="1"/>
    <col min="11" max="11" width="17.85546875" bestFit="1" customWidth="1"/>
    <col min="12" max="12" width="15.5703125" bestFit="1" customWidth="1"/>
    <col min="13" max="13" width="8.140625" bestFit="1" customWidth="1"/>
    <col min="16" max="16" width="17.7109375" bestFit="1" customWidth="1"/>
    <col min="17" max="17" width="19.7109375" bestFit="1" customWidth="1"/>
    <col min="18" max="18" width="6.42578125" bestFit="1" customWidth="1"/>
  </cols>
  <sheetData>
    <row r="1" spans="1:18" x14ac:dyDescent="0.25">
      <c r="A1" s="1" t="s">
        <v>87</v>
      </c>
      <c r="F1" s="1" t="s">
        <v>89</v>
      </c>
      <c r="K1" s="1" t="s">
        <v>90</v>
      </c>
      <c r="P1" s="1" t="s">
        <v>143</v>
      </c>
    </row>
    <row r="2" spans="1:18" x14ac:dyDescent="0.25">
      <c r="A2" t="s">
        <v>52</v>
      </c>
      <c r="B2" t="s">
        <v>60</v>
      </c>
      <c r="C2" t="s">
        <v>88</v>
      </c>
      <c r="F2" t="s">
        <v>52</v>
      </c>
      <c r="G2" t="s">
        <v>60</v>
      </c>
      <c r="H2" t="s">
        <v>91</v>
      </c>
      <c r="K2" t="s">
        <v>52</v>
      </c>
      <c r="L2" t="s">
        <v>60</v>
      </c>
      <c r="M2" t="s">
        <v>91</v>
      </c>
      <c r="P2" t="s">
        <v>52</v>
      </c>
      <c r="Q2" t="s">
        <v>60</v>
      </c>
      <c r="R2" t="s">
        <v>144</v>
      </c>
    </row>
    <row r="3" spans="1:18" x14ac:dyDescent="0.25">
      <c r="A3" t="s">
        <v>98</v>
      </c>
      <c r="B3" t="s">
        <v>99</v>
      </c>
      <c r="C3">
        <v>1200</v>
      </c>
      <c r="F3" t="s">
        <v>96</v>
      </c>
      <c r="G3" t="s">
        <v>97</v>
      </c>
      <c r="H3">
        <v>850</v>
      </c>
      <c r="K3" t="s">
        <v>92</v>
      </c>
      <c r="L3" t="s">
        <v>93</v>
      </c>
      <c r="M3">
        <f>3400/10000</f>
        <v>0.34</v>
      </c>
      <c r="P3" t="s">
        <v>175</v>
      </c>
      <c r="Q3" t="s">
        <v>198</v>
      </c>
      <c r="R3">
        <v>345</v>
      </c>
    </row>
    <row r="4" spans="1:18" x14ac:dyDescent="0.25">
      <c r="K4" t="s">
        <v>94</v>
      </c>
      <c r="L4" t="s">
        <v>95</v>
      </c>
      <c r="M4">
        <f>5500/10000</f>
        <v>0.55000000000000004</v>
      </c>
      <c r="P4" t="s">
        <v>173</v>
      </c>
      <c r="Q4" t="s">
        <v>179</v>
      </c>
      <c r="R4">
        <v>324</v>
      </c>
    </row>
    <row r="5" spans="1:18" x14ac:dyDescent="0.25">
      <c r="P5" t="s">
        <v>174</v>
      </c>
      <c r="Q5" t="s">
        <v>181</v>
      </c>
      <c r="R5">
        <v>488</v>
      </c>
    </row>
    <row r="6" spans="1:18" x14ac:dyDescent="0.25">
      <c r="P6" t="s">
        <v>176</v>
      </c>
      <c r="Q6" t="s">
        <v>182</v>
      </c>
      <c r="R6">
        <v>355</v>
      </c>
    </row>
    <row r="7" spans="1:18" x14ac:dyDescent="0.25">
      <c r="P7" t="s">
        <v>177</v>
      </c>
      <c r="Q7" t="s">
        <v>180</v>
      </c>
      <c r="R7">
        <v>500</v>
      </c>
    </row>
    <row r="8" spans="1:18" x14ac:dyDescent="0.25">
      <c r="P8" t="s">
        <v>178</v>
      </c>
      <c r="Q8" t="s">
        <v>183</v>
      </c>
      <c r="R8">
        <v>515</v>
      </c>
    </row>
    <row r="9" spans="1:18" x14ac:dyDescent="0.25">
      <c r="P9" t="s">
        <v>152</v>
      </c>
      <c r="Q9" t="s">
        <v>145</v>
      </c>
      <c r="R9">
        <v>628</v>
      </c>
    </row>
    <row r="10" spans="1:18" x14ac:dyDescent="0.25">
      <c r="P10" t="s">
        <v>199</v>
      </c>
      <c r="Q10" t="s">
        <v>200</v>
      </c>
      <c r="R10">
        <v>700</v>
      </c>
    </row>
    <row r="11" spans="1:18" x14ac:dyDescent="0.25">
      <c r="P11" t="s">
        <v>153</v>
      </c>
      <c r="Q11" t="s">
        <v>146</v>
      </c>
      <c r="R11">
        <v>860</v>
      </c>
    </row>
    <row r="12" spans="1:18" x14ac:dyDescent="0.25">
      <c r="P12" t="s">
        <v>154</v>
      </c>
      <c r="Q12" t="s">
        <v>147</v>
      </c>
      <c r="R12">
        <v>1056</v>
      </c>
    </row>
    <row r="13" spans="1:18" x14ac:dyDescent="0.25">
      <c r="P13" t="s">
        <v>201</v>
      </c>
      <c r="Q13" t="s">
        <v>202</v>
      </c>
      <c r="R13">
        <v>785</v>
      </c>
    </row>
    <row r="14" spans="1:18" x14ac:dyDescent="0.25">
      <c r="P14" t="s">
        <v>235</v>
      </c>
      <c r="Q14" t="s">
        <v>238</v>
      </c>
      <c r="R14">
        <v>1600</v>
      </c>
    </row>
    <row r="15" spans="1:18" x14ac:dyDescent="0.25">
      <c r="P15" t="s">
        <v>203</v>
      </c>
      <c r="Q15" t="s">
        <v>204</v>
      </c>
      <c r="R15">
        <v>1030</v>
      </c>
    </row>
    <row r="16" spans="1:18" x14ac:dyDescent="0.25">
      <c r="P16" t="s">
        <v>243</v>
      </c>
      <c r="Q16" t="s">
        <v>244</v>
      </c>
      <c r="R16">
        <v>1060</v>
      </c>
    </row>
    <row r="17" spans="16:18" x14ac:dyDescent="0.25">
      <c r="P17" t="s">
        <v>155</v>
      </c>
      <c r="Q17" t="s">
        <v>148</v>
      </c>
      <c r="R17">
        <v>1272</v>
      </c>
    </row>
    <row r="18" spans="16:18" x14ac:dyDescent="0.25">
      <c r="P18" t="s">
        <v>236</v>
      </c>
      <c r="Q18" t="s">
        <v>237</v>
      </c>
      <c r="R18">
        <v>2060</v>
      </c>
    </row>
    <row r="19" spans="16:18" x14ac:dyDescent="0.25">
      <c r="P19" t="s">
        <v>156</v>
      </c>
      <c r="Q19" t="s">
        <v>149</v>
      </c>
      <c r="R19">
        <v>1200</v>
      </c>
    </row>
    <row r="20" spans="16:18" x14ac:dyDescent="0.25">
      <c r="P20" t="s">
        <v>157</v>
      </c>
      <c r="Q20" t="s">
        <v>150</v>
      </c>
      <c r="R20">
        <v>1456</v>
      </c>
    </row>
    <row r="21" spans="16:18" x14ac:dyDescent="0.25">
      <c r="P21" t="s">
        <v>158</v>
      </c>
      <c r="Q21" t="s">
        <v>151</v>
      </c>
      <c r="R21">
        <v>1704</v>
      </c>
    </row>
    <row r="22" spans="16:18" x14ac:dyDescent="0.25">
      <c r="P22" t="s">
        <v>163</v>
      </c>
      <c r="Q22" t="s">
        <v>184</v>
      </c>
      <c r="R22">
        <v>488</v>
      </c>
    </row>
    <row r="23" spans="16:18" x14ac:dyDescent="0.25">
      <c r="P23" t="s">
        <v>164</v>
      </c>
      <c r="Q23" t="s">
        <v>185</v>
      </c>
      <c r="R23">
        <v>584</v>
      </c>
    </row>
    <row r="24" spans="16:18" x14ac:dyDescent="0.25">
      <c r="P24" t="s">
        <v>250</v>
      </c>
      <c r="Q24" t="s">
        <v>251</v>
      </c>
      <c r="R24">
        <v>2920</v>
      </c>
    </row>
    <row r="25" spans="16:18" x14ac:dyDescent="0.25">
      <c r="P25" t="s">
        <v>161</v>
      </c>
      <c r="Q25" t="s">
        <v>186</v>
      </c>
      <c r="R25">
        <v>700</v>
      </c>
    </row>
    <row r="26" spans="16:18" x14ac:dyDescent="0.25">
      <c r="P26" t="s">
        <v>252</v>
      </c>
      <c r="Q26" t="s">
        <v>186</v>
      </c>
      <c r="R26">
        <v>3500</v>
      </c>
    </row>
    <row r="27" spans="16:18" x14ac:dyDescent="0.25">
      <c r="P27" t="s">
        <v>160</v>
      </c>
      <c r="Q27" t="s">
        <v>187</v>
      </c>
      <c r="R27">
        <v>900</v>
      </c>
    </row>
    <row r="28" spans="16:18" x14ac:dyDescent="0.25">
      <c r="P28" t="s">
        <v>159</v>
      </c>
      <c r="Q28" t="s">
        <v>188</v>
      </c>
      <c r="R28">
        <v>740</v>
      </c>
    </row>
    <row r="29" spans="16:18" x14ac:dyDescent="0.25">
      <c r="P29" t="s">
        <v>162</v>
      </c>
      <c r="Q29" t="s">
        <v>189</v>
      </c>
      <c r="R29">
        <v>1232</v>
      </c>
    </row>
    <row r="30" spans="16:18" x14ac:dyDescent="0.25">
      <c r="P30" t="s">
        <v>166</v>
      </c>
      <c r="Q30" t="s">
        <v>190</v>
      </c>
    </row>
    <row r="31" spans="16:18" x14ac:dyDescent="0.25">
      <c r="P31" t="s">
        <v>165</v>
      </c>
      <c r="Q31" t="s">
        <v>192</v>
      </c>
    </row>
    <row r="32" spans="16:18" x14ac:dyDescent="0.25">
      <c r="P32" t="s">
        <v>167</v>
      </c>
      <c r="Q32" t="s">
        <v>191</v>
      </c>
    </row>
    <row r="33" spans="16:18" x14ac:dyDescent="0.25">
      <c r="P33" t="s">
        <v>168</v>
      </c>
      <c r="Q33" t="s">
        <v>193</v>
      </c>
    </row>
    <row r="34" spans="16:18" x14ac:dyDescent="0.25">
      <c r="P34" t="s">
        <v>172</v>
      </c>
      <c r="Q34" t="s">
        <v>194</v>
      </c>
    </row>
    <row r="35" spans="16:18" x14ac:dyDescent="0.25">
      <c r="P35" t="s">
        <v>171</v>
      </c>
      <c r="Q35" t="s">
        <v>195</v>
      </c>
    </row>
    <row r="36" spans="16:18" x14ac:dyDescent="0.25">
      <c r="P36" t="s">
        <v>170</v>
      </c>
      <c r="Q36" t="s">
        <v>196</v>
      </c>
    </row>
    <row r="37" spans="16:18" x14ac:dyDescent="0.25">
      <c r="P37" t="s">
        <v>169</v>
      </c>
      <c r="Q37" t="s">
        <v>197</v>
      </c>
    </row>
    <row r="38" spans="16:18" x14ac:dyDescent="0.25">
      <c r="P38" t="s">
        <v>239</v>
      </c>
      <c r="Q38" t="s">
        <v>240</v>
      </c>
      <c r="R38">
        <v>4200</v>
      </c>
    </row>
    <row r="39" spans="16:18" x14ac:dyDescent="0.25">
      <c r="P39" t="s">
        <v>241</v>
      </c>
      <c r="Q39" t="s">
        <v>242</v>
      </c>
      <c r="R39">
        <v>3500</v>
      </c>
    </row>
    <row r="40" spans="16:18" x14ac:dyDescent="0.25">
      <c r="P40" t="s">
        <v>246</v>
      </c>
      <c r="Q40" t="s">
        <v>247</v>
      </c>
      <c r="R40">
        <v>1250</v>
      </c>
    </row>
    <row r="41" spans="16:18" x14ac:dyDescent="0.25">
      <c r="P41" t="s">
        <v>277</v>
      </c>
      <c r="Q41" t="s">
        <v>278</v>
      </c>
      <c r="R41">
        <v>1650</v>
      </c>
    </row>
    <row r="42" spans="16:18" x14ac:dyDescent="0.25">
      <c r="P42" t="s">
        <v>279</v>
      </c>
      <c r="Q42" t="s">
        <v>280</v>
      </c>
      <c r="R42">
        <v>810</v>
      </c>
    </row>
    <row r="43" spans="16:18" x14ac:dyDescent="0.25">
      <c r="P43" t="s">
        <v>281</v>
      </c>
      <c r="Q43" t="s">
        <v>282</v>
      </c>
      <c r="R43">
        <v>1250</v>
      </c>
    </row>
  </sheetData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EF056-EE63-4285-AA20-231F822B1EC2}">
  <sheetPr codeName="Trang_tính14">
    <tabColor theme="4" tint="-0.499984740745262"/>
  </sheetPr>
  <dimension ref="B2:C12"/>
  <sheetViews>
    <sheetView workbookViewId="0">
      <selection activeCell="I22" sqref="I22"/>
    </sheetView>
  </sheetViews>
  <sheetFormatPr defaultRowHeight="15" x14ac:dyDescent="0.25"/>
  <cols>
    <col min="3" max="3" width="7.140625" bestFit="1" customWidth="1"/>
  </cols>
  <sheetData>
    <row r="2" spans="2:3" x14ac:dyDescent="0.25">
      <c r="B2" s="28" t="s">
        <v>135</v>
      </c>
      <c r="C2" s="28" t="s">
        <v>136</v>
      </c>
    </row>
    <row r="3" spans="2:3" x14ac:dyDescent="0.25">
      <c r="B3" s="29">
        <v>0.15</v>
      </c>
      <c r="C3" s="29">
        <v>0.13</v>
      </c>
    </row>
    <row r="4" spans="2:3" x14ac:dyDescent="0.25">
      <c r="B4" s="29">
        <v>0.2</v>
      </c>
      <c r="C4" s="30">
        <v>0.16700000000000001</v>
      </c>
    </row>
    <row r="5" spans="2:3" x14ac:dyDescent="0.25">
      <c r="B5" s="29">
        <v>0.25</v>
      </c>
      <c r="C5" s="29">
        <v>0.2</v>
      </c>
    </row>
    <row r="6" spans="2:3" x14ac:dyDescent="0.25">
      <c r="B6" s="29">
        <v>0.3</v>
      </c>
      <c r="C6" s="29">
        <v>0.23</v>
      </c>
    </row>
    <row r="7" spans="2:3" x14ac:dyDescent="0.25">
      <c r="B7" s="30">
        <v>0.33300000000000002</v>
      </c>
      <c r="C7" s="29">
        <v>0.25</v>
      </c>
    </row>
    <row r="8" spans="2:3" x14ac:dyDescent="0.25">
      <c r="B8" s="29">
        <v>0.4</v>
      </c>
      <c r="C8" s="30">
        <v>0.28599999999999998</v>
      </c>
    </row>
    <row r="9" spans="2:3" x14ac:dyDescent="0.25">
      <c r="B9" s="29">
        <v>0.43</v>
      </c>
      <c r="C9" s="29">
        <v>0.3</v>
      </c>
    </row>
    <row r="10" spans="2:3" x14ac:dyDescent="0.25">
      <c r="B10" s="29">
        <v>0.5</v>
      </c>
      <c r="C10" s="29">
        <v>0.33</v>
      </c>
    </row>
    <row r="11" spans="2:3" x14ac:dyDescent="0.25">
      <c r="B11" s="29">
        <v>0.75</v>
      </c>
      <c r="C11" s="30">
        <v>0.42899999999999999</v>
      </c>
    </row>
    <row r="12" spans="2:3" x14ac:dyDescent="0.25">
      <c r="B12" s="29">
        <v>1</v>
      </c>
      <c r="C12" s="29">
        <v>0.5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9912C7-8482-4766-8426-44A2BA534A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Trang tính</vt:lpstr>
      </vt:variant>
      <vt:variant>
        <vt:i4>25</vt:i4>
      </vt:variant>
      <vt:variant>
        <vt:lpstr>Phạm vi Có tên</vt:lpstr>
      </vt:variant>
      <vt:variant>
        <vt:i4>8</vt:i4>
      </vt:variant>
    </vt:vector>
  </HeadingPairs>
  <TitlesOfParts>
    <vt:vector size="33" baseType="lpstr">
      <vt:lpstr>In-Toner</vt:lpstr>
      <vt:lpstr>BaiCMYK</vt:lpstr>
      <vt:lpstr>SP-ToRoi-A4</vt:lpstr>
      <vt:lpstr>Test</vt:lpstr>
      <vt:lpstr>SP-Cata-Ruot-A4</vt:lpstr>
      <vt:lpstr>SP-Cata-A4-Kim</vt:lpstr>
      <vt:lpstr>SP-Cata-A4-Keo</vt:lpstr>
      <vt:lpstr>Menu-LXo-10x19</vt:lpstr>
      <vt:lpstr>Menu-LX-15x19</vt:lpstr>
      <vt:lpstr>Menu-LX-19x30</vt:lpstr>
      <vt:lpstr>Menu-LX-15x34</vt:lpstr>
      <vt:lpstr>Menu-LX-10x19-v2</vt:lpstr>
      <vt:lpstr>Menu-LX-DongCuon</vt:lpstr>
      <vt:lpstr>Menu-LX-15x19-v2</vt:lpstr>
      <vt:lpstr>Menu-LX-19x30_v2</vt:lpstr>
      <vt:lpstr>Menu-LX-15x34_v2</vt:lpstr>
      <vt:lpstr>Menu-BiaCungVit-Ruot</vt:lpstr>
      <vt:lpstr>Menu-BatVit-Zen-TheoNhuCau</vt:lpstr>
      <vt:lpstr>Menu-BatVit-LamBiaCung-TheoNhuC</vt:lpstr>
      <vt:lpstr>Menu-BiaCungVit-Bia</vt:lpstr>
      <vt:lpstr>Menu-MoPhang-Ruot</vt:lpstr>
      <vt:lpstr>Menu-MoPhang-Bia</vt:lpstr>
      <vt:lpstr>Base-MayIn</vt:lpstr>
      <vt:lpstr>NguyenVatLieu</vt:lpstr>
      <vt:lpstr>Base-Margin</vt:lpstr>
      <vt:lpstr>GIA_GIAY_CO_BAN</vt:lpstr>
      <vt:lpstr>GIA_KHUON_EP_KIM</vt:lpstr>
      <vt:lpstr>GIA_MANG</vt:lpstr>
      <vt:lpstr>GIA_NHU_EP_KIM</vt:lpstr>
      <vt:lpstr>KHO_CAT_SAN_PHAM</vt:lpstr>
      <vt:lpstr>MARKUP_MARGIN</vt:lpstr>
      <vt:lpstr>MAY_IN_KTS</vt:lpstr>
      <vt:lpstr>TO_CHAY_MAY_IN_KTS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2019-09-27T10:09:42Z</dcterms:modified>
</cp:coreProperties>
</file>